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vivado\sindhu\Downloads\"/>
    </mc:Choice>
  </mc:AlternateContent>
  <xr:revisionPtr revIDLastSave="0" documentId="8_{AC8654C3-356B-451A-B8B2-A83FC67FE03A}" xr6:coauthVersionLast="47" xr6:coauthVersionMax="47" xr10:uidLastSave="{00000000-0000-0000-0000-000000000000}"/>
  <bookViews>
    <workbookView xWindow="-108" yWindow="-108" windowWidth="23256" windowHeight="12456" activeTab="3" xr2:uid="{E06005A2-B123-458A-9230-B46A8EC509EA}"/>
  </bookViews>
  <sheets>
    <sheet name="Raw Data" sheetId="2" r:id="rId1"/>
    <sheet name="cleaned" sheetId="3" r:id="rId2"/>
    <sheet name="Pivot tables" sheetId="8" r:id="rId3"/>
    <sheet name="Dashboard" sheetId="9" r:id="rId4"/>
  </sheets>
  <definedNames>
    <definedName name="ExternalData_1" localSheetId="1" hidden="1">cleaned!$A$1:$N$1001</definedName>
    <definedName name="ExternalData_1" localSheetId="0" hidden="1">'Raw Data'!$A$1:$N$1001</definedName>
  </definedNames>
  <calcPr calcId="191029"/>
  <pivotCaches>
    <pivotCache cacheId="40" r:id="rId5"/>
    <pivotCache cacheId="32" r:id="rId6"/>
    <pivotCache cacheId="46" r:id="rId7"/>
    <pivotCache cacheId="53" r:id="rId8"/>
    <pivotCache cacheId="61" r:id="rId9"/>
    <pivotCache cacheId="60" r:id="rId10"/>
    <pivotCache cacheId="67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3" l="1"/>
  <c r="P971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ADBD10-88CA-47F9-AD8B-4F7ABC9F7EE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98946FA3-59A2-45BD-AE67-C73ACD2D0E7F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<sst xmlns="http://schemas.openxmlformats.org/spreadsheetml/2006/main" count="18112" uniqueCount="1124">
  <si>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</si>
  <si>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</si>
  <si>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</si>
  <si>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</si>
  <si>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</si>
  <si>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</si>
  <si>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</si>
  <si>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</si>
  <si>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Sales Amount</t>
  </si>
  <si>
    <t>Quantity</t>
  </si>
  <si>
    <t>Discount (%)</t>
  </si>
  <si>
    <t>Profit</t>
  </si>
  <si>
    <t>Delivery Status</t>
  </si>
  <si>
    <t>Payment Method</t>
  </si>
  <si>
    <t>ODR00001</t>
  </si>
  <si>
    <t>Meera Joshi</t>
  </si>
  <si>
    <t>East</t>
  </si>
  <si>
    <t>Bhubaneswar</t>
  </si>
  <si>
    <t>Technology</t>
  </si>
  <si>
    <t>Tablet</t>
  </si>
  <si>
    <t>Tablet - Technology</t>
  </si>
  <si>
    <t>Delivered</t>
  </si>
  <si>
    <t>UPI</t>
  </si>
  <si>
    <t>ODR00002</t>
  </si>
  <si>
    <t>Diya Sharma</t>
  </si>
  <si>
    <t>Kolkata</t>
  </si>
  <si>
    <t>Printer</t>
  </si>
  <si>
    <t>Printer - Technology</t>
  </si>
  <si>
    <t>Returned</t>
  </si>
  <si>
    <t>ODR00003</t>
  </si>
  <si>
    <t>Kabir Nair</t>
  </si>
  <si>
    <t>Patna</t>
  </si>
  <si>
    <t>Furniture</t>
  </si>
  <si>
    <t>Chair</t>
  </si>
  <si>
    <t>Chair - Furniture</t>
  </si>
  <si>
    <t>Credit Card</t>
  </si>
  <si>
    <t>ODR00004</t>
  </si>
  <si>
    <t>Riya Kapoor</t>
  </si>
  <si>
    <t>North</t>
  </si>
  <si>
    <t>Chandigarh</t>
  </si>
  <si>
    <t>Net Banking</t>
  </si>
  <si>
    <t>ODR00005</t>
  </si>
  <si>
    <t>Kriti Desai</t>
  </si>
  <si>
    <t>Lucknow</t>
  </si>
  <si>
    <t>Cash</t>
  </si>
  <si>
    <t>ODR00006</t>
  </si>
  <si>
    <t>ODR00007</t>
  </si>
  <si>
    <t>Cupboard</t>
  </si>
  <si>
    <t>Cupboard - Furniture</t>
  </si>
  <si>
    <t>ODR00008</t>
  </si>
  <si>
    <t>Krishna Das</t>
  </si>
  <si>
    <t>In Transit</t>
  </si>
  <si>
    <t>ODR00009</t>
  </si>
  <si>
    <t>Jaipur</t>
  </si>
  <si>
    <t>ODR00010</t>
  </si>
  <si>
    <t>ODR00011</t>
  </si>
  <si>
    <t>South</t>
  </si>
  <si>
    <t>Chennai</t>
  </si>
  <si>
    <t>Table</t>
  </si>
  <si>
    <t>Table - Furniture</t>
  </si>
  <si>
    <t>ODR00012</t>
  </si>
  <si>
    <t>Bangalore</t>
  </si>
  <si>
    <t>Office Supplies</t>
  </si>
  <si>
    <t>Envelope</t>
  </si>
  <si>
    <t>Envelope - Office Supplies</t>
  </si>
  <si>
    <t>ODR00013</t>
  </si>
  <si>
    <t>Vivaan Shah</t>
  </si>
  <si>
    <t>Notebook</t>
  </si>
  <si>
    <t>Notebook - Office Supplies</t>
  </si>
  <si>
    <t>ODR00014</t>
  </si>
  <si>
    <t>Ishaan Mehta</t>
  </si>
  <si>
    <t>Delhi</t>
  </si>
  <si>
    <t>ODR00015</t>
  </si>
  <si>
    <t>Anaya Singh</t>
  </si>
  <si>
    <t>ODR00016</t>
  </si>
  <si>
    <t>Aarav Patel</t>
  </si>
  <si>
    <t>Laptop</t>
  </si>
  <si>
    <t>Laptop - Technology</t>
  </si>
  <si>
    <t>ODR00017</t>
  </si>
  <si>
    <t>ODR00018</t>
  </si>
  <si>
    <t>Stapler</t>
  </si>
  <si>
    <t>Stapler - Office Supplies</t>
  </si>
  <si>
    <t>ODR00019</t>
  </si>
  <si>
    <t>ODR00020</t>
  </si>
  <si>
    <t>Yuvraj Chauhan</t>
  </si>
  <si>
    <t>ODR00021</t>
  </si>
  <si>
    <t>Arjun Verma</t>
  </si>
  <si>
    <t>ODR00022</t>
  </si>
  <si>
    <t>ODR00023</t>
  </si>
  <si>
    <t>West</t>
  </si>
  <si>
    <t>Nagpur</t>
  </si>
  <si>
    <t>ODR00024</t>
  </si>
  <si>
    <t>ODR00025</t>
  </si>
  <si>
    <t>ODR00026</t>
  </si>
  <si>
    <t>Mobile</t>
  </si>
  <si>
    <t>Mobile - Technology</t>
  </si>
  <si>
    <t>ODR00027</t>
  </si>
  <si>
    <t>Ahmedabad</t>
  </si>
  <si>
    <t>ODR00028</t>
  </si>
  <si>
    <t>Saanvi Iyer</t>
  </si>
  <si>
    <t>ODR00029</t>
  </si>
  <si>
    <t>Tanishq Ghosh</t>
  </si>
  <si>
    <t>Indore</t>
  </si>
  <si>
    <t>Pen</t>
  </si>
  <si>
    <t>Pen - Office Supplies</t>
  </si>
  <si>
    <t>ODR00030</t>
  </si>
  <si>
    <t>ODR00031</t>
  </si>
  <si>
    <t>ODR00032</t>
  </si>
  <si>
    <t>Hyderabad</t>
  </si>
  <si>
    <t>ODR00033</t>
  </si>
  <si>
    <t>ODR00034</t>
  </si>
  <si>
    <t>ODR00035</t>
  </si>
  <si>
    <t>Sofa</t>
  </si>
  <si>
    <t>Sofa - Furniture</t>
  </si>
  <si>
    <t>ODR00036</t>
  </si>
  <si>
    <t>ODR00037</t>
  </si>
  <si>
    <t>Mumbai</t>
  </si>
  <si>
    <t>ODR00038</t>
  </si>
  <si>
    <t>ODR00039</t>
  </si>
  <si>
    <t>ODR00040</t>
  </si>
  <si>
    <t>ODR00041</t>
  </si>
  <si>
    <t>ODR00042</t>
  </si>
  <si>
    <t>ODR00043</t>
  </si>
  <si>
    <t>ODR00044</t>
  </si>
  <si>
    <t>ODR00045</t>
  </si>
  <si>
    <t>ODR00046</t>
  </si>
  <si>
    <t>ODR00047</t>
  </si>
  <si>
    <t>ODR00048</t>
  </si>
  <si>
    <t>ODR00049</t>
  </si>
  <si>
    <t>ODR00050</t>
  </si>
  <si>
    <t>ODR00051</t>
  </si>
  <si>
    <t>ODR00052</t>
  </si>
  <si>
    <t>ODR00053</t>
  </si>
  <si>
    <t>Sneha Reddy</t>
  </si>
  <si>
    <t>ODR00054</t>
  </si>
  <si>
    <t>ODR00055</t>
  </si>
  <si>
    <t>ODR00056</t>
  </si>
  <si>
    <t>ODR00057</t>
  </si>
  <si>
    <t>ODR00058</t>
  </si>
  <si>
    <t>ODR00059</t>
  </si>
  <si>
    <t>Pune</t>
  </si>
  <si>
    <t>ODR00060</t>
  </si>
  <si>
    <t>ODR00061</t>
  </si>
  <si>
    <t>ODR00062</t>
  </si>
  <si>
    <t>ODR00063</t>
  </si>
  <si>
    <t>ODR00064</t>
  </si>
  <si>
    <t>ODR00065</t>
  </si>
  <si>
    <t>ODR00066</t>
  </si>
  <si>
    <t>ODR00067</t>
  </si>
  <si>
    <t>ODR00068</t>
  </si>
  <si>
    <t>ODR00069</t>
  </si>
  <si>
    <t>ODR00070</t>
  </si>
  <si>
    <t>ODR00071</t>
  </si>
  <si>
    <t>ODR00072</t>
  </si>
  <si>
    <t>ODR00073</t>
  </si>
  <si>
    <t>ODR00074</t>
  </si>
  <si>
    <t>ODR00075</t>
  </si>
  <si>
    <t>ODR00076</t>
  </si>
  <si>
    <t>ODR00077</t>
  </si>
  <si>
    <t>ODR00078</t>
  </si>
  <si>
    <t>ODR00079</t>
  </si>
  <si>
    <t>ODR00080</t>
  </si>
  <si>
    <t>ODR00081</t>
  </si>
  <si>
    <t>ODR00082</t>
  </si>
  <si>
    <t>ODR00083</t>
  </si>
  <si>
    <t>ODR00084</t>
  </si>
  <si>
    <t>ODR00085</t>
  </si>
  <si>
    <t>ODR00086</t>
  </si>
  <si>
    <t>ODR00087</t>
  </si>
  <si>
    <t>ODR00088</t>
  </si>
  <si>
    <t>ODR00089</t>
  </si>
  <si>
    <t>ODR00090</t>
  </si>
  <si>
    <t>ODR00091</t>
  </si>
  <si>
    <t>ODR00092</t>
  </si>
  <si>
    <t>ODR00093</t>
  </si>
  <si>
    <t>ODR00094</t>
  </si>
  <si>
    <t>ODR00095</t>
  </si>
  <si>
    <t>ODR00096</t>
  </si>
  <si>
    <t>ODR00097</t>
  </si>
  <si>
    <t>ODR00098</t>
  </si>
  <si>
    <t>ODR00099</t>
  </si>
  <si>
    <t>ODR00100</t>
  </si>
  <si>
    <t>ODR00101</t>
  </si>
  <si>
    <t>ODR00102</t>
  </si>
  <si>
    <t>ODR00103</t>
  </si>
  <si>
    <t>ODR00104</t>
  </si>
  <si>
    <t>ODR00105</t>
  </si>
  <si>
    <t>ODR00106</t>
  </si>
  <si>
    <t>ODR00107</t>
  </si>
  <si>
    <t>ODR00108</t>
  </si>
  <si>
    <t>ODR00109</t>
  </si>
  <si>
    <t>ODR00110</t>
  </si>
  <si>
    <t>ODR00111</t>
  </si>
  <si>
    <t>ODR00112</t>
  </si>
  <si>
    <t>ODR00113</t>
  </si>
  <si>
    <t>ODR00114</t>
  </si>
  <si>
    <t>ODR00115</t>
  </si>
  <si>
    <t>ODR00116</t>
  </si>
  <si>
    <t>ODR00117</t>
  </si>
  <si>
    <t>ODR00118</t>
  </si>
  <si>
    <t>ODR00119</t>
  </si>
  <si>
    <t>ODR00120</t>
  </si>
  <si>
    <t>ODR00121</t>
  </si>
  <si>
    <t>ODR00122</t>
  </si>
  <si>
    <t>ODR00123</t>
  </si>
  <si>
    <t>ODR00124</t>
  </si>
  <si>
    <t>ODR00125</t>
  </si>
  <si>
    <t>ODR00126</t>
  </si>
  <si>
    <t>ODR00127</t>
  </si>
  <si>
    <t>ODR00128</t>
  </si>
  <si>
    <t>ODR00129</t>
  </si>
  <si>
    <t>ODR00130</t>
  </si>
  <si>
    <t>ODR00131</t>
  </si>
  <si>
    <t>ODR00132</t>
  </si>
  <si>
    <t>ODR00133</t>
  </si>
  <si>
    <t>ODR00134</t>
  </si>
  <si>
    <t>ODR00135</t>
  </si>
  <si>
    <t>ODR00136</t>
  </si>
  <si>
    <t>ODR00137</t>
  </si>
  <si>
    <t>ODR00138</t>
  </si>
  <si>
    <t>ODR00139</t>
  </si>
  <si>
    <t>ODR00140</t>
  </si>
  <si>
    <t>ODR00141</t>
  </si>
  <si>
    <t>ODR00142</t>
  </si>
  <si>
    <t>ODR00143</t>
  </si>
  <si>
    <t>ODR00144</t>
  </si>
  <si>
    <t>ODR00145</t>
  </si>
  <si>
    <t>ODR00146</t>
  </si>
  <si>
    <t>ODR00147</t>
  </si>
  <si>
    <t>ODR00148</t>
  </si>
  <si>
    <t>ODR00149</t>
  </si>
  <si>
    <t>ODR00150</t>
  </si>
  <si>
    <t>ODR00151</t>
  </si>
  <si>
    <t>ODR00152</t>
  </si>
  <si>
    <t>ODR00153</t>
  </si>
  <si>
    <t>ODR00154</t>
  </si>
  <si>
    <t>ODR00155</t>
  </si>
  <si>
    <t>ODR00156</t>
  </si>
  <si>
    <t>ODR00157</t>
  </si>
  <si>
    <t>ODR00158</t>
  </si>
  <si>
    <t>ODR00159</t>
  </si>
  <si>
    <t>ODR00160</t>
  </si>
  <si>
    <t>ODR00161</t>
  </si>
  <si>
    <t>ODR00162</t>
  </si>
  <si>
    <t>ODR00163</t>
  </si>
  <si>
    <t>ODR00164</t>
  </si>
  <si>
    <t>ODR00165</t>
  </si>
  <si>
    <t>ODR00166</t>
  </si>
  <si>
    <t>ODR00167</t>
  </si>
  <si>
    <t>ODR00168</t>
  </si>
  <si>
    <t>ODR00169</t>
  </si>
  <si>
    <t>ODR00170</t>
  </si>
  <si>
    <t>ODR00171</t>
  </si>
  <si>
    <t>ODR00172</t>
  </si>
  <si>
    <t>ODR00173</t>
  </si>
  <si>
    <t>ODR00174</t>
  </si>
  <si>
    <t>ODR00175</t>
  </si>
  <si>
    <t>ODR00176</t>
  </si>
  <si>
    <t>ODR00177</t>
  </si>
  <si>
    <t>ODR00178</t>
  </si>
  <si>
    <t>ODR00179</t>
  </si>
  <si>
    <t>ODR00180</t>
  </si>
  <si>
    <t>ODR00181</t>
  </si>
  <si>
    <t>ODR00182</t>
  </si>
  <si>
    <t>ODR00183</t>
  </si>
  <si>
    <t>ODR00184</t>
  </si>
  <si>
    <t>ODR00185</t>
  </si>
  <si>
    <t>ODR00186</t>
  </si>
  <si>
    <t>ODR00187</t>
  </si>
  <si>
    <t>ODR00188</t>
  </si>
  <si>
    <t>ODR00189</t>
  </si>
  <si>
    <t>ODR00190</t>
  </si>
  <si>
    <t>ODR00191</t>
  </si>
  <si>
    <t>ODR00192</t>
  </si>
  <si>
    <t>ODR00193</t>
  </si>
  <si>
    <t>ODR00194</t>
  </si>
  <si>
    <t>ODR00195</t>
  </si>
  <si>
    <t>ODR00196</t>
  </si>
  <si>
    <t>ODR00197</t>
  </si>
  <si>
    <t>ODR00198</t>
  </si>
  <si>
    <t>ODR00199</t>
  </si>
  <si>
    <t>ODR00200</t>
  </si>
  <si>
    <t>ODR00201</t>
  </si>
  <si>
    <t>ODR00202</t>
  </si>
  <si>
    <t>ODR00203</t>
  </si>
  <si>
    <t>ODR00204</t>
  </si>
  <si>
    <t>ODR00205</t>
  </si>
  <si>
    <t>ODR00206</t>
  </si>
  <si>
    <t>ODR00207</t>
  </si>
  <si>
    <t>ODR00208</t>
  </si>
  <si>
    <t>ODR00209</t>
  </si>
  <si>
    <t>ODR00210</t>
  </si>
  <si>
    <t>ODR00211</t>
  </si>
  <si>
    <t>ODR00212</t>
  </si>
  <si>
    <t>ODR00213</t>
  </si>
  <si>
    <t>ODR00214</t>
  </si>
  <si>
    <t>ODR00215</t>
  </si>
  <si>
    <t>ODR00216</t>
  </si>
  <si>
    <t>ODR00217</t>
  </si>
  <si>
    <t>ODR00218</t>
  </si>
  <si>
    <t>ODR00219</t>
  </si>
  <si>
    <t>ODR00220</t>
  </si>
  <si>
    <t>ODR00221</t>
  </si>
  <si>
    <t>ODR00222</t>
  </si>
  <si>
    <t>ODR00223</t>
  </si>
  <si>
    <t>ODR00224</t>
  </si>
  <si>
    <t>ODR00225</t>
  </si>
  <si>
    <t>ODR00226</t>
  </si>
  <si>
    <t>ODR00227</t>
  </si>
  <si>
    <t>ODR00228</t>
  </si>
  <si>
    <t>ODR00229</t>
  </si>
  <si>
    <t>ODR00230</t>
  </si>
  <si>
    <t>ODR00231</t>
  </si>
  <si>
    <t>ODR00232</t>
  </si>
  <si>
    <t>ODR00233</t>
  </si>
  <si>
    <t>ODR00234</t>
  </si>
  <si>
    <t>ODR00235</t>
  </si>
  <si>
    <t>ODR00236</t>
  </si>
  <si>
    <t>ODR00237</t>
  </si>
  <si>
    <t>ODR00238</t>
  </si>
  <si>
    <t>ODR00239</t>
  </si>
  <si>
    <t>ODR00240</t>
  </si>
  <si>
    <t>ODR00241</t>
  </si>
  <si>
    <t>ODR00242</t>
  </si>
  <si>
    <t>ODR00243</t>
  </si>
  <si>
    <t>ODR00244</t>
  </si>
  <si>
    <t>ODR00245</t>
  </si>
  <si>
    <t>ODR00246</t>
  </si>
  <si>
    <t>ODR00247</t>
  </si>
  <si>
    <t>ODR00248</t>
  </si>
  <si>
    <t>ODR00249</t>
  </si>
  <si>
    <t>ODR00250</t>
  </si>
  <si>
    <t>ODR00251</t>
  </si>
  <si>
    <t>ODR00252</t>
  </si>
  <si>
    <t>ODR00253</t>
  </si>
  <si>
    <t>ODR00254</t>
  </si>
  <si>
    <t>ODR00255</t>
  </si>
  <si>
    <t>ODR00256</t>
  </si>
  <si>
    <t>ODR00257</t>
  </si>
  <si>
    <t>ODR00258</t>
  </si>
  <si>
    <t>ODR00259</t>
  </si>
  <si>
    <t>ODR00260</t>
  </si>
  <si>
    <t>ODR00261</t>
  </si>
  <si>
    <t>ODR00262</t>
  </si>
  <si>
    <t>ODR00263</t>
  </si>
  <si>
    <t>ODR00264</t>
  </si>
  <si>
    <t>ODR00265</t>
  </si>
  <si>
    <t>ODR00266</t>
  </si>
  <si>
    <t>ODR00267</t>
  </si>
  <si>
    <t>ODR00268</t>
  </si>
  <si>
    <t>ODR00269</t>
  </si>
  <si>
    <t>ODR00270</t>
  </si>
  <si>
    <t>ODR00271</t>
  </si>
  <si>
    <t>ODR00272</t>
  </si>
  <si>
    <t>ODR00273</t>
  </si>
  <si>
    <t>ODR00274</t>
  </si>
  <si>
    <t>ODR00275</t>
  </si>
  <si>
    <t>ODR00276</t>
  </si>
  <si>
    <t>ODR00277</t>
  </si>
  <si>
    <t>ODR00278</t>
  </si>
  <si>
    <t>ODR00279</t>
  </si>
  <si>
    <t>ODR00280</t>
  </si>
  <si>
    <t>ODR00281</t>
  </si>
  <si>
    <t>ODR00282</t>
  </si>
  <si>
    <t>ODR00283</t>
  </si>
  <si>
    <t>ODR00284</t>
  </si>
  <si>
    <t>ODR00285</t>
  </si>
  <si>
    <t>ODR00286</t>
  </si>
  <si>
    <t>ODR00287</t>
  </si>
  <si>
    <t>ODR00288</t>
  </si>
  <si>
    <t>ODR00289</t>
  </si>
  <si>
    <t>ODR00290</t>
  </si>
  <si>
    <t>ODR00291</t>
  </si>
  <si>
    <t>ODR00292</t>
  </si>
  <si>
    <t>ODR00293</t>
  </si>
  <si>
    <t>ODR00294</t>
  </si>
  <si>
    <t>ODR00295</t>
  </si>
  <si>
    <t>ODR00296</t>
  </si>
  <si>
    <t>ODR00297</t>
  </si>
  <si>
    <t>ODR00298</t>
  </si>
  <si>
    <t>ODR00299</t>
  </si>
  <si>
    <t>ODR00300</t>
  </si>
  <si>
    <t>ODR00301</t>
  </si>
  <si>
    <t>ODR00302</t>
  </si>
  <si>
    <t>ODR00303</t>
  </si>
  <si>
    <t>ODR00304</t>
  </si>
  <si>
    <t>ODR00305</t>
  </si>
  <si>
    <t>ODR00306</t>
  </si>
  <si>
    <t>ODR00307</t>
  </si>
  <si>
    <t>ODR00308</t>
  </si>
  <si>
    <t>ODR00309</t>
  </si>
  <si>
    <t>ODR00310</t>
  </si>
  <si>
    <t>ODR00311</t>
  </si>
  <si>
    <t>ODR00312</t>
  </si>
  <si>
    <t>ODR00313</t>
  </si>
  <si>
    <t>ODR00314</t>
  </si>
  <si>
    <t>ODR00315</t>
  </si>
  <si>
    <t>ODR00316</t>
  </si>
  <si>
    <t>ODR00317</t>
  </si>
  <si>
    <t>ODR00318</t>
  </si>
  <si>
    <t>ODR00319</t>
  </si>
  <si>
    <t>ODR00320</t>
  </si>
  <si>
    <t>ODR00321</t>
  </si>
  <si>
    <t>ODR00322</t>
  </si>
  <si>
    <t>ODR00323</t>
  </si>
  <si>
    <t>ODR00324</t>
  </si>
  <si>
    <t>ODR00325</t>
  </si>
  <si>
    <t>ODR00326</t>
  </si>
  <si>
    <t>ODR00327</t>
  </si>
  <si>
    <t>ODR00328</t>
  </si>
  <si>
    <t>ODR00329</t>
  </si>
  <si>
    <t>ODR00330</t>
  </si>
  <si>
    <t>ODR00331</t>
  </si>
  <si>
    <t>ODR00332</t>
  </si>
  <si>
    <t>ODR00333</t>
  </si>
  <si>
    <t>ODR00334</t>
  </si>
  <si>
    <t>ODR00335</t>
  </si>
  <si>
    <t>ODR00336</t>
  </si>
  <si>
    <t>ODR00337</t>
  </si>
  <si>
    <t>ODR00338</t>
  </si>
  <si>
    <t>ODR00339</t>
  </si>
  <si>
    <t>ODR00340</t>
  </si>
  <si>
    <t>ODR00341</t>
  </si>
  <si>
    <t>ODR00342</t>
  </si>
  <si>
    <t>ODR00343</t>
  </si>
  <si>
    <t>ODR00344</t>
  </si>
  <si>
    <t>ODR00345</t>
  </si>
  <si>
    <t>ODR00346</t>
  </si>
  <si>
    <t>ODR00347</t>
  </si>
  <si>
    <t>ODR00348</t>
  </si>
  <si>
    <t>ODR00349</t>
  </si>
  <si>
    <t>ODR00350</t>
  </si>
  <si>
    <t>ODR00351</t>
  </si>
  <si>
    <t>ODR00352</t>
  </si>
  <si>
    <t>ODR00353</t>
  </si>
  <si>
    <t>ODR00354</t>
  </si>
  <si>
    <t>ODR00355</t>
  </si>
  <si>
    <t>ODR00356</t>
  </si>
  <si>
    <t>ODR00357</t>
  </si>
  <si>
    <t>ODR00358</t>
  </si>
  <si>
    <t>ODR00359</t>
  </si>
  <si>
    <t>ODR00360</t>
  </si>
  <si>
    <t>ODR00361</t>
  </si>
  <si>
    <t>ODR00362</t>
  </si>
  <si>
    <t>ODR00363</t>
  </si>
  <si>
    <t>ODR00364</t>
  </si>
  <si>
    <t>ODR00365</t>
  </si>
  <si>
    <t>ODR00366</t>
  </si>
  <si>
    <t>ODR00367</t>
  </si>
  <si>
    <t>ODR00368</t>
  </si>
  <si>
    <t>ODR00369</t>
  </si>
  <si>
    <t>ODR00370</t>
  </si>
  <si>
    <t>ODR00371</t>
  </si>
  <si>
    <t>ODR00372</t>
  </si>
  <si>
    <t>ODR00373</t>
  </si>
  <si>
    <t>ODR00374</t>
  </si>
  <si>
    <t>ODR00375</t>
  </si>
  <si>
    <t>ODR00376</t>
  </si>
  <si>
    <t>ODR00377</t>
  </si>
  <si>
    <t>ODR00378</t>
  </si>
  <si>
    <t>ODR00379</t>
  </si>
  <si>
    <t>ODR00380</t>
  </si>
  <si>
    <t>ODR00381</t>
  </si>
  <si>
    <t>ODR00382</t>
  </si>
  <si>
    <t>ODR00383</t>
  </si>
  <si>
    <t>ODR00384</t>
  </si>
  <si>
    <t>ODR00385</t>
  </si>
  <si>
    <t>ODR00386</t>
  </si>
  <si>
    <t>ODR00387</t>
  </si>
  <si>
    <t>ODR00388</t>
  </si>
  <si>
    <t>ODR00389</t>
  </si>
  <si>
    <t>ODR00390</t>
  </si>
  <si>
    <t>ODR00391</t>
  </si>
  <si>
    <t>ODR00392</t>
  </si>
  <si>
    <t>ODR00393</t>
  </si>
  <si>
    <t>ODR00394</t>
  </si>
  <si>
    <t>ODR00395</t>
  </si>
  <si>
    <t>ODR00396</t>
  </si>
  <si>
    <t>ODR00397</t>
  </si>
  <si>
    <t>ODR00398</t>
  </si>
  <si>
    <t>ODR00399</t>
  </si>
  <si>
    <t>ODR00400</t>
  </si>
  <si>
    <t>ODR00401</t>
  </si>
  <si>
    <t>ODR00402</t>
  </si>
  <si>
    <t>ODR00403</t>
  </si>
  <si>
    <t>ODR00404</t>
  </si>
  <si>
    <t>ODR00405</t>
  </si>
  <si>
    <t>ODR00406</t>
  </si>
  <si>
    <t>ODR00407</t>
  </si>
  <si>
    <t>ODR00408</t>
  </si>
  <si>
    <t>ODR00409</t>
  </si>
  <si>
    <t>ODR00410</t>
  </si>
  <si>
    <t>ODR00411</t>
  </si>
  <si>
    <t>ODR00412</t>
  </si>
  <si>
    <t>ODR00413</t>
  </si>
  <si>
    <t>ODR00414</t>
  </si>
  <si>
    <t>ODR00415</t>
  </si>
  <si>
    <t>ODR00416</t>
  </si>
  <si>
    <t>ODR00417</t>
  </si>
  <si>
    <t>ODR00418</t>
  </si>
  <si>
    <t>ODR00419</t>
  </si>
  <si>
    <t>ODR00420</t>
  </si>
  <si>
    <t>ODR00421</t>
  </si>
  <si>
    <t>ODR00422</t>
  </si>
  <si>
    <t>ODR00423</t>
  </si>
  <si>
    <t>ODR00424</t>
  </si>
  <si>
    <t>ODR00425</t>
  </si>
  <si>
    <t>ODR00426</t>
  </si>
  <si>
    <t>ODR00427</t>
  </si>
  <si>
    <t>ODR00428</t>
  </si>
  <si>
    <t>ODR00429</t>
  </si>
  <si>
    <t>ODR00430</t>
  </si>
  <si>
    <t>ODR00431</t>
  </si>
  <si>
    <t>ODR00432</t>
  </si>
  <si>
    <t>ODR00433</t>
  </si>
  <si>
    <t>ODR00434</t>
  </si>
  <si>
    <t>ODR00435</t>
  </si>
  <si>
    <t>ODR00436</t>
  </si>
  <si>
    <t>ODR00437</t>
  </si>
  <si>
    <t>ODR00438</t>
  </si>
  <si>
    <t>ODR00439</t>
  </si>
  <si>
    <t>ODR00440</t>
  </si>
  <si>
    <t>ODR00441</t>
  </si>
  <si>
    <t>ODR00442</t>
  </si>
  <si>
    <t>ODR00443</t>
  </si>
  <si>
    <t>ODR00444</t>
  </si>
  <si>
    <t>ODR00445</t>
  </si>
  <si>
    <t>ODR00446</t>
  </si>
  <si>
    <t>ODR00447</t>
  </si>
  <si>
    <t>ODR00448</t>
  </si>
  <si>
    <t>ODR00449</t>
  </si>
  <si>
    <t>ODR00450</t>
  </si>
  <si>
    <t>ODR00451</t>
  </si>
  <si>
    <t>ODR00452</t>
  </si>
  <si>
    <t>ODR00453</t>
  </si>
  <si>
    <t>ODR00454</t>
  </si>
  <si>
    <t>ODR00455</t>
  </si>
  <si>
    <t>ODR00456</t>
  </si>
  <si>
    <t>ODR00457</t>
  </si>
  <si>
    <t>ODR00458</t>
  </si>
  <si>
    <t>ODR00459</t>
  </si>
  <si>
    <t>ODR00460</t>
  </si>
  <si>
    <t>ODR00461</t>
  </si>
  <si>
    <t>ODR00462</t>
  </si>
  <si>
    <t>ODR00463</t>
  </si>
  <si>
    <t>ODR00464</t>
  </si>
  <si>
    <t>ODR00465</t>
  </si>
  <si>
    <t>ODR00466</t>
  </si>
  <si>
    <t>ODR00467</t>
  </si>
  <si>
    <t>ODR00468</t>
  </si>
  <si>
    <t>ODR00469</t>
  </si>
  <si>
    <t>ODR00470</t>
  </si>
  <si>
    <t>ODR00471</t>
  </si>
  <si>
    <t>ODR00472</t>
  </si>
  <si>
    <t>ODR00473</t>
  </si>
  <si>
    <t>ODR00474</t>
  </si>
  <si>
    <t>ODR00475</t>
  </si>
  <si>
    <t>ODR00476</t>
  </si>
  <si>
    <t>ODR00477</t>
  </si>
  <si>
    <t>ODR00478</t>
  </si>
  <si>
    <t>ODR00479</t>
  </si>
  <si>
    <t>ODR00480</t>
  </si>
  <si>
    <t>ODR00481</t>
  </si>
  <si>
    <t>ODR00482</t>
  </si>
  <si>
    <t>ODR00483</t>
  </si>
  <si>
    <t>ODR00484</t>
  </si>
  <si>
    <t>ODR00485</t>
  </si>
  <si>
    <t>ODR00486</t>
  </si>
  <si>
    <t>ODR00487</t>
  </si>
  <si>
    <t>ODR00488</t>
  </si>
  <si>
    <t>ODR00489</t>
  </si>
  <si>
    <t>ODR00490</t>
  </si>
  <si>
    <t>ODR00491</t>
  </si>
  <si>
    <t>ODR00492</t>
  </si>
  <si>
    <t>ODR00493</t>
  </si>
  <si>
    <t>ODR00494</t>
  </si>
  <si>
    <t>ODR00495</t>
  </si>
  <si>
    <t>ODR00496</t>
  </si>
  <si>
    <t>ODR00497</t>
  </si>
  <si>
    <t>ODR00498</t>
  </si>
  <si>
    <t>ODR00499</t>
  </si>
  <si>
    <t>ODR00500</t>
  </si>
  <si>
    <t>ODR00501</t>
  </si>
  <si>
    <t>ODR00502</t>
  </si>
  <si>
    <t>ODR00503</t>
  </si>
  <si>
    <t>ODR00504</t>
  </si>
  <si>
    <t>ODR00505</t>
  </si>
  <si>
    <t>ODR00506</t>
  </si>
  <si>
    <t>ODR00507</t>
  </si>
  <si>
    <t>ODR00508</t>
  </si>
  <si>
    <t>ODR00509</t>
  </si>
  <si>
    <t>ODR00510</t>
  </si>
  <si>
    <t>ODR00511</t>
  </si>
  <si>
    <t>ODR00512</t>
  </si>
  <si>
    <t>ODR00513</t>
  </si>
  <si>
    <t>ODR00514</t>
  </si>
  <si>
    <t>ODR00515</t>
  </si>
  <si>
    <t>ODR00516</t>
  </si>
  <si>
    <t>ODR00517</t>
  </si>
  <si>
    <t>ODR00518</t>
  </si>
  <si>
    <t>ODR00519</t>
  </si>
  <si>
    <t>ODR00520</t>
  </si>
  <si>
    <t>ODR00521</t>
  </si>
  <si>
    <t>ODR00522</t>
  </si>
  <si>
    <t>ODR00523</t>
  </si>
  <si>
    <t>ODR00524</t>
  </si>
  <si>
    <t>ODR00525</t>
  </si>
  <si>
    <t>ODR00526</t>
  </si>
  <si>
    <t>ODR00527</t>
  </si>
  <si>
    <t>ODR00528</t>
  </si>
  <si>
    <t>ODR00529</t>
  </si>
  <si>
    <t>ODR00530</t>
  </si>
  <si>
    <t>ODR00531</t>
  </si>
  <si>
    <t>ODR00532</t>
  </si>
  <si>
    <t>ODR00533</t>
  </si>
  <si>
    <t>ODR00534</t>
  </si>
  <si>
    <t>ODR00535</t>
  </si>
  <si>
    <t>ODR00536</t>
  </si>
  <si>
    <t>ODR00537</t>
  </si>
  <si>
    <t>ODR00538</t>
  </si>
  <si>
    <t>ODR00539</t>
  </si>
  <si>
    <t>ODR00540</t>
  </si>
  <si>
    <t>ODR00541</t>
  </si>
  <si>
    <t>ODR00542</t>
  </si>
  <si>
    <t>ODR00543</t>
  </si>
  <si>
    <t>ODR00544</t>
  </si>
  <si>
    <t>ODR00545</t>
  </si>
  <si>
    <t>ODR00546</t>
  </si>
  <si>
    <t>ODR00547</t>
  </si>
  <si>
    <t>ODR00548</t>
  </si>
  <si>
    <t>ODR00549</t>
  </si>
  <si>
    <t>ODR00550</t>
  </si>
  <si>
    <t>ODR00551</t>
  </si>
  <si>
    <t>ODR00552</t>
  </si>
  <si>
    <t>ODR00553</t>
  </si>
  <si>
    <t>ODR00554</t>
  </si>
  <si>
    <t>ODR00555</t>
  </si>
  <si>
    <t>ODR00556</t>
  </si>
  <si>
    <t>ODR00557</t>
  </si>
  <si>
    <t>ODR00558</t>
  </si>
  <si>
    <t>ODR00559</t>
  </si>
  <si>
    <t>ODR00560</t>
  </si>
  <si>
    <t>ODR00561</t>
  </si>
  <si>
    <t>ODR00562</t>
  </si>
  <si>
    <t>ODR00563</t>
  </si>
  <si>
    <t>ODR00564</t>
  </si>
  <si>
    <t>ODR00565</t>
  </si>
  <si>
    <t>ODR00566</t>
  </si>
  <si>
    <t>ODR00567</t>
  </si>
  <si>
    <t>ODR00568</t>
  </si>
  <si>
    <t>ODR00569</t>
  </si>
  <si>
    <t>ODR00570</t>
  </si>
  <si>
    <t>ODR00571</t>
  </si>
  <si>
    <t>ODR00572</t>
  </si>
  <si>
    <t>ODR00573</t>
  </si>
  <si>
    <t>ODR00574</t>
  </si>
  <si>
    <t>ODR00575</t>
  </si>
  <si>
    <t>ODR00576</t>
  </si>
  <si>
    <t>ODR00577</t>
  </si>
  <si>
    <t>ODR00578</t>
  </si>
  <si>
    <t>ODR00579</t>
  </si>
  <si>
    <t>ODR00580</t>
  </si>
  <si>
    <t>ODR00581</t>
  </si>
  <si>
    <t>ODR00582</t>
  </si>
  <si>
    <t>ODR00583</t>
  </si>
  <si>
    <t>ODR00584</t>
  </si>
  <si>
    <t>ODR00585</t>
  </si>
  <si>
    <t>ODR00586</t>
  </si>
  <si>
    <t>ODR00587</t>
  </si>
  <si>
    <t>ODR00588</t>
  </si>
  <si>
    <t>ODR00589</t>
  </si>
  <si>
    <t>ODR00590</t>
  </si>
  <si>
    <t>ODR00591</t>
  </si>
  <si>
    <t>ODR00592</t>
  </si>
  <si>
    <t>ODR00593</t>
  </si>
  <si>
    <t>ODR00594</t>
  </si>
  <si>
    <t>ODR00595</t>
  </si>
  <si>
    <t>ODR00596</t>
  </si>
  <si>
    <t>ODR00597</t>
  </si>
  <si>
    <t>ODR00598</t>
  </si>
  <si>
    <t>ODR00599</t>
  </si>
  <si>
    <t>ODR00600</t>
  </si>
  <si>
    <t>ODR00601</t>
  </si>
  <si>
    <t>ODR00602</t>
  </si>
  <si>
    <t>ODR00603</t>
  </si>
  <si>
    <t>ODR00604</t>
  </si>
  <si>
    <t>ODR00605</t>
  </si>
  <si>
    <t>ODR00606</t>
  </si>
  <si>
    <t>ODR00607</t>
  </si>
  <si>
    <t>ODR00608</t>
  </si>
  <si>
    <t>ODR00609</t>
  </si>
  <si>
    <t>ODR00610</t>
  </si>
  <si>
    <t>ODR00611</t>
  </si>
  <si>
    <t>ODR00612</t>
  </si>
  <si>
    <t>ODR00613</t>
  </si>
  <si>
    <t>ODR00614</t>
  </si>
  <si>
    <t>ODR00615</t>
  </si>
  <si>
    <t>ODR00616</t>
  </si>
  <si>
    <t>ODR00617</t>
  </si>
  <si>
    <t>ODR00618</t>
  </si>
  <si>
    <t>ODR00619</t>
  </si>
  <si>
    <t>ODR00620</t>
  </si>
  <si>
    <t>ODR00621</t>
  </si>
  <si>
    <t>ODR00622</t>
  </si>
  <si>
    <t>ODR00623</t>
  </si>
  <si>
    <t>ODR00624</t>
  </si>
  <si>
    <t>ODR00625</t>
  </si>
  <si>
    <t>ODR00626</t>
  </si>
  <si>
    <t>ODR00627</t>
  </si>
  <si>
    <t>ODR00628</t>
  </si>
  <si>
    <t>ODR00629</t>
  </si>
  <si>
    <t>ODR00630</t>
  </si>
  <si>
    <t>ODR00631</t>
  </si>
  <si>
    <t>ODR00632</t>
  </si>
  <si>
    <t>ODR00633</t>
  </si>
  <si>
    <t>ODR00634</t>
  </si>
  <si>
    <t>ODR00635</t>
  </si>
  <si>
    <t>ODR00636</t>
  </si>
  <si>
    <t>ODR00637</t>
  </si>
  <si>
    <t>ODR00638</t>
  </si>
  <si>
    <t>ODR00639</t>
  </si>
  <si>
    <t>ODR00640</t>
  </si>
  <si>
    <t>ODR00641</t>
  </si>
  <si>
    <t>ODR00642</t>
  </si>
  <si>
    <t>ODR00643</t>
  </si>
  <si>
    <t>ODR00644</t>
  </si>
  <si>
    <t>ODR00645</t>
  </si>
  <si>
    <t>ODR00646</t>
  </si>
  <si>
    <t>ODR00647</t>
  </si>
  <si>
    <t>ODR00648</t>
  </si>
  <si>
    <t>ODR00649</t>
  </si>
  <si>
    <t>ODR00650</t>
  </si>
  <si>
    <t>ODR00651</t>
  </si>
  <si>
    <t>ODR00652</t>
  </si>
  <si>
    <t>ODR00653</t>
  </si>
  <si>
    <t>ODR00654</t>
  </si>
  <si>
    <t>ODR00655</t>
  </si>
  <si>
    <t>ODR00656</t>
  </si>
  <si>
    <t>ODR00657</t>
  </si>
  <si>
    <t>ODR00658</t>
  </si>
  <si>
    <t>ODR00659</t>
  </si>
  <si>
    <t>ODR00660</t>
  </si>
  <si>
    <t>ODR00661</t>
  </si>
  <si>
    <t>ODR00662</t>
  </si>
  <si>
    <t>ODR00663</t>
  </si>
  <si>
    <t>ODR00664</t>
  </si>
  <si>
    <t>ODR00665</t>
  </si>
  <si>
    <t>ODR00666</t>
  </si>
  <si>
    <t>ODR00667</t>
  </si>
  <si>
    <t>ODR00668</t>
  </si>
  <si>
    <t>ODR00669</t>
  </si>
  <si>
    <t>ODR00670</t>
  </si>
  <si>
    <t>ODR00671</t>
  </si>
  <si>
    <t>ODR00672</t>
  </si>
  <si>
    <t>ODR00673</t>
  </si>
  <si>
    <t>ODR00674</t>
  </si>
  <si>
    <t>ODR00675</t>
  </si>
  <si>
    <t>ODR00676</t>
  </si>
  <si>
    <t>ODR00677</t>
  </si>
  <si>
    <t>ODR00678</t>
  </si>
  <si>
    <t>ODR00679</t>
  </si>
  <si>
    <t>ODR00680</t>
  </si>
  <si>
    <t>ODR00681</t>
  </si>
  <si>
    <t>ODR00682</t>
  </si>
  <si>
    <t>ODR00683</t>
  </si>
  <si>
    <t>ODR00684</t>
  </si>
  <si>
    <t>ODR00685</t>
  </si>
  <si>
    <t>ODR00686</t>
  </si>
  <si>
    <t>ODR00687</t>
  </si>
  <si>
    <t>ODR00688</t>
  </si>
  <si>
    <t>ODR00689</t>
  </si>
  <si>
    <t>ODR00690</t>
  </si>
  <si>
    <t>ODR00691</t>
  </si>
  <si>
    <t>ODR00692</t>
  </si>
  <si>
    <t>ODR00693</t>
  </si>
  <si>
    <t>ODR00694</t>
  </si>
  <si>
    <t>ODR00695</t>
  </si>
  <si>
    <t>ODR00696</t>
  </si>
  <si>
    <t>ODR00697</t>
  </si>
  <si>
    <t>ODR00698</t>
  </si>
  <si>
    <t>ODR00699</t>
  </si>
  <si>
    <t>ODR00700</t>
  </si>
  <si>
    <t>ODR00701</t>
  </si>
  <si>
    <t>ODR00702</t>
  </si>
  <si>
    <t>ODR00703</t>
  </si>
  <si>
    <t>ODR00704</t>
  </si>
  <si>
    <t>ODR00705</t>
  </si>
  <si>
    <t>ODR00706</t>
  </si>
  <si>
    <t>ODR00707</t>
  </si>
  <si>
    <t>ODR00708</t>
  </si>
  <si>
    <t>ODR00709</t>
  </si>
  <si>
    <t>ODR00710</t>
  </si>
  <si>
    <t>ODR00711</t>
  </si>
  <si>
    <t>ODR00712</t>
  </si>
  <si>
    <t>ODR00713</t>
  </si>
  <si>
    <t>ODR00714</t>
  </si>
  <si>
    <t>ODR00715</t>
  </si>
  <si>
    <t>ODR00716</t>
  </si>
  <si>
    <t>ODR00717</t>
  </si>
  <si>
    <t>ODR00718</t>
  </si>
  <si>
    <t>ODR00719</t>
  </si>
  <si>
    <t>ODR00720</t>
  </si>
  <si>
    <t>ODR00721</t>
  </si>
  <si>
    <t>ODR00722</t>
  </si>
  <si>
    <t>ODR00723</t>
  </si>
  <si>
    <t>ODR00724</t>
  </si>
  <si>
    <t>ODR00725</t>
  </si>
  <si>
    <t>ODR00726</t>
  </si>
  <si>
    <t>ODR00727</t>
  </si>
  <si>
    <t>ODR00728</t>
  </si>
  <si>
    <t>ODR00729</t>
  </si>
  <si>
    <t>ODR00730</t>
  </si>
  <si>
    <t>ODR00731</t>
  </si>
  <si>
    <t>ODR00732</t>
  </si>
  <si>
    <t>ODR00733</t>
  </si>
  <si>
    <t>ODR00734</t>
  </si>
  <si>
    <t>ODR00735</t>
  </si>
  <si>
    <t>ODR00736</t>
  </si>
  <si>
    <t>ODR00737</t>
  </si>
  <si>
    <t>ODR00738</t>
  </si>
  <si>
    <t>ODR00739</t>
  </si>
  <si>
    <t>ODR00740</t>
  </si>
  <si>
    <t>ODR00741</t>
  </si>
  <si>
    <t>ODR00742</t>
  </si>
  <si>
    <t>ODR00743</t>
  </si>
  <si>
    <t>ODR00744</t>
  </si>
  <si>
    <t>ODR00745</t>
  </si>
  <si>
    <t>ODR00746</t>
  </si>
  <si>
    <t>ODR00747</t>
  </si>
  <si>
    <t>ODR00748</t>
  </si>
  <si>
    <t>ODR00749</t>
  </si>
  <si>
    <t>ODR00750</t>
  </si>
  <si>
    <t>ODR00751</t>
  </si>
  <si>
    <t>ODR00752</t>
  </si>
  <si>
    <t>ODR00753</t>
  </si>
  <si>
    <t>ODR00754</t>
  </si>
  <si>
    <t>ODR00755</t>
  </si>
  <si>
    <t>ODR00756</t>
  </si>
  <si>
    <t>ODR00757</t>
  </si>
  <si>
    <t>ODR00758</t>
  </si>
  <si>
    <t>ODR00759</t>
  </si>
  <si>
    <t>ODR00760</t>
  </si>
  <si>
    <t>ODR00761</t>
  </si>
  <si>
    <t>ODR00762</t>
  </si>
  <si>
    <t>ODR00763</t>
  </si>
  <si>
    <t>ODR00764</t>
  </si>
  <si>
    <t>ODR00765</t>
  </si>
  <si>
    <t>ODR00766</t>
  </si>
  <si>
    <t>ODR00767</t>
  </si>
  <si>
    <t>ODR00768</t>
  </si>
  <si>
    <t>ODR00769</t>
  </si>
  <si>
    <t>ODR00770</t>
  </si>
  <si>
    <t>ODR00771</t>
  </si>
  <si>
    <t>ODR00772</t>
  </si>
  <si>
    <t>ODR00773</t>
  </si>
  <si>
    <t>ODR00774</t>
  </si>
  <si>
    <t>ODR00775</t>
  </si>
  <si>
    <t>ODR00776</t>
  </si>
  <si>
    <t>ODR00777</t>
  </si>
  <si>
    <t>ODR00778</t>
  </si>
  <si>
    <t>ODR00779</t>
  </si>
  <si>
    <t>ODR00780</t>
  </si>
  <si>
    <t>ODR00781</t>
  </si>
  <si>
    <t>ODR00782</t>
  </si>
  <si>
    <t>ODR00783</t>
  </si>
  <si>
    <t>ODR00784</t>
  </si>
  <si>
    <t>ODR00785</t>
  </si>
  <si>
    <t>ODR00786</t>
  </si>
  <si>
    <t>ODR00787</t>
  </si>
  <si>
    <t>ODR00788</t>
  </si>
  <si>
    <t>ODR00789</t>
  </si>
  <si>
    <t>ODR00790</t>
  </si>
  <si>
    <t>ODR00791</t>
  </si>
  <si>
    <t>ODR00792</t>
  </si>
  <si>
    <t>ODR00793</t>
  </si>
  <si>
    <t>ODR00794</t>
  </si>
  <si>
    <t>ODR00795</t>
  </si>
  <si>
    <t>ODR00796</t>
  </si>
  <si>
    <t>ODR00797</t>
  </si>
  <si>
    <t>ODR00798</t>
  </si>
  <si>
    <t>ODR00799</t>
  </si>
  <si>
    <t>ODR00800</t>
  </si>
  <si>
    <t>ODR00801</t>
  </si>
  <si>
    <t>ODR00802</t>
  </si>
  <si>
    <t>ODR00803</t>
  </si>
  <si>
    <t>ODR00804</t>
  </si>
  <si>
    <t>ODR00805</t>
  </si>
  <si>
    <t>ODR00806</t>
  </si>
  <si>
    <t>ODR00807</t>
  </si>
  <si>
    <t>ODR00808</t>
  </si>
  <si>
    <t>ODR00809</t>
  </si>
  <si>
    <t>ODR00810</t>
  </si>
  <si>
    <t>ODR00811</t>
  </si>
  <si>
    <t>ODR00812</t>
  </si>
  <si>
    <t>ODR00813</t>
  </si>
  <si>
    <t>ODR00814</t>
  </si>
  <si>
    <t>ODR00815</t>
  </si>
  <si>
    <t>ODR00816</t>
  </si>
  <si>
    <t>ODR00817</t>
  </si>
  <si>
    <t>ODR00818</t>
  </si>
  <si>
    <t>ODR00819</t>
  </si>
  <si>
    <t>ODR00820</t>
  </si>
  <si>
    <t>ODR00821</t>
  </si>
  <si>
    <t>ODR00822</t>
  </si>
  <si>
    <t>ODR00823</t>
  </si>
  <si>
    <t>ODR00824</t>
  </si>
  <si>
    <t>ODR00825</t>
  </si>
  <si>
    <t>ODR00826</t>
  </si>
  <si>
    <t>ODR00827</t>
  </si>
  <si>
    <t>ODR00828</t>
  </si>
  <si>
    <t>ODR00829</t>
  </si>
  <si>
    <t>ODR00830</t>
  </si>
  <si>
    <t>ODR00831</t>
  </si>
  <si>
    <t>ODR00832</t>
  </si>
  <si>
    <t>ODR00833</t>
  </si>
  <si>
    <t>ODR00834</t>
  </si>
  <si>
    <t>ODR00835</t>
  </si>
  <si>
    <t>ODR00836</t>
  </si>
  <si>
    <t>ODR00837</t>
  </si>
  <si>
    <t>ODR00838</t>
  </si>
  <si>
    <t>ODR00839</t>
  </si>
  <si>
    <t>ODR00840</t>
  </si>
  <si>
    <t>ODR00841</t>
  </si>
  <si>
    <t>ODR00842</t>
  </si>
  <si>
    <t>ODR00843</t>
  </si>
  <si>
    <t>ODR00844</t>
  </si>
  <si>
    <t>ODR00845</t>
  </si>
  <si>
    <t>ODR00846</t>
  </si>
  <si>
    <t>ODR00847</t>
  </si>
  <si>
    <t>ODR00848</t>
  </si>
  <si>
    <t>ODR00849</t>
  </si>
  <si>
    <t>ODR00850</t>
  </si>
  <si>
    <t>ODR00851</t>
  </si>
  <si>
    <t>ODR00852</t>
  </si>
  <si>
    <t>ODR00853</t>
  </si>
  <si>
    <t>ODR00854</t>
  </si>
  <si>
    <t>ODR00855</t>
  </si>
  <si>
    <t>ODR00856</t>
  </si>
  <si>
    <t>ODR00857</t>
  </si>
  <si>
    <t>ODR00858</t>
  </si>
  <si>
    <t>ODR00859</t>
  </si>
  <si>
    <t>ODR00860</t>
  </si>
  <si>
    <t>ODR00861</t>
  </si>
  <si>
    <t>ODR00862</t>
  </si>
  <si>
    <t>ODR00863</t>
  </si>
  <si>
    <t>ODR00864</t>
  </si>
  <si>
    <t>ODR00865</t>
  </si>
  <si>
    <t>ODR00866</t>
  </si>
  <si>
    <t>ODR00867</t>
  </si>
  <si>
    <t>ODR00868</t>
  </si>
  <si>
    <t>ODR00869</t>
  </si>
  <si>
    <t>ODR00870</t>
  </si>
  <si>
    <t>ODR00871</t>
  </si>
  <si>
    <t>ODR00872</t>
  </si>
  <si>
    <t>ODR00873</t>
  </si>
  <si>
    <t>ODR00874</t>
  </si>
  <si>
    <t>ODR00875</t>
  </si>
  <si>
    <t>ODR00876</t>
  </si>
  <si>
    <t>ODR00877</t>
  </si>
  <si>
    <t>ODR00878</t>
  </si>
  <si>
    <t>ODR00879</t>
  </si>
  <si>
    <t>ODR00880</t>
  </si>
  <si>
    <t>ODR00881</t>
  </si>
  <si>
    <t>ODR00882</t>
  </si>
  <si>
    <t>ODR00883</t>
  </si>
  <si>
    <t>ODR00884</t>
  </si>
  <si>
    <t>ODR00885</t>
  </si>
  <si>
    <t>ODR00886</t>
  </si>
  <si>
    <t>ODR00887</t>
  </si>
  <si>
    <t>ODR00888</t>
  </si>
  <si>
    <t>ODR00889</t>
  </si>
  <si>
    <t>ODR00890</t>
  </si>
  <si>
    <t>ODR00891</t>
  </si>
  <si>
    <t>ODR00892</t>
  </si>
  <si>
    <t>ODR00893</t>
  </si>
  <si>
    <t>ODR00894</t>
  </si>
  <si>
    <t>ODR00895</t>
  </si>
  <si>
    <t>ODR00896</t>
  </si>
  <si>
    <t>ODR00897</t>
  </si>
  <si>
    <t>ODR00898</t>
  </si>
  <si>
    <t>ODR00899</t>
  </si>
  <si>
    <t>ODR00900</t>
  </si>
  <si>
    <t>ODR00901</t>
  </si>
  <si>
    <t>ODR00902</t>
  </si>
  <si>
    <t>ODR00903</t>
  </si>
  <si>
    <t>ODR00904</t>
  </si>
  <si>
    <t>ODR00905</t>
  </si>
  <si>
    <t>ODR00906</t>
  </si>
  <si>
    <t>ODR00907</t>
  </si>
  <si>
    <t>ODR00908</t>
  </si>
  <si>
    <t>ODR00909</t>
  </si>
  <si>
    <t>ODR00910</t>
  </si>
  <si>
    <t>ODR00911</t>
  </si>
  <si>
    <t>ODR00912</t>
  </si>
  <si>
    <t>ODR00913</t>
  </si>
  <si>
    <t>ODR00914</t>
  </si>
  <si>
    <t>ODR00915</t>
  </si>
  <si>
    <t>ODR00916</t>
  </si>
  <si>
    <t>ODR00917</t>
  </si>
  <si>
    <t>ODR00918</t>
  </si>
  <si>
    <t>ODR00919</t>
  </si>
  <si>
    <t>ODR00920</t>
  </si>
  <si>
    <t>ODR00921</t>
  </si>
  <si>
    <t>ODR00922</t>
  </si>
  <si>
    <t>ODR00923</t>
  </si>
  <si>
    <t>ODR00924</t>
  </si>
  <si>
    <t>ODR00925</t>
  </si>
  <si>
    <t>ODR00926</t>
  </si>
  <si>
    <t>ODR00927</t>
  </si>
  <si>
    <t>ODR00928</t>
  </si>
  <si>
    <t>ODR00929</t>
  </si>
  <si>
    <t>ODR00930</t>
  </si>
  <si>
    <t>ODR00931</t>
  </si>
  <si>
    <t>ODR00932</t>
  </si>
  <si>
    <t>ODR00933</t>
  </si>
  <si>
    <t>ODR00934</t>
  </si>
  <si>
    <t>ODR00935</t>
  </si>
  <si>
    <t>ODR00936</t>
  </si>
  <si>
    <t>ODR00937</t>
  </si>
  <si>
    <t>ODR00938</t>
  </si>
  <si>
    <t>ODR00939</t>
  </si>
  <si>
    <t>ODR00940</t>
  </si>
  <si>
    <t>ODR00941</t>
  </si>
  <si>
    <t>ODR00942</t>
  </si>
  <si>
    <t>ODR00943</t>
  </si>
  <si>
    <t>ODR00944</t>
  </si>
  <si>
    <t>ODR00945</t>
  </si>
  <si>
    <t>ODR00946</t>
  </si>
  <si>
    <t>ODR00947</t>
  </si>
  <si>
    <t>ODR00948</t>
  </si>
  <si>
    <t>ODR00949</t>
  </si>
  <si>
    <t>ODR00950</t>
  </si>
  <si>
    <t>ODR00951</t>
  </si>
  <si>
    <t>ODR00952</t>
  </si>
  <si>
    <t>ODR00953</t>
  </si>
  <si>
    <t>ODR00954</t>
  </si>
  <si>
    <t>ODR00955</t>
  </si>
  <si>
    <t>ODR00956</t>
  </si>
  <si>
    <t>ODR00957</t>
  </si>
  <si>
    <t>ODR00958</t>
  </si>
  <si>
    <t>ODR00959</t>
  </si>
  <si>
    <t>ODR00960</t>
  </si>
  <si>
    <t>ODR00961</t>
  </si>
  <si>
    <t>ODR00962</t>
  </si>
  <si>
    <t>ODR00963</t>
  </si>
  <si>
    <t>ODR00964</t>
  </si>
  <si>
    <t>ODR00965</t>
  </si>
  <si>
    <t>ODR00966</t>
  </si>
  <si>
    <t>ODR00967</t>
  </si>
  <si>
    <t>ODR00968</t>
  </si>
  <si>
    <t>ODR00969</t>
  </si>
  <si>
    <t>ODR00970</t>
  </si>
  <si>
    <t>ODR00971</t>
  </si>
  <si>
    <t>ODR00972</t>
  </si>
  <si>
    <t>ODR00973</t>
  </si>
  <si>
    <t>ODR00974</t>
  </si>
  <si>
    <t>ODR00975</t>
  </si>
  <si>
    <t>ODR00976</t>
  </si>
  <si>
    <t>ODR00977</t>
  </si>
  <si>
    <t>ODR00978</t>
  </si>
  <si>
    <t>ODR00979</t>
  </si>
  <si>
    <t>ODR00980</t>
  </si>
  <si>
    <t>ODR00981</t>
  </si>
  <si>
    <t>ODR00982</t>
  </si>
  <si>
    <t>ODR00983</t>
  </si>
  <si>
    <t>ODR00984</t>
  </si>
  <si>
    <t>ODR00985</t>
  </si>
  <si>
    <t>ODR00986</t>
  </si>
  <si>
    <t>ODR00987</t>
  </si>
  <si>
    <t>ODR00988</t>
  </si>
  <si>
    <t>ODR00989</t>
  </si>
  <si>
    <t>ODR00990</t>
  </si>
  <si>
    <t>ODR00991</t>
  </si>
  <si>
    <t>ODR00992</t>
  </si>
  <si>
    <t>ODR00993</t>
  </si>
  <si>
    <t>ODR00994</t>
  </si>
  <si>
    <t>ODR00995</t>
  </si>
  <si>
    <t>ODR00996</t>
  </si>
  <si>
    <t>ODR00997</t>
  </si>
  <si>
    <t>ODR00998</t>
  </si>
  <si>
    <t>ODR00999</t>
  </si>
  <si>
    <t>ODR01000</t>
  </si>
  <si>
    <t>Month- year</t>
  </si>
  <si>
    <t>Discount band</t>
  </si>
  <si>
    <t>Sum of Profit</t>
  </si>
  <si>
    <t>Grand Total</t>
  </si>
  <si>
    <t>Count of Order ID</t>
  </si>
  <si>
    <t>Year</t>
  </si>
  <si>
    <t>Profit margin %</t>
  </si>
  <si>
    <t>Profit/loss flag</t>
  </si>
  <si>
    <t>Sales by sub category</t>
  </si>
  <si>
    <t>Sales &amp; Profit by Region</t>
  </si>
  <si>
    <t>Sales by category</t>
  </si>
  <si>
    <t>01-2025</t>
  </si>
  <si>
    <t>02-2025</t>
  </si>
  <si>
    <t>03-2025</t>
  </si>
  <si>
    <t>04-2025</t>
  </si>
  <si>
    <t>05-2024</t>
  </si>
  <si>
    <t>05-2025</t>
  </si>
  <si>
    <t>06-2024</t>
  </si>
  <si>
    <t>07-2024</t>
  </si>
  <si>
    <t>08-2024</t>
  </si>
  <si>
    <t>09-2024</t>
  </si>
  <si>
    <t>10-2024</t>
  </si>
  <si>
    <t>11-2024</t>
  </si>
  <si>
    <t>12-2024</t>
  </si>
  <si>
    <t>Sales</t>
  </si>
  <si>
    <t>Profits</t>
  </si>
  <si>
    <t>Orders</t>
  </si>
  <si>
    <t>Monthly Sales Trends</t>
  </si>
  <si>
    <t>Total sales</t>
  </si>
  <si>
    <t>Total Profit</t>
  </si>
  <si>
    <t>Profit margin</t>
  </si>
  <si>
    <t>% orders</t>
  </si>
  <si>
    <t>Sale</t>
  </si>
  <si>
    <t>Method</t>
  </si>
  <si>
    <t>Ststus</t>
  </si>
  <si>
    <t>Count</t>
  </si>
  <si>
    <t>% share</t>
  </si>
  <si>
    <t>sales</t>
  </si>
  <si>
    <t xml:space="preserve"> Quantity</t>
  </si>
  <si>
    <t>% Total</t>
  </si>
  <si>
    <t>Total Revenue</t>
  </si>
  <si>
    <t xml:space="preserve"> 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</si>
</sst>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71" formatCode="0.00;[Red]0.00"/>
    <numFmt numFmtId="172" formatCode="&quot;₹&quot;\ #,##0.00;[Red]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NumberFormat="1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71" fontId="0" fillId="0" borderId="0" xfId="0" applyNumberFormat="1"/>
    <xf numFmtId="172" fontId="0" fillId="0" borderId="0" xfId="0" applyNumberForma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3" borderId="0" xfId="0" applyFill="1" applyAlignment="1">
      <alignment horizontal="left"/>
    </xf>
    <xf numFmtId="164" fontId="0" fillId="3" borderId="0" xfId="0" applyNumberFormat="1" applyFill="1"/>
    <xf numFmtId="2" fontId="0" fillId="3" borderId="0" xfId="0" applyNumberFormat="1" applyFill="1"/>
    <xf numFmtId="10" fontId="0" fillId="3" borderId="0" xfId="0" applyNumberFormat="1" applyFill="1"/>
    <xf numFmtId="171" fontId="0" fillId="3" borderId="0" xfId="0" applyNumberFormat="1" applyFill="1"/>
    <xf numFmtId="0" fontId="0" fillId="3" borderId="0" xfId="0" applyNumberFormat="1" applyFill="1"/>
    <xf numFmtId="172" fontId="0" fillId="3" borderId="0" xfId="0" applyNumberFormat="1" applyFill="1"/>
  </cellXfs>
  <cellStyles count="1">
    <cellStyle name="Normal" xfId="0" builtinId="0"/>
  </cellStyles>
  <dxfs count="45">
    <dxf>
      <numFmt numFmtId="14" formatCode="0.00%"/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4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30" formatCode="@"/>
    </dxf>
    <dxf>
      <numFmt numFmtId="30" formatCode="@"/>
    </dxf>
    <dxf>
      <numFmt numFmtId="2" formatCode="0.00"/>
    </dxf>
    <dxf>
      <numFmt numFmtId="0" formatCode="General"/>
    </dxf>
    <dxf>
      <numFmt numFmtId="2" formatCode="0.00"/>
    </dxf>
    <dxf>
      <numFmt numFmtId="164" formatCode="&quot;₹&quot;\ 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0" formatCode="General"/>
    </dxf>
    <dxf>
      <numFmt numFmtId="2" formatCode="0.00"/>
    </dxf>
    <dxf>
      <numFmt numFmtId="164" formatCode="&quot;₹&quot;\ 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[indian_retails_Excel_project_2026.xlsx]Pivot tables!PivotTable7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&amp;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'Pivot tables'!$B$4:$B$8</c:f>
              <c:numCache>
                <c:formatCode>"₹"\ #,##0.00</c:formatCode>
                <c:ptCount val="4"/>
                <c:pt idx="0">
                  <c:v>1500427.6599999995</c:v>
                </c:pt>
                <c:pt idx="1">
                  <c:v>1479636.2700000012</c:v>
                </c:pt>
                <c:pt idx="2">
                  <c:v>1452430.6300000001</c:v>
                </c:pt>
                <c:pt idx="3">
                  <c:v>1418844.1100000003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9-4C4B-9FD1-2E41A7B061E8}"/>
            </c:ext>
          </c:extLst>
        </c:ser>
        <c:ser>
          <c:idx val="1"/>
          <c:order val="1"/>
          <c:tx>
            <c:strRef>
              <c:f>'Pivot tables'!$C$3</c:f>
              <c:strCache>
                <c:ptCount val="1"/>
                <c:pt idx="0">
                  <c:v>Total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'Pivot tables'!$C$4:$C$8</c:f>
              <c:numCache>
                <c:formatCode>0.00</c:formatCode>
                <c:ptCount val="4"/>
                <c:pt idx="0">
                  <c:v>192233.44999999992</c:v>
                </c:pt>
                <c:pt idx="1">
                  <c:v>188785.72000000006</c:v>
                </c:pt>
                <c:pt idx="2">
                  <c:v>178655.02999999977</c:v>
                </c:pt>
                <c:pt idx="3">
                  <c:v>168349.83000000005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09-4C4B-9FD1-2E41A7B061E8}"/>
            </c:ext>
          </c:extLst>
        </c:ser>
        <c:ser>
          <c:idx val="2"/>
          <c:order val="2"/>
          <c:tx>
            <c:strRef>
              <c:f>'Pivot tables'!$D$3</c:f>
              <c:strCache>
                <c:ptCount val="1"/>
                <c:pt idx="0">
                  <c:v>Profit margin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'Pivot tables'!$D$4:$D$8</c:f>
              <c:numCache>
                <c:formatCode>0.00%</c:formatCode>
                <c:ptCount val="4"/>
                <c:pt idx="0">
                  <c:v>0.12718219753272142</c:v>
                </c:pt>
                <c:pt idx="1">
                  <c:v>0.12925769775350476</c:v>
                </c:pt>
                <c:pt idx="2">
                  <c:v>0.12470186042403868</c:v>
                </c:pt>
                <c:pt idx="3">
                  <c:v>0.12332835531925702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09-4C4B-9FD1-2E41A7B061E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35395424"/>
        <c:axId val="1735385824"/>
      </c:barChart>
      <c:catAx>
        <c:axId val="173539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85824"/>
        <c:crosses val="autoZero"/>
        <c:auto val="1"/>
        <c:lblAlgn val="ctr"/>
        <c:lblOffset val="100"/>
        <c:noMultiLvlLbl val="0"/>
      </c:catAx>
      <c:valAx>
        <c:axId val="173538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9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[indian_retails_Excel_project_2026.xlsx]Pivot tables!PivotTable13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tables'!$B$12</c:f>
              <c:strCache>
                <c:ptCount val="1"/>
                <c:pt idx="0">
                  <c:v>Sale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31-45B4-A455-B4E858C32B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31-45B4-A455-B4E858C32B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31-45B4-A455-B4E858C32B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tables'!$A$13:$A$16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tables'!$B$13:$B$16</c:f>
              <c:numCache>
                <c:formatCode>"₹"\ #,##0.00</c:formatCode>
                <c:ptCount val="3"/>
                <c:pt idx="0">
                  <c:v>2138806.9400000009</c:v>
                </c:pt>
                <c:pt idx="1">
                  <c:v>1938835.7900000014</c:v>
                </c:pt>
                <c:pt idx="2">
                  <c:v>1770972.1400000006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31-45B4-A455-B4E858C32BE5}"/>
            </c:ext>
          </c:extLst>
        </c:ser>
        <c:ser>
          <c:idx val="1"/>
          <c:order val="1"/>
          <c:tx>
            <c:strRef>
              <c:f>'Pivot tables'!$C$12</c:f>
              <c:strCache>
                <c:ptCount val="1"/>
                <c:pt idx="0">
                  <c:v>Profits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231-45B4-A455-B4E858C32B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231-45B4-A455-B4E858C32B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231-45B4-A455-B4E858C32B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tables'!$A$13:$A$16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tables'!$C$13:$C$16</c:f>
              <c:numCache>
                <c:formatCode>0.00;[Red]0.00</c:formatCode>
                <c:ptCount val="3"/>
                <c:pt idx="0">
                  <c:v>254162.73999999973</c:v>
                </c:pt>
                <c:pt idx="1">
                  <c:v>249781.74000000008</c:v>
                </c:pt>
                <c:pt idx="2">
                  <c:v>223740.54999999978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231-45B4-A455-B4E858C32BE5}"/>
            </c:ext>
          </c:extLst>
        </c:ser>
        <c:ser>
          <c:idx val="2"/>
          <c:order val="2"/>
          <c:tx>
            <c:strRef>
              <c:f>'Pivot tables'!$D$12</c:f>
              <c:strCache>
                <c:ptCount val="1"/>
                <c:pt idx="0">
                  <c:v>% 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231-45B4-A455-B4E858C32B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231-45B4-A455-B4E858C32B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231-45B4-A455-B4E858C32B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tables'!$A$13:$A$16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tables'!$D$13:$D$16</c:f>
              <c:numCache>
                <c:formatCode>0.00%</c:formatCode>
                <c:ptCount val="3"/>
                <c:pt idx="0">
                  <c:v>0.35135135135135137</c:v>
                </c:pt>
                <c:pt idx="1">
                  <c:v>0.31831831831831831</c:v>
                </c:pt>
                <c:pt idx="2">
                  <c:v>0.33033033033033032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231-45B4-A455-B4E858C32BE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[indian_retails_Excel_project_2026.xlsx]Pivot tables!PivotTable15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tables'!$B$20</c:f>
              <c:strCache>
                <c:ptCount val="1"/>
                <c:pt idx="0">
                  <c:v>Sale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4E-4155-AE87-E547ABCE52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4E-4155-AE87-E547ABCE52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4E-4155-AE87-E547ABCE52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54E-4155-AE87-E547ABCE52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tables'!$A$21:$A$25</c:f>
              <c:strCache>
                <c:ptCount val="4"/>
                <c:pt idx="0">
                  <c:v>Credit Card</c:v>
                </c:pt>
                <c:pt idx="1">
                  <c:v>Net Banking</c:v>
                </c:pt>
                <c:pt idx="2">
                  <c:v>UPI</c:v>
                </c:pt>
                <c:pt idx="3">
                  <c:v>Cash</c:v>
                </c:pt>
              </c:strCache>
            </c:strRef>
          </c:cat>
          <c:val>
            <c:numRef>
              <c:f>'Pivot tables'!$B$21:$B$25</c:f>
              <c:numCache>
                <c:formatCode>"₹"\ #,##0.00</c:formatCode>
                <c:ptCount val="4"/>
                <c:pt idx="0">
                  <c:v>1604055.0100000012</c:v>
                </c:pt>
                <c:pt idx="1">
                  <c:v>1517331.7999999993</c:v>
                </c:pt>
                <c:pt idx="2">
                  <c:v>1386049.300000001</c:v>
                </c:pt>
                <c:pt idx="3">
                  <c:v>1341178.76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54E-4155-AE87-E547ABCE5263}"/>
            </c:ext>
          </c:extLst>
        </c:ser>
        <c:ser>
          <c:idx val="1"/>
          <c:order val="1"/>
          <c:tx>
            <c:strRef>
              <c:f>'Pivot tables'!$C$20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54E-4155-AE87-E547ABCE52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54E-4155-AE87-E547ABCE52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54E-4155-AE87-E547ABCE52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54E-4155-AE87-E547ABCE52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tables'!$A$21:$A$25</c:f>
              <c:strCache>
                <c:ptCount val="4"/>
                <c:pt idx="0">
                  <c:v>Credit Card</c:v>
                </c:pt>
                <c:pt idx="1">
                  <c:v>Net Banking</c:v>
                </c:pt>
                <c:pt idx="2">
                  <c:v>UPI</c:v>
                </c:pt>
                <c:pt idx="3">
                  <c:v>Cash</c:v>
                </c:pt>
              </c:strCache>
            </c:strRef>
          </c:cat>
          <c:val>
            <c:numRef>
              <c:f>'Pivot tables'!$C$21:$C$25</c:f>
              <c:numCache>
                <c:formatCode>General</c:formatCode>
                <c:ptCount val="4"/>
                <c:pt idx="0">
                  <c:v>291</c:v>
                </c:pt>
                <c:pt idx="1">
                  <c:v>249</c:v>
                </c:pt>
                <c:pt idx="2">
                  <c:v>235</c:v>
                </c:pt>
                <c:pt idx="3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54E-4155-AE87-E547ABCE5263}"/>
            </c:ext>
          </c:extLst>
        </c:ser>
        <c:ser>
          <c:idx val="2"/>
          <c:order val="2"/>
          <c:tx>
            <c:strRef>
              <c:f>'Pivot tables'!$D$20</c:f>
              <c:strCache>
                <c:ptCount val="1"/>
                <c:pt idx="0">
                  <c:v>% 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54E-4155-AE87-E547ABCE52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54E-4155-AE87-E547ABCE52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54E-4155-AE87-E547ABCE52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54E-4155-AE87-E547ABCE52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tables'!$A$21:$A$25</c:f>
              <c:strCache>
                <c:ptCount val="4"/>
                <c:pt idx="0">
                  <c:v>Credit Card</c:v>
                </c:pt>
                <c:pt idx="1">
                  <c:v>Net Banking</c:v>
                </c:pt>
                <c:pt idx="2">
                  <c:v>UPI</c:v>
                </c:pt>
                <c:pt idx="3">
                  <c:v>Cash</c:v>
                </c:pt>
              </c:strCache>
            </c:strRef>
          </c:cat>
          <c:val>
            <c:numRef>
              <c:f>'Pivot tables'!$D$21:$D$25</c:f>
              <c:numCache>
                <c:formatCode>0.00%</c:formatCode>
                <c:ptCount val="4"/>
                <c:pt idx="0">
                  <c:v>0.29129129129129128</c:v>
                </c:pt>
                <c:pt idx="1">
                  <c:v>0.24924924924924924</c:v>
                </c:pt>
                <c:pt idx="2">
                  <c:v>0.23523523523523523</c:v>
                </c:pt>
                <c:pt idx="3">
                  <c:v>0.22422422422422422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54E-4155-AE87-E547ABCE526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[indian_retails_Excel_project_2026.xlsx]Pivot tables!PivotTable8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b="1"/>
              <a:t>Sales by sub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tables'!$F$4:$F$16</c:f>
              <c:strCache>
                <c:ptCount val="12"/>
                <c:pt idx="0">
                  <c:v>Chair</c:v>
                </c:pt>
                <c:pt idx="1">
                  <c:v>Cupboard</c:v>
                </c:pt>
                <c:pt idx="2">
                  <c:v>Envelope</c:v>
                </c:pt>
                <c:pt idx="3">
                  <c:v>Laptop</c:v>
                </c:pt>
                <c:pt idx="4">
                  <c:v>Mobile</c:v>
                </c:pt>
                <c:pt idx="5">
                  <c:v>Notebook</c:v>
                </c:pt>
                <c:pt idx="6">
                  <c:v>Pen</c:v>
                </c:pt>
                <c:pt idx="7">
                  <c:v>Printer</c:v>
                </c:pt>
                <c:pt idx="8">
                  <c:v>Sofa</c:v>
                </c:pt>
                <c:pt idx="9">
                  <c:v>Stapler</c:v>
                </c:pt>
                <c:pt idx="10">
                  <c:v>Table</c:v>
                </c:pt>
                <c:pt idx="11">
                  <c:v>Tablet</c:v>
                </c:pt>
              </c:strCache>
            </c:strRef>
          </c:cat>
          <c:val>
            <c:numRef>
              <c:f>'Pivot tables'!$G$4:$G$16</c:f>
              <c:numCache>
                <c:formatCode>"₹"\ #,##0.00</c:formatCode>
                <c:ptCount val="12"/>
                <c:pt idx="0">
                  <c:v>565825.35999999975</c:v>
                </c:pt>
                <c:pt idx="1">
                  <c:v>524175.38000000012</c:v>
                </c:pt>
                <c:pt idx="2">
                  <c:v>531129.49999999977</c:v>
                </c:pt>
                <c:pt idx="3">
                  <c:v>371629.13000000006</c:v>
                </c:pt>
                <c:pt idx="4">
                  <c:v>500683.40000000008</c:v>
                </c:pt>
                <c:pt idx="5">
                  <c:v>390804.60000000003</c:v>
                </c:pt>
                <c:pt idx="6">
                  <c:v>463730.23999999982</c:v>
                </c:pt>
                <c:pt idx="7">
                  <c:v>471062.39999999985</c:v>
                </c:pt>
                <c:pt idx="8">
                  <c:v>483962.44000000018</c:v>
                </c:pt>
                <c:pt idx="9">
                  <c:v>553171.44999999995</c:v>
                </c:pt>
                <c:pt idx="10">
                  <c:v>564843.76000000013</c:v>
                </c:pt>
                <c:pt idx="11">
                  <c:v>427597.21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C-4C89-8C29-80A2A0D72677}"/>
            </c:ext>
          </c:extLst>
        </c:ser>
        <c:ser>
          <c:idx val="2"/>
          <c:order val="1"/>
          <c:tx>
            <c:strRef>
              <c:f>'Pivot tables'!$H$3</c:f>
              <c:strCache>
                <c:ptCount val="1"/>
                <c:pt idx="0">
                  <c:v>Profits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tables'!$F$4:$F$16</c:f>
              <c:strCache>
                <c:ptCount val="12"/>
                <c:pt idx="0">
                  <c:v>Chair</c:v>
                </c:pt>
                <c:pt idx="1">
                  <c:v>Cupboard</c:v>
                </c:pt>
                <c:pt idx="2">
                  <c:v>Envelope</c:v>
                </c:pt>
                <c:pt idx="3">
                  <c:v>Laptop</c:v>
                </c:pt>
                <c:pt idx="4">
                  <c:v>Mobile</c:v>
                </c:pt>
                <c:pt idx="5">
                  <c:v>Notebook</c:v>
                </c:pt>
                <c:pt idx="6">
                  <c:v>Pen</c:v>
                </c:pt>
                <c:pt idx="7">
                  <c:v>Printer</c:v>
                </c:pt>
                <c:pt idx="8">
                  <c:v>Sofa</c:v>
                </c:pt>
                <c:pt idx="9">
                  <c:v>Stapler</c:v>
                </c:pt>
                <c:pt idx="10">
                  <c:v>Table</c:v>
                </c:pt>
                <c:pt idx="11">
                  <c:v>Tablet</c:v>
                </c:pt>
              </c:strCache>
            </c:strRef>
          </c:cat>
          <c:val>
            <c:numRef>
              <c:f>'Pivot tables'!$H$4:$H$16</c:f>
              <c:numCache>
                <c:formatCode>0.00</c:formatCode>
                <c:ptCount val="12"/>
                <c:pt idx="0">
                  <c:v>66202.539999999979</c:v>
                </c:pt>
                <c:pt idx="1">
                  <c:v>57962.969999999987</c:v>
                </c:pt>
                <c:pt idx="2">
                  <c:v>64585.490000000013</c:v>
                </c:pt>
                <c:pt idx="3">
                  <c:v>46064.33</c:v>
                </c:pt>
                <c:pt idx="4">
                  <c:v>64755.339999999989</c:v>
                </c:pt>
                <c:pt idx="5">
                  <c:v>47526.310000000005</c:v>
                </c:pt>
                <c:pt idx="6">
                  <c:v>58637.490000000013</c:v>
                </c:pt>
                <c:pt idx="7">
                  <c:v>56775.86</c:v>
                </c:pt>
                <c:pt idx="8">
                  <c:v>62177.430000000015</c:v>
                </c:pt>
                <c:pt idx="9">
                  <c:v>79032.449999999983</c:v>
                </c:pt>
                <c:pt idx="10">
                  <c:v>67819.800000000017</c:v>
                </c:pt>
                <c:pt idx="11">
                  <c:v>56145.020000000004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FC-4C89-8C29-80A2A0D72677}"/>
            </c:ext>
          </c:extLst>
        </c:ser>
        <c:ser>
          <c:idx val="1"/>
          <c:order val="2"/>
          <c:tx>
            <c:strRef>
              <c:f>'Pivot tables'!$I$3</c:f>
              <c:strCache>
                <c:ptCount val="1"/>
                <c:pt idx="0">
                  <c:v>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tables'!$F$4:$F$16</c:f>
              <c:strCache>
                <c:ptCount val="12"/>
                <c:pt idx="0">
                  <c:v>Chair</c:v>
                </c:pt>
                <c:pt idx="1">
                  <c:v>Cupboard</c:v>
                </c:pt>
                <c:pt idx="2">
                  <c:v>Envelope</c:v>
                </c:pt>
                <c:pt idx="3">
                  <c:v>Laptop</c:v>
                </c:pt>
                <c:pt idx="4">
                  <c:v>Mobile</c:v>
                </c:pt>
                <c:pt idx="5">
                  <c:v>Notebook</c:v>
                </c:pt>
                <c:pt idx="6">
                  <c:v>Pen</c:v>
                </c:pt>
                <c:pt idx="7">
                  <c:v>Printer</c:v>
                </c:pt>
                <c:pt idx="8">
                  <c:v>Sofa</c:v>
                </c:pt>
                <c:pt idx="9">
                  <c:v>Stapler</c:v>
                </c:pt>
                <c:pt idx="10">
                  <c:v>Table</c:v>
                </c:pt>
                <c:pt idx="11">
                  <c:v>Tablet</c:v>
                </c:pt>
              </c:strCache>
            </c:strRef>
          </c:cat>
          <c:val>
            <c:numRef>
              <c:f>'Pivot tables'!$I$4:$I$16</c:f>
              <c:numCache>
                <c:formatCode>0.00</c:formatCode>
                <c:ptCount val="12"/>
                <c:pt idx="0">
                  <c:v>544</c:v>
                </c:pt>
                <c:pt idx="1">
                  <c:v>474</c:v>
                </c:pt>
                <c:pt idx="2">
                  <c:v>439</c:v>
                </c:pt>
                <c:pt idx="3">
                  <c:v>373</c:v>
                </c:pt>
                <c:pt idx="4">
                  <c:v>514</c:v>
                </c:pt>
                <c:pt idx="5">
                  <c:v>394</c:v>
                </c:pt>
                <c:pt idx="6">
                  <c:v>434</c:v>
                </c:pt>
                <c:pt idx="7">
                  <c:v>475</c:v>
                </c:pt>
                <c:pt idx="8">
                  <c:v>474</c:v>
                </c:pt>
                <c:pt idx="9">
                  <c:v>497</c:v>
                </c:pt>
                <c:pt idx="10">
                  <c:v>514</c:v>
                </c:pt>
                <c:pt idx="11">
                  <c:v>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FC-4C89-8C29-80A2A0D72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8954127"/>
        <c:axId val="18953647"/>
      </c:barChart>
      <c:catAx>
        <c:axId val="1895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3647"/>
        <c:crosses val="autoZero"/>
        <c:auto val="1"/>
        <c:lblAlgn val="ctr"/>
        <c:lblOffset val="100"/>
        <c:noMultiLvlLbl val="0"/>
      </c:catAx>
      <c:valAx>
        <c:axId val="1895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[indian_retails_Excel_project_2026.xlsx]Pivot tables!PivotTable11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Delivery Status</a:t>
            </a:r>
          </a:p>
        </c:rich>
      </c:tx>
      <c:layout>
        <c:manualLayout>
          <c:xMode val="edge"/>
          <c:yMode val="edge"/>
          <c:x val="0.37662718857673655"/>
          <c:y val="4.61978335182329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tables'!$G$20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tables'!$F$21:$F$24</c:f>
              <c:strCache>
                <c:ptCount val="3"/>
                <c:pt idx="0">
                  <c:v>Delivered</c:v>
                </c:pt>
                <c:pt idx="1">
                  <c:v>In Transit</c:v>
                </c:pt>
                <c:pt idx="2">
                  <c:v>Returned</c:v>
                </c:pt>
              </c:strCache>
            </c:strRef>
          </c:cat>
          <c:val>
            <c:numRef>
              <c:f>'Pivot tables'!$G$21:$G$24</c:f>
              <c:numCache>
                <c:formatCode>General</c:formatCode>
                <c:ptCount val="3"/>
                <c:pt idx="0">
                  <c:v>335</c:v>
                </c:pt>
                <c:pt idx="1">
                  <c:v>331</c:v>
                </c:pt>
                <c:pt idx="2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0-4625-9B70-4F7C1C6B4C39}"/>
            </c:ext>
          </c:extLst>
        </c:ser>
        <c:ser>
          <c:idx val="1"/>
          <c:order val="1"/>
          <c:tx>
            <c:strRef>
              <c:f>'Pivot tables'!$H$20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tables'!$F$21:$F$24</c:f>
              <c:strCache>
                <c:ptCount val="3"/>
                <c:pt idx="0">
                  <c:v>Delivered</c:v>
                </c:pt>
                <c:pt idx="1">
                  <c:v>In Transit</c:v>
                </c:pt>
                <c:pt idx="2">
                  <c:v>Returned</c:v>
                </c:pt>
              </c:strCache>
            </c:strRef>
          </c:cat>
          <c:val>
            <c:numRef>
              <c:f>'Pivot tables'!$H$21:$H$24</c:f>
              <c:numCache>
                <c:formatCode>"₹"\ #,##0.00</c:formatCode>
                <c:ptCount val="3"/>
                <c:pt idx="0">
                  <c:v>1956988.4000000008</c:v>
                </c:pt>
                <c:pt idx="1">
                  <c:v>1913216.2000000004</c:v>
                </c:pt>
                <c:pt idx="2">
                  <c:v>1978410.2700000016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B0-4625-9B70-4F7C1C6B4C39}"/>
            </c:ext>
          </c:extLst>
        </c:ser>
        <c:ser>
          <c:idx val="2"/>
          <c:order val="2"/>
          <c:tx>
            <c:strRef>
              <c:f>'Pivot tables'!$I$20</c:f>
              <c:strCache>
                <c:ptCount val="1"/>
                <c:pt idx="0">
                  <c:v>%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tables'!$F$21:$F$24</c:f>
              <c:strCache>
                <c:ptCount val="3"/>
                <c:pt idx="0">
                  <c:v>Delivered</c:v>
                </c:pt>
                <c:pt idx="1">
                  <c:v>In Transit</c:v>
                </c:pt>
                <c:pt idx="2">
                  <c:v>Returned</c:v>
                </c:pt>
              </c:strCache>
            </c:strRef>
          </c:cat>
          <c:val>
            <c:numRef>
              <c:f>'Pivot tables'!$I$21:$I$24</c:f>
              <c:numCache>
                <c:formatCode>0.00%</c:formatCode>
                <c:ptCount val="3"/>
                <c:pt idx="0">
                  <c:v>0.33533533533533533</c:v>
                </c:pt>
                <c:pt idx="1">
                  <c:v>0.33133133133133136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B0-4625-9B70-4F7C1C6B4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6178559"/>
        <c:axId val="346179519"/>
      </c:barChart>
      <c:catAx>
        <c:axId val="34617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79519"/>
        <c:crosses val="autoZero"/>
        <c:auto val="1"/>
        <c:lblAlgn val="ctr"/>
        <c:lblOffset val="100"/>
        <c:noMultiLvlLbl val="0"/>
      </c:catAx>
      <c:valAx>
        <c:axId val="34617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7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[indian_retails_Excel_project_2026.xlsx]Pivot tables!PivotTable16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 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tables'!$L$3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tables'!$K$4:$K$17</c:f>
              <c:strCache>
                <c:ptCount val="13"/>
                <c:pt idx="0">
                  <c:v>01-2025</c:v>
                </c:pt>
                <c:pt idx="1">
                  <c:v>02-2025</c:v>
                </c:pt>
                <c:pt idx="2">
                  <c:v>03-2025</c:v>
                </c:pt>
                <c:pt idx="3">
                  <c:v>04-2025</c:v>
                </c:pt>
                <c:pt idx="4">
                  <c:v>05-2024</c:v>
                </c:pt>
                <c:pt idx="5">
                  <c:v>05-2025</c:v>
                </c:pt>
                <c:pt idx="6">
                  <c:v>06-2024</c:v>
                </c:pt>
                <c:pt idx="7">
                  <c:v>07-2024</c:v>
                </c:pt>
                <c:pt idx="8">
                  <c:v>08-2024</c:v>
                </c:pt>
                <c:pt idx="9">
                  <c:v>09-2024</c:v>
                </c:pt>
                <c:pt idx="10">
                  <c:v>10-2024</c:v>
                </c:pt>
                <c:pt idx="11">
                  <c:v>11-2024</c:v>
                </c:pt>
                <c:pt idx="12">
                  <c:v>12-2024</c:v>
                </c:pt>
              </c:strCache>
            </c:strRef>
          </c:cat>
          <c:val>
            <c:numRef>
              <c:f>'Pivot tables'!$L$4:$L$17</c:f>
              <c:numCache>
                <c:formatCode>"₹"\ #,##0.00;[Red]"₹"\ #,##0.00</c:formatCode>
                <c:ptCount val="13"/>
                <c:pt idx="0">
                  <c:v>481573.68999999989</c:v>
                </c:pt>
                <c:pt idx="1">
                  <c:v>422582.12999999995</c:v>
                </c:pt>
                <c:pt idx="2">
                  <c:v>455114.29</c:v>
                </c:pt>
                <c:pt idx="3">
                  <c:v>643846.56000000006</c:v>
                </c:pt>
                <c:pt idx="4">
                  <c:v>278689.63</c:v>
                </c:pt>
                <c:pt idx="5">
                  <c:v>163883.43000000002</c:v>
                </c:pt>
                <c:pt idx="6">
                  <c:v>497060.51000000024</c:v>
                </c:pt>
                <c:pt idx="7">
                  <c:v>420265.59999999992</c:v>
                </c:pt>
                <c:pt idx="8">
                  <c:v>588756.21999999974</c:v>
                </c:pt>
                <c:pt idx="9">
                  <c:v>361268.30999999994</c:v>
                </c:pt>
                <c:pt idx="10">
                  <c:v>453666.92000000004</c:v>
                </c:pt>
                <c:pt idx="11">
                  <c:v>484378.73000000004</c:v>
                </c:pt>
                <c:pt idx="12">
                  <c:v>597528.84999999986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73-4A45-892F-C21783E7855B}"/>
            </c:ext>
          </c:extLst>
        </c:ser>
        <c:ser>
          <c:idx val="1"/>
          <c:order val="1"/>
          <c:tx>
            <c:strRef>
              <c:f>'Pivot tables'!$M$3</c:f>
              <c:strCache>
                <c:ptCount val="1"/>
                <c:pt idx="0">
                  <c:v>Profits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tables'!$K$4:$K$17</c:f>
              <c:strCache>
                <c:ptCount val="13"/>
                <c:pt idx="0">
                  <c:v>01-2025</c:v>
                </c:pt>
                <c:pt idx="1">
                  <c:v>02-2025</c:v>
                </c:pt>
                <c:pt idx="2">
                  <c:v>03-2025</c:v>
                </c:pt>
                <c:pt idx="3">
                  <c:v>04-2025</c:v>
                </c:pt>
                <c:pt idx="4">
                  <c:v>05-2024</c:v>
                </c:pt>
                <c:pt idx="5">
                  <c:v>05-2025</c:v>
                </c:pt>
                <c:pt idx="6">
                  <c:v>06-2024</c:v>
                </c:pt>
                <c:pt idx="7">
                  <c:v>07-2024</c:v>
                </c:pt>
                <c:pt idx="8">
                  <c:v>08-2024</c:v>
                </c:pt>
                <c:pt idx="9">
                  <c:v>09-2024</c:v>
                </c:pt>
                <c:pt idx="10">
                  <c:v>10-2024</c:v>
                </c:pt>
                <c:pt idx="11">
                  <c:v>11-2024</c:v>
                </c:pt>
                <c:pt idx="12">
                  <c:v>12-2024</c:v>
                </c:pt>
              </c:strCache>
            </c:strRef>
          </c:cat>
          <c:val>
            <c:numRef>
              <c:f>'Pivot tables'!$M$4:$M$17</c:f>
              <c:numCache>
                <c:formatCode>0.00;[Red]0.00</c:formatCode>
                <c:ptCount val="13"/>
                <c:pt idx="0">
                  <c:v>57805.569999999985</c:v>
                </c:pt>
                <c:pt idx="1">
                  <c:v>56176.180000000015</c:v>
                </c:pt>
                <c:pt idx="2">
                  <c:v>52730.92</c:v>
                </c:pt>
                <c:pt idx="3">
                  <c:v>76405.319999999992</c:v>
                </c:pt>
                <c:pt idx="4">
                  <c:v>33812.130000000005</c:v>
                </c:pt>
                <c:pt idx="5">
                  <c:v>23228.550000000003</c:v>
                </c:pt>
                <c:pt idx="6">
                  <c:v>57509.62999999999</c:v>
                </c:pt>
                <c:pt idx="7">
                  <c:v>55923.4</c:v>
                </c:pt>
                <c:pt idx="8">
                  <c:v>75755.189999999988</c:v>
                </c:pt>
                <c:pt idx="9">
                  <c:v>44336.210000000006</c:v>
                </c:pt>
                <c:pt idx="10">
                  <c:v>59616.080000000031</c:v>
                </c:pt>
                <c:pt idx="11">
                  <c:v>56051.759999999995</c:v>
                </c:pt>
                <c:pt idx="12">
                  <c:v>78334.09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473-4A45-892F-C21783E7855B}"/>
            </c:ext>
          </c:extLst>
        </c:ser>
        <c:ser>
          <c:idx val="2"/>
          <c:order val="2"/>
          <c:tx>
            <c:strRef>
              <c:f>'Pivot tables'!$N$3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'Pivot tables'!$K$4:$K$17</c:f>
              <c:strCache>
                <c:ptCount val="13"/>
                <c:pt idx="0">
                  <c:v>01-2025</c:v>
                </c:pt>
                <c:pt idx="1">
                  <c:v>02-2025</c:v>
                </c:pt>
                <c:pt idx="2">
                  <c:v>03-2025</c:v>
                </c:pt>
                <c:pt idx="3">
                  <c:v>04-2025</c:v>
                </c:pt>
                <c:pt idx="4">
                  <c:v>05-2024</c:v>
                </c:pt>
                <c:pt idx="5">
                  <c:v>05-2025</c:v>
                </c:pt>
                <c:pt idx="6">
                  <c:v>06-2024</c:v>
                </c:pt>
                <c:pt idx="7">
                  <c:v>07-2024</c:v>
                </c:pt>
                <c:pt idx="8">
                  <c:v>08-2024</c:v>
                </c:pt>
                <c:pt idx="9">
                  <c:v>09-2024</c:v>
                </c:pt>
                <c:pt idx="10">
                  <c:v>10-2024</c:v>
                </c:pt>
                <c:pt idx="11">
                  <c:v>11-2024</c:v>
                </c:pt>
                <c:pt idx="12">
                  <c:v>12-2024</c:v>
                </c:pt>
              </c:strCache>
            </c:strRef>
          </c:cat>
          <c:val>
            <c:numRef>
              <c:f>'Pivot tables'!$N$4:$N$17</c:f>
              <c:numCache>
                <c:formatCode>General</c:formatCode>
                <c:ptCount val="13"/>
                <c:pt idx="0">
                  <c:v>77</c:v>
                </c:pt>
                <c:pt idx="1">
                  <c:v>72</c:v>
                </c:pt>
                <c:pt idx="2">
                  <c:v>85</c:v>
                </c:pt>
                <c:pt idx="3">
                  <c:v>105</c:v>
                </c:pt>
                <c:pt idx="4">
                  <c:v>48</c:v>
                </c:pt>
                <c:pt idx="5">
                  <c:v>30</c:v>
                </c:pt>
                <c:pt idx="6">
                  <c:v>87</c:v>
                </c:pt>
                <c:pt idx="7">
                  <c:v>78</c:v>
                </c:pt>
                <c:pt idx="8">
                  <c:v>99</c:v>
                </c:pt>
                <c:pt idx="9">
                  <c:v>73</c:v>
                </c:pt>
                <c:pt idx="10">
                  <c:v>78</c:v>
                </c:pt>
                <c:pt idx="11">
                  <c:v>79</c:v>
                </c:pt>
                <c:pt idx="12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473-4A45-892F-C21783E7855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177119"/>
        <c:axId val="2089312912"/>
      </c:lineChart>
      <c:catAx>
        <c:axId val="34617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312912"/>
        <c:crosses val="autoZero"/>
        <c:auto val="1"/>
        <c:lblAlgn val="ctr"/>
        <c:lblOffset val="100"/>
        <c:noMultiLvlLbl val="0"/>
      </c:catAx>
      <c:valAx>
        <c:axId val="208931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[Red]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7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7</xdr:row>
      <xdr:rowOff>175260</xdr:rowOff>
    </xdr:from>
    <xdr:to>
      <xdr:col>5</xdr:col>
      <xdr:colOff>525780</xdr:colOff>
      <xdr:row>20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F4DF71-F8AC-4031-85E2-6221968E4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</xdr:colOff>
      <xdr:row>8</xdr:row>
      <xdr:rowOff>15240</xdr:rowOff>
    </xdr:from>
    <xdr:to>
      <xdr:col>12</xdr:col>
      <xdr:colOff>83820</xdr:colOff>
      <xdr:row>20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84921A-4371-4F7A-9B04-312717F13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21</xdr:row>
      <xdr:rowOff>60960</xdr:rowOff>
    </xdr:from>
    <xdr:to>
      <xdr:col>5</xdr:col>
      <xdr:colOff>525780</xdr:colOff>
      <xdr:row>33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FE6BCF-39F5-4B49-8ADE-6A77A287E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198120</xdr:colOff>
      <xdr:row>8</xdr:row>
      <xdr:rowOff>7620</xdr:rowOff>
    </xdr:from>
    <xdr:to>
      <xdr:col>19</xdr:col>
      <xdr:colOff>228600</xdr:colOff>
      <xdr:row>20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A13F59-CC04-4261-95B1-CFD2DEEF8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30480</xdr:colOff>
      <xdr:row>21</xdr:row>
      <xdr:rowOff>15240</xdr:rowOff>
    </xdr:from>
    <xdr:to>
      <xdr:col>12</xdr:col>
      <xdr:colOff>76200</xdr:colOff>
      <xdr:row>33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C93C3D-CFF3-4DDD-A051-9B48663AB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175260</xdr:colOff>
      <xdr:row>21</xdr:row>
      <xdr:rowOff>7620</xdr:rowOff>
    </xdr:from>
    <xdr:to>
      <xdr:col>19</xdr:col>
      <xdr:colOff>251460</xdr:colOff>
      <xdr:row>33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239D3D-D13A-4976-8721-2E55E0FB6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106680</xdr:colOff>
      <xdr:row>0</xdr:row>
      <xdr:rowOff>152400</xdr:rowOff>
    </xdr:from>
    <xdr:to>
      <xdr:col>19</xdr:col>
      <xdr:colOff>220980</xdr:colOff>
      <xdr:row>3</xdr:row>
      <xdr:rowOff>99060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1C0F59E-4DEE-901C-8D82-7E11B757E218}"/>
            </a:ext>
          </a:extLst>
        </xdr:cNvPr>
        <xdr:cNvSpPr/>
      </xdr:nvSpPr>
      <xdr:spPr>
        <a:xfrm>
          <a:off x="106680" y="152400"/>
          <a:ext cx="1169670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Indian Retail Sales — MIS Dashboard | May 2024 – May 2025 | 1000 Orders</a:t>
          </a:r>
          <a:endParaRPr lang="en-IN" sz="2000"/>
        </a:p>
      </xdr:txBody>
    </xdr:sp>
    <xdr:clientData/>
  </xdr:twoCellAnchor>
  <xdr:twoCellAnchor>
    <xdr:from>
      <xdr:col>0</xdr:col>
      <xdr:colOff>83820</xdr:colOff>
      <xdr:row>4</xdr:row>
      <xdr:rowOff>30480</xdr:rowOff>
    </xdr:from>
    <xdr:to>
      <xdr:col>19</xdr:col>
      <xdr:colOff>182880</xdr:colOff>
      <xdr:row>7</xdr:row>
      <xdr:rowOff>53340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2A6D668-0412-96C8-EE7C-C9568C17EB90}"/>
            </a:ext>
          </a:extLst>
        </xdr:cNvPr>
        <xdr:cNvSpPr/>
      </xdr:nvSpPr>
      <xdr:spPr>
        <a:xfrm>
          <a:off x="83820" y="762000"/>
          <a:ext cx="11681460" cy="57150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 Revenue                                            </a:t>
          </a:r>
        </a:p>
        <a:p>
          <a:pPr algn="l"/>
          <a:r>
            <a:rPr lang="en-IN" sz="1400" b="1">
              <a:solidFill>
                <a:schemeClr val="tx1"/>
              </a:solidFill>
              <a:effectLst/>
            </a:rPr>
            <a:t> </a:t>
          </a:r>
          <a:r>
            <a:rPr lang="en-IN" sz="1400" b="1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₹ 58,42,693.83</a:t>
          </a:r>
          <a:r>
            <a:rPr lang="en-IN" sz="1400" b="1">
              <a:solidFill>
                <a:schemeClr val="accent1"/>
              </a:solidFill>
              <a:effectLst/>
            </a:rPr>
            <a:t>  </a:t>
          </a:r>
          <a:endParaRPr lang="en-IN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5</xdr:col>
      <xdr:colOff>213360</xdr:colOff>
      <xdr:row>4</xdr:row>
      <xdr:rowOff>38100</xdr:rowOff>
    </xdr:from>
    <xdr:to>
      <xdr:col>8</xdr:col>
      <xdr:colOff>160020</xdr:colOff>
      <xdr:row>7</xdr:row>
      <xdr:rowOff>45720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BF3BFBA-5296-A991-3B43-B363B42B737B}"/>
            </a:ext>
          </a:extLst>
        </xdr:cNvPr>
        <xdr:cNvSpPr/>
      </xdr:nvSpPr>
      <xdr:spPr>
        <a:xfrm>
          <a:off x="3261360" y="769620"/>
          <a:ext cx="1775460" cy="55626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Sum of Profit</a:t>
          </a:r>
        </a:p>
        <a:p>
          <a:pPr algn="l"/>
          <a:r>
            <a:rPr lang="en-IN" sz="1400">
              <a:solidFill>
                <a:schemeClr val="tx1"/>
              </a:solidFill>
              <a:effectLst/>
            </a:rPr>
            <a:t> </a:t>
          </a:r>
          <a:r>
            <a:rPr lang="en-IN" sz="1400" b="1" i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₹ </a:t>
          </a:r>
          <a:r>
            <a:rPr lang="en-IN" sz="1400" b="1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728024.03</a:t>
          </a:r>
          <a:r>
            <a:rPr lang="en-IN" sz="1400" b="1">
              <a:solidFill>
                <a:schemeClr val="accent1"/>
              </a:solidFill>
              <a:effectLst/>
            </a:rPr>
            <a:t> </a:t>
          </a:r>
          <a:endParaRPr lang="en-IN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12</xdr:col>
      <xdr:colOff>30480</xdr:colOff>
      <xdr:row>4</xdr:row>
      <xdr:rowOff>38100</xdr:rowOff>
    </xdr:from>
    <xdr:to>
      <xdr:col>14</xdr:col>
      <xdr:colOff>106680</xdr:colOff>
      <xdr:row>7</xdr:row>
      <xdr:rowOff>38100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7DF1065-3CBB-7DEE-F959-9FB25E08C768}"/>
            </a:ext>
          </a:extLst>
        </xdr:cNvPr>
        <xdr:cNvSpPr/>
      </xdr:nvSpPr>
      <xdr:spPr>
        <a:xfrm>
          <a:off x="7345680" y="769620"/>
          <a:ext cx="1295400" cy="54864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Count of Orders</a:t>
          </a:r>
          <a:r>
            <a:rPr lang="en-IN" sz="1400" b="1">
              <a:solidFill>
                <a:sysClr val="windowText" lastClr="000000"/>
              </a:solidFill>
              <a:effectLst/>
            </a:rPr>
            <a:t> </a:t>
          </a:r>
          <a:r>
            <a:rPr lang="en-IN" sz="1400" b="1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1000</a:t>
          </a:r>
          <a:r>
            <a:rPr lang="en-IN" sz="1400" b="1">
              <a:solidFill>
                <a:schemeClr val="accent1"/>
              </a:solidFill>
              <a:effectLst/>
            </a:rPr>
            <a:t> </a:t>
          </a:r>
          <a:endParaRPr lang="en-IN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16</xdr:col>
      <xdr:colOff>518160</xdr:colOff>
      <xdr:row>4</xdr:row>
      <xdr:rowOff>30480</xdr:rowOff>
    </xdr:from>
    <xdr:to>
      <xdr:col>19</xdr:col>
      <xdr:colOff>198120</xdr:colOff>
      <xdr:row>7</xdr:row>
      <xdr:rowOff>60960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7EFEDD-5EC4-8D2C-8D47-8DA526395E89}"/>
            </a:ext>
          </a:extLst>
        </xdr:cNvPr>
        <xdr:cNvSpPr/>
      </xdr:nvSpPr>
      <xdr:spPr>
        <a:xfrm>
          <a:off x="10271760" y="762000"/>
          <a:ext cx="1508760" cy="57912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Profit margin %</a:t>
          </a:r>
          <a:r>
            <a:rPr lang="en-IN" sz="1400" b="1">
              <a:solidFill>
                <a:schemeClr val="tx1"/>
              </a:solidFill>
              <a:effectLst/>
            </a:rPr>
            <a:t> </a:t>
          </a:r>
          <a:r>
            <a:rPr lang="en-IN" sz="1400" b="1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12.61%</a:t>
          </a:r>
          <a:r>
            <a:rPr lang="en-IN" sz="1400" b="1">
              <a:solidFill>
                <a:schemeClr val="accent1"/>
              </a:solidFill>
              <a:effectLst/>
            </a:rPr>
            <a:t> </a:t>
          </a:r>
          <a:endParaRPr lang="en-IN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2</xdr:col>
      <xdr:colOff>205740</xdr:colOff>
      <xdr:row>4</xdr:row>
      <xdr:rowOff>38100</xdr:rowOff>
    </xdr:from>
    <xdr:to>
      <xdr:col>2</xdr:col>
      <xdr:colOff>220980</xdr:colOff>
      <xdr:row>7</xdr:row>
      <xdr:rowOff>121920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34A23E5E-AC60-779C-8760-8AE46F15AEAA}"/>
            </a:ext>
          </a:extLst>
        </xdr:cNvPr>
        <xdr:cNvCxnSpPr/>
      </xdr:nvCxnSpPr>
      <xdr:spPr>
        <a:xfrm flipH="1" flipV="1">
          <a:off x="1424940" y="769620"/>
          <a:ext cx="15240" cy="63246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DHU" refreshedDate="46097.668283333333" createdVersion="8" refreshedVersion="8" minRefreshableVersion="3" recordCount="1000" xr:uid="{D993C2CD-A708-4B48-A94D-CFE9E229FD90}">
  <cacheSource type="worksheet">
    <worksheetSource name="Sheet13"/>
  </cacheSource>
  <cacheFields count="19">
    <cacheField name="Order ID" numFmtId="49">
      <sharedItems/>
    </cacheField>
    <cacheField name="Order Date" numFmtId="14">
      <sharedItems containsSemiMixedTypes="0" containsNonDate="0" containsDate="1" containsString="0" minDate="2024-05-12T00:00:00" maxDate="2025-05-12T00:00:00"/>
    </cacheField>
    <cacheField name="Customer Name" numFmtId="49">
      <sharedItems/>
    </cacheField>
    <cacheField name="Region" numFmtId="49">
      <sharedItems count="4">
        <s v="East"/>
        <s v="North"/>
        <s v="South"/>
        <s v="West"/>
      </sharedItems>
    </cacheField>
    <cacheField name="City" numFmtId="49">
      <sharedItems/>
    </cacheField>
    <cacheField name="Category" numFmtId="49">
      <sharedItems/>
    </cacheField>
    <cacheField name="Sub-Category" numFmtId="49">
      <sharedItems/>
    </cacheField>
    <cacheField name="Product Name" numFmtId="49">
      <sharedItems/>
    </cacheField>
    <cacheField name="Sales Amount" numFmtId="164">
      <sharedItems containsSemiMixedTypes="0" containsString="0" containsNumber="1" minValue="101.77" maxValue="19512.599999999999" count="999">
        <n v="5921.04"/>
        <n v="1017.94"/>
        <n v="10652.76"/>
        <n v="8665.7999999999993"/>
        <n v="2150.4"/>
        <n v="16306.4"/>
        <n v="2537.52"/>
        <n v="3252.76"/>
        <n v="1145.98"/>
        <n v="13863.85"/>
        <n v="4557.8500000000004"/>
        <n v="2654.82"/>
        <n v="1626.72"/>
        <n v="1879.32"/>
        <n v="9731.9599999999991"/>
        <n v="411.1"/>
        <n v="9701.1"/>
        <n v="2894.72"/>
        <n v="15095.8"/>
        <n v="7913.6"/>
        <n v="1344.77"/>
        <n v="7816.32"/>
        <n v="17681.099999999999"/>
        <n v="5216.7"/>
        <n v="9898.4699999999993"/>
        <n v="15473"/>
        <n v="8638.56"/>
        <n v="1242.6600000000001"/>
        <n v="802.35"/>
        <n v="3375.2"/>
        <n v="2209.2800000000002"/>
        <n v="6503.75"/>
        <n v="7153.4"/>
        <n v="8470.5499999999993"/>
        <n v="6147.72"/>
        <n v="2836.5"/>
        <n v="1870.92"/>
        <n v="9352.85"/>
        <n v="4498.8599999999997"/>
        <n v="4073.37"/>
        <n v="4120.0600000000004"/>
        <n v="4954.95"/>
        <n v="13218.4"/>
        <n v="8531.8799999999992"/>
        <n v="2359.92"/>
        <n v="655.93"/>
        <n v="358.98"/>
        <n v="1902.93"/>
        <n v="5095.6499999999996"/>
        <n v="11397.75"/>
        <n v="947.64"/>
        <n v="3094.56"/>
        <n v="9718.73"/>
        <n v="13397.79"/>
        <n v="3592.82"/>
        <n v="1613.09"/>
        <n v="10848.16"/>
        <n v="11803.92"/>
        <n v="4463.4799999999996"/>
        <n v="649.30999999999995"/>
        <n v="1693.85"/>
        <n v="1530.08"/>
        <n v="12486.95"/>
        <n v="4574.22"/>
        <n v="7773.93"/>
        <n v="9476.4"/>
        <n v="3774.96"/>
        <n v="11246.04"/>
        <n v="3300.72"/>
        <n v="8488.2000000000007"/>
        <n v="2992.53"/>
        <n v="1637.42"/>
        <n v="11379.96"/>
        <n v="7066.55"/>
        <n v="1577.94"/>
        <n v="763.96"/>
        <n v="13950.09"/>
        <n v="8912.76"/>
        <n v="9077.0400000000009"/>
        <n v="8681.76"/>
        <n v="15324.96"/>
        <n v="4456.62"/>
        <n v="13463.12"/>
        <n v="12675.39"/>
        <n v="12314.64"/>
        <n v="13555.1"/>
        <n v="3461.64"/>
        <n v="8002.98"/>
        <n v="14939.73"/>
        <n v="11401.1"/>
        <n v="7994.22"/>
        <n v="6333.35"/>
        <n v="10863.04"/>
        <n v="15379.2"/>
        <n v="10251.01"/>
        <n v="437.48"/>
        <n v="640.4"/>
        <n v="5637.84"/>
        <n v="16167.51"/>
        <n v="8236.48"/>
        <n v="12156.5"/>
        <n v="1007.37"/>
        <n v="948.24"/>
        <n v="7304.5"/>
        <n v="4409.01"/>
        <n v="736.65"/>
        <n v="12407.84"/>
        <n v="6470.3"/>
        <n v="1823.95"/>
        <n v="6669.96"/>
        <n v="9728.82"/>
        <n v="1967.21"/>
        <n v="5833.08"/>
        <n v="9606.7999999999993"/>
        <n v="7294.2"/>
        <n v="1341.38"/>
        <n v="1912.92"/>
        <n v="890.28"/>
        <n v="1513.36"/>
        <n v="1000.8"/>
        <n v="619.34"/>
        <n v="8766.27"/>
        <n v="1486.48"/>
        <n v="6517.32"/>
        <n v="2619.36"/>
        <n v="1695.55"/>
        <n v="6987.68"/>
        <n v="17292.7"/>
        <n v="10338.780000000001"/>
        <n v="14036.8"/>
        <n v="2229.44"/>
        <n v="19121.8"/>
        <n v="10600.5"/>
        <n v="10089.73"/>
        <n v="1979.31"/>
        <n v="1115.3399999999999"/>
        <n v="4203.96"/>
        <n v="6056.12"/>
        <n v="492.6"/>
        <n v="919.57"/>
        <n v="442.16"/>
        <n v="9037.7999999999993"/>
        <n v="7139.36"/>
        <n v="4531.2299999999996"/>
        <n v="3483.96"/>
        <n v="6450.84"/>
        <n v="4442"/>
        <n v="12996.06"/>
        <n v="4391.1000000000004"/>
        <n v="3591.69"/>
        <n v="6595.83"/>
        <n v="4142.7299999999996"/>
        <n v="3859.52"/>
        <n v="10372.24"/>
        <n v="11876.5"/>
        <n v="14732.55"/>
        <n v="3590.58"/>
        <n v="4343.99"/>
        <n v="15587.19"/>
        <n v="4379.3999999999996"/>
        <n v="2772.1"/>
        <n v="11917.2"/>
        <n v="9498.6"/>
        <n v="8882.65"/>
        <n v="1852.25"/>
        <n v="10395.5"/>
        <n v="7116.42"/>
        <n v="3946.5"/>
        <n v="2214.9299999999998"/>
        <n v="9732.1"/>
        <n v="17231.13"/>
        <n v="9196.14"/>
        <n v="4732.3"/>
        <n v="6921.88"/>
        <n v="2244.7800000000002"/>
        <n v="8847.27"/>
        <n v="2469.96"/>
        <n v="10313.73"/>
        <n v="101.77"/>
        <n v="3335.01"/>
        <n v="13470.31"/>
        <n v="2413.6799999999998"/>
        <n v="7224.75"/>
        <n v="2271.2800000000002"/>
        <n v="3736.77"/>
        <n v="1517"/>
        <n v="17223.3"/>
        <n v="10844.9"/>
        <n v="9623.16"/>
        <n v="3266.86"/>
        <n v="4641.6499999999996"/>
        <n v="11174.49"/>
        <n v="2500.3200000000002"/>
        <n v="2427.1999999999998"/>
        <n v="19110"/>
        <n v="3605.9"/>
        <n v="12837.7"/>
        <n v="4183.8999999999996"/>
        <n v="6681.15"/>
        <n v="2800.82"/>
        <n v="7698.16"/>
        <n v="10236.299999999999"/>
        <n v="11839.1"/>
        <n v="5352.92"/>
        <n v="18896.599999999999"/>
        <n v="1281.1500000000001"/>
        <n v="1060.56"/>
        <n v="17271.36"/>
        <n v="4685.04"/>
        <n v="6836.25"/>
        <n v="215.93"/>
        <n v="14407.38"/>
        <n v="10486.8"/>
        <n v="4445.3500000000004"/>
        <n v="7692.25"/>
        <n v="3414.66"/>
        <n v="2605.9499999999998"/>
        <n v="17874.900000000001"/>
        <n v="5003.25"/>
        <n v="8370.8799999999992"/>
        <n v="9669.65"/>
        <n v="9181.92"/>
        <n v="3552.7"/>
        <n v="1928.3"/>
        <n v="343.38"/>
        <n v="9572.48"/>
        <n v="739.16"/>
        <n v="2875.23"/>
        <n v="7136.99"/>
        <n v="1971.63"/>
        <n v="5002.2"/>
        <n v="2988.94"/>
        <n v="6342.48"/>
        <n v="5731.28"/>
        <n v="8702.56"/>
        <n v="9942.64"/>
        <n v="11650.23"/>
        <n v="5543.2"/>
        <n v="5827.16"/>
        <n v="10705.8"/>
        <n v="7004.7"/>
        <n v="14542.3"/>
        <n v="12935.86"/>
        <n v="9876.2000000000007"/>
        <n v="469.36"/>
        <n v="3696.08"/>
        <n v="9126.6"/>
        <n v="2047.2"/>
        <n v="10615.38"/>
        <n v="18725.2"/>
        <n v="8717.0499999999993"/>
        <n v="10953.44"/>
        <n v="5761.32"/>
        <n v="2648.88"/>
        <n v="13710.6"/>
        <n v="1834.04"/>
        <n v="3243.4"/>
        <n v="9303.68"/>
        <n v="961.04"/>
        <n v="6185.4"/>
        <n v="890.76"/>
        <n v="17465"/>
        <n v="5031.55"/>
        <n v="1916.2"/>
        <n v="9407.4"/>
        <n v="1808.13"/>
        <n v="2468.46"/>
        <n v="2580"/>
        <n v="13564.8"/>
        <n v="641.17999999999995"/>
        <n v="12137.3"/>
        <n v="5395.14"/>
        <n v="1286.3"/>
        <n v="4079.6"/>
        <n v="2245.86"/>
        <n v="12438.86"/>
        <n v="5064.3599999999997"/>
        <n v="472.86"/>
        <n v="1478.69"/>
        <n v="18644.2"/>
        <n v="4942.0200000000004"/>
        <n v="5029.0200000000004"/>
        <n v="2464.6799999999998"/>
        <n v="3877.72"/>
        <n v="6679.44"/>
        <n v="4123.8"/>
        <n v="2261.34"/>
        <n v="3802.44"/>
        <n v="4210.0200000000004"/>
        <n v="2581.6"/>
        <n v="7488.6"/>
        <n v="14933.12"/>
        <n v="5846.7"/>
        <n v="13209.21"/>
        <n v="1213.32"/>
        <n v="2540.7600000000002"/>
        <n v="6833.76"/>
        <n v="13150.88"/>
        <n v="6603"/>
        <n v="7474.92"/>
        <n v="7753.2"/>
        <n v="4486.2"/>
        <n v="3678.36"/>
        <n v="1635.62"/>
        <n v="5816.9"/>
        <n v="2113.75"/>
        <n v="5635.68"/>
        <n v="1873.53"/>
        <n v="3115.26"/>
        <n v="5687"/>
        <n v="7704.48"/>
        <n v="8439.6"/>
        <n v="3395.94"/>
        <n v="3477.48"/>
        <n v="415.86"/>
        <n v="8754.5400000000009"/>
        <n v="1419.44"/>
        <n v="3688.48"/>
        <n v="532.09"/>
        <n v="358.86"/>
        <n v="3260.24"/>
        <n v="1331.07"/>
        <n v="3054.02"/>
        <n v="804.38"/>
        <n v="2328"/>
        <n v="12077.12"/>
        <n v="8844.7999999999993"/>
        <n v="9259.2999999999993"/>
        <n v="2628.6"/>
        <n v="1033.49"/>
        <n v="2148.36"/>
        <n v="7124.11"/>
        <n v="1482.28"/>
        <n v="2994.2"/>
        <n v="3711.04"/>
        <n v="3015.84"/>
        <n v="5041.8"/>
        <n v="6595.6"/>
        <n v="1803.52"/>
        <n v="1528.38"/>
        <n v="3866.16"/>
        <n v="1992.24"/>
        <n v="1066.3499999999999"/>
        <n v="3256.5"/>
        <n v="3086.4"/>
        <n v="3828.66"/>
        <n v="1490.85"/>
        <n v="7593.6"/>
        <n v="10440.08"/>
        <n v="1530.21"/>
        <n v="4381.8"/>
        <n v="12574.98"/>
        <n v="2649.95"/>
        <n v="1186.8599999999999"/>
        <n v="649.16"/>
        <n v="607.6"/>
        <n v="125.5"/>
        <n v="4103.13"/>
        <n v="638.14"/>
        <n v="2355.9"/>
        <n v="6929.82"/>
        <n v="1120.5"/>
        <n v="10397.700000000001"/>
        <n v="2427.3000000000002"/>
        <n v="1987.68"/>
        <n v="5859.12"/>
        <n v="3915.3"/>
        <n v="3355.4"/>
        <n v="6153.66"/>
        <n v="18243.5"/>
        <n v="3586.23"/>
        <n v="14273.52"/>
        <n v="2922.58"/>
        <n v="848.16"/>
        <n v="7435.68"/>
        <n v="4694.08"/>
        <n v="3252.08"/>
        <n v="7742.07"/>
        <n v="9138.5"/>
        <n v="7986.75"/>
        <n v="266.87"/>
        <n v="2537.46"/>
        <n v="7377.39"/>
        <n v="4547.34"/>
        <n v="1055.52"/>
        <n v="4521.84"/>
        <n v="10116.81"/>
        <n v="2999.14"/>
        <n v="1576.13"/>
        <n v="869.13"/>
        <n v="8414.4"/>
        <n v="5007.7"/>
        <n v="3023.52"/>
        <n v="1089.1199999999999"/>
        <n v="5421.92"/>
        <n v="19339.5"/>
        <n v="2727.08"/>
        <n v="2193.7600000000002"/>
        <n v="5009.6000000000004"/>
        <n v="658.31"/>
        <n v="659.76"/>
        <n v="2151.0300000000002"/>
        <n v="809.87"/>
        <n v="1478.61"/>
        <n v="1823.5"/>
        <n v="15487.1"/>
        <n v="2943.81"/>
        <n v="884.9"/>
        <n v="6923.2"/>
        <n v="10001.82"/>
        <n v="10358.549999999999"/>
        <n v="7133.31"/>
        <n v="402.28"/>
        <n v="6086.15"/>
        <n v="4336.4399999999996"/>
        <n v="13799.25"/>
        <n v="3555.92"/>
        <n v="1187.6400000000001"/>
        <n v="1644.98"/>
        <n v="5907.76"/>
        <n v="13279.05"/>
        <n v="799.85"/>
        <n v="4185.3599999999997"/>
        <n v="809.01"/>
        <n v="3162.5"/>
        <n v="1839.52"/>
        <n v="14450.88"/>
        <n v="3433.4"/>
        <n v="1898.12"/>
        <n v="5968.56"/>
        <n v="3195.22"/>
        <n v="1828.48"/>
        <n v="16129"/>
        <n v="11391.66"/>
        <n v="3618.7"/>
        <n v="5355.15"/>
        <n v="3079.56"/>
        <n v="7547.08"/>
        <n v="15011.52"/>
        <n v="7821.18"/>
        <n v="9684.2900000000009"/>
        <n v="5386.98"/>
        <n v="806.29"/>
        <n v="1989.9"/>
        <n v="1562.72"/>
        <n v="7923.72"/>
        <n v="1859.2"/>
        <n v="1533.83"/>
        <n v="547.46"/>
        <n v="6749.25"/>
        <n v="2614.7199999999998"/>
        <n v="6753.56"/>
        <n v="6772.96"/>
        <n v="10265.58"/>
        <n v="11289.6"/>
        <n v="3249.63"/>
        <n v="1781.29"/>
        <n v="6193.14"/>
        <n v="2979.78"/>
        <n v="1562.9"/>
        <n v="11724.48"/>
        <n v="6873.28"/>
        <n v="19101.599999999999"/>
        <n v="1723.88"/>
        <n v="4581"/>
        <n v="3902.22"/>
        <n v="1888.88"/>
        <n v="1120.5899999999999"/>
        <n v="3132.08"/>
        <n v="2402.8000000000002"/>
        <n v="2426.02"/>
        <n v="2629.72"/>
        <n v="3678.78"/>
        <n v="6706"/>
        <n v="11771.37"/>
        <n v="12484.64"/>
        <n v="11969.04"/>
        <n v="15043.5"/>
        <n v="1383.89"/>
        <n v="3145.7"/>
        <n v="9973.44"/>
        <n v="761.84"/>
        <n v="8936.15"/>
        <n v="2313.46"/>
        <n v="1281.55"/>
        <n v="530.74"/>
        <n v="491.79"/>
        <n v="3736.05"/>
        <n v="7353.8"/>
        <n v="1414.56"/>
        <n v="9984.33"/>
        <n v="2103.2600000000002"/>
        <n v="7538.86"/>
        <n v="2970.4"/>
        <n v="5463.93"/>
        <n v="14389.68"/>
        <n v="4511.71"/>
        <n v="1581.54"/>
        <n v="4494.21"/>
        <n v="6534.72"/>
        <n v="6106.1"/>
        <n v="2830.18"/>
        <n v="437.66"/>
        <n v="749.52"/>
        <n v="8828"/>
        <n v="14981.92"/>
        <n v="11329.52"/>
        <n v="9266.8799999999992"/>
        <n v="272.92"/>
        <n v="4504.24"/>
        <n v="10977.06"/>
        <n v="2171.56"/>
        <n v="11193.66"/>
        <n v="4010.25"/>
        <n v="4750.32"/>
        <n v="10634.96"/>
        <n v="8077.59"/>
        <n v="6500.83"/>
        <n v="1274.67"/>
        <n v="691.44"/>
        <n v="4727.04"/>
        <n v="1537.62"/>
        <n v="1810.43"/>
        <n v="3655.08"/>
        <n v="13777.2"/>
        <n v="885.69"/>
        <n v="2487.84"/>
        <n v="5495.37"/>
        <n v="1442.88"/>
        <n v="2633.13"/>
        <n v="5779.32"/>
        <n v="7465.05"/>
        <n v="6946.32"/>
        <n v="10411.74"/>
        <n v="1582.35"/>
        <n v="1563.73"/>
        <n v="1193.28"/>
        <n v="7703.04"/>
        <n v="12330.24"/>
        <n v="11304.72"/>
        <n v="3331.86"/>
        <n v="7056.28"/>
        <n v="2086.17"/>
        <n v="837.46"/>
        <n v="7676.41"/>
        <n v="969.92"/>
        <n v="12568.68"/>
        <n v="8860.14"/>
        <n v="2646.76"/>
        <n v="1081.3"/>
        <n v="17384.400000000001"/>
        <n v="3729.4"/>
        <n v="3866.1"/>
        <n v="1176.28"/>
        <n v="13053.96"/>
        <n v="442.52"/>
        <n v="936.36"/>
        <n v="1536.12"/>
        <n v="3472.4"/>
        <n v="4139.75"/>
        <n v="8556.1"/>
        <n v="1400.44"/>
        <n v="4545.78"/>
        <n v="1652.52"/>
        <n v="3630.51"/>
        <n v="1238.2"/>
        <n v="2098.92"/>
        <n v="6905.52"/>
        <n v="12893.86"/>
        <n v="8175.72"/>
        <n v="4367.93"/>
        <n v="10519.28"/>
        <n v="1444.83"/>
        <n v="3491.76"/>
        <n v="11430.9"/>
        <n v="3166.76"/>
        <n v="856.76"/>
        <n v="1069.23"/>
        <n v="3036.87"/>
        <n v="4858.2299999999996"/>
        <n v="10236.66"/>
        <n v="2373.0700000000002"/>
        <n v="2021.7"/>
        <n v="6057.84"/>
        <n v="7139.45"/>
        <n v="3958.12"/>
        <n v="7614.9"/>
        <n v="11656.89"/>
        <n v="6883.2"/>
        <n v="6766.4"/>
        <n v="6433.2"/>
        <n v="1884.54"/>
        <n v="11388"/>
        <n v="13398.88"/>
        <n v="3769.52"/>
        <n v="5757.12"/>
        <n v="2788.24"/>
        <n v="781.54"/>
        <n v="10760.54"/>
        <n v="2020.76"/>
        <n v="8489.61"/>
        <n v="2632.42"/>
        <n v="17339.7"/>
        <n v="1460.66"/>
        <n v="1684.83"/>
        <n v="1716.78"/>
        <n v="1598.49"/>
        <n v="5999.95"/>
        <n v="6678"/>
        <n v="11411.28"/>
        <n v="2686.46"/>
        <n v="6493.45"/>
        <n v="961.74"/>
        <n v="5743.92"/>
        <n v="4253.7"/>
        <n v="3986"/>
        <n v="795.3"/>
        <n v="4142.72"/>
        <n v="2052.88"/>
        <n v="4379.97"/>
        <n v="19417.400000000001"/>
        <n v="8662.2000000000007"/>
        <n v="1542.29"/>
        <n v="3257.82"/>
        <n v="3457.2"/>
        <n v="5518.32"/>
        <n v="4429.28"/>
        <n v="1295.57"/>
        <n v="4256.2"/>
        <n v="11003.44"/>
        <n v="4075.35"/>
        <n v="1748.1"/>
        <n v="5792.5"/>
        <n v="16064.5"/>
        <n v="4338.24"/>
        <n v="1541.85"/>
        <n v="1259.8599999999999"/>
        <n v="1962.14"/>
        <n v="1836.3"/>
        <n v="2857.02"/>
        <n v="3438.66"/>
        <n v="3167.46"/>
        <n v="4706.6400000000003"/>
        <n v="3504.84"/>
        <n v="8740.7199999999993"/>
        <n v="3478.44"/>
        <n v="5088.42"/>
        <n v="1832.31"/>
        <n v="794.83"/>
        <n v="959.22"/>
        <n v="519.83000000000004"/>
        <n v="1648.8"/>
        <n v="11750.76"/>
        <n v="2755.54"/>
        <n v="11043.09"/>
        <n v="2290.83"/>
        <n v="3224.28"/>
        <n v="15193.6"/>
        <n v="4082.94"/>
        <n v="17802.45"/>
        <n v="7840.32"/>
        <n v="11398.16"/>
        <n v="4837.5"/>
        <n v="3542.05"/>
        <n v="740.57"/>
        <n v="3839.38"/>
        <n v="12652.32"/>
        <n v="3580.86"/>
        <n v="870.48"/>
        <n v="7080"/>
        <n v="3597.22"/>
        <n v="2567.1"/>
        <n v="10719.06"/>
        <n v="7946.1"/>
        <n v="800.15"/>
        <n v="1962.31"/>
        <n v="5341.23"/>
        <n v="4656.3500000000004"/>
        <n v="2345.2199999999998"/>
        <n v="2666.49"/>
        <n v="541.16"/>
        <n v="2959.17"/>
        <n v="12937.6"/>
        <n v="11775.9"/>
        <n v="5024.08"/>
        <n v="9625.52"/>
        <n v="727.42"/>
        <n v="318.62"/>
        <n v="4790.08"/>
        <n v="13613.46"/>
        <n v="1723.04"/>
        <n v="17058.599999999999"/>
        <n v="11789.61"/>
        <n v="5344.32"/>
        <n v="605.1"/>
        <n v="6667.57"/>
        <n v="5276.11"/>
        <n v="9638.65"/>
        <n v="6034.68"/>
        <n v="2456.86"/>
        <n v="8436.33"/>
        <n v="1277.92"/>
        <n v="6384.69"/>
        <n v="2963.08"/>
        <n v="7077.76"/>
        <n v="1605.16"/>
        <n v="2792.44"/>
        <n v="9324.4"/>
        <n v="6054.3"/>
        <n v="14239.04"/>
        <n v="19512.599999999999"/>
        <n v="7368.66"/>
        <n v="7462.08"/>
        <n v="4548.18"/>
        <n v="1063.07"/>
        <n v="3950.3"/>
        <n v="14664.69"/>
        <n v="2766.74"/>
        <n v="7824.04"/>
        <n v="5342.88"/>
        <n v="3960.99"/>
        <n v="2156.67"/>
        <n v="7058.6"/>
        <n v="11275.38"/>
        <n v="10349.52"/>
        <n v="1365.84"/>
        <n v="9685.6"/>
        <n v="1841.97"/>
        <n v="16761.3"/>
        <n v="5697"/>
        <n v="6520.08"/>
        <n v="8746.2999999999993"/>
        <n v="3774.06"/>
        <n v="6311.3"/>
        <n v="8120"/>
        <n v="945.72"/>
        <n v="12494.8"/>
        <n v="13088.08"/>
        <n v="9505.4"/>
        <n v="10082.43"/>
        <n v="906.55"/>
        <n v="15569.73"/>
        <n v="16686.400000000001"/>
        <n v="2118.96"/>
        <n v="2815.68"/>
        <n v="4671.04"/>
        <n v="1778.04"/>
        <n v="12463.15"/>
        <n v="4602.57"/>
        <n v="8567.25"/>
        <n v="1196.8599999999999"/>
        <n v="5192.7299999999996"/>
        <n v="13622.13"/>
        <n v="17284.099999999999"/>
        <n v="1062.8499999999999"/>
        <n v="6195.9"/>
        <n v="4253.5200000000004"/>
        <n v="6102.92"/>
        <n v="11149.98"/>
        <n v="18614.400000000001"/>
        <n v="2791.88"/>
        <n v="4522.68"/>
        <n v="10717.36"/>
        <n v="2928.16"/>
        <n v="6467.55"/>
        <n v="2542.0500000000002"/>
        <n v="9668.5"/>
        <n v="16881.48"/>
        <n v="5009.24"/>
        <n v="7640.78"/>
        <n v="11262.24"/>
        <n v="2918.64"/>
        <n v="976.08"/>
        <n v="2285.88"/>
        <n v="2272.27"/>
        <n v="5561.43"/>
        <n v="2975.28"/>
        <n v="11932.83"/>
        <n v="10058.719999999999"/>
        <n v="1005.37"/>
        <n v="1281.24"/>
        <n v="8910.75"/>
        <n v="9302.2999999999993"/>
        <n v="5747.82"/>
        <n v="1848.78"/>
        <n v="1089.54"/>
        <n v="6915.87"/>
        <n v="8697.36"/>
        <n v="1718.18"/>
        <n v="16347.8"/>
        <n v="7855.68"/>
        <n v="5458.65"/>
        <n v="820.72"/>
        <n v="4884.16"/>
        <n v="2843.84"/>
        <n v="2487.7800000000002"/>
        <n v="8350.2999999999993"/>
        <n v="15735.33"/>
        <n v="2906.24"/>
        <n v="2712.18"/>
        <n v="4983.6000000000004"/>
        <n v="1311.39"/>
        <n v="763.32"/>
        <n v="867.27"/>
        <n v="5939.46"/>
        <n v="13483.12"/>
        <n v="5071.0200000000004"/>
        <n v="1495.69"/>
        <n v="6508.7"/>
        <n v="1041.81"/>
        <n v="3976.59"/>
        <n v="2747.7"/>
        <n v="2332.6799999999998"/>
        <n v="5194.5"/>
        <n v="4929.1899999999996"/>
        <n v="1587.18"/>
        <n v="3225"/>
        <n v="13721.54"/>
        <n v="12752.6"/>
        <n v="5371.96"/>
        <n v="12371.76"/>
        <n v="3975.35"/>
        <n v="4039.7"/>
        <n v="330.18"/>
        <n v="12039.48"/>
        <n v="628.98"/>
        <n v="10712.97"/>
        <n v="1656.48"/>
        <n v="8279.85"/>
        <n v="7192.14"/>
        <n v="2520.3000000000002"/>
        <n v="3159.51"/>
        <n v="1567.68"/>
        <n v="3507.18"/>
        <n v="6779.04"/>
        <n v="1188.78"/>
        <n v="6671.43"/>
        <n v="3274.08"/>
        <n v="6254"/>
        <n v="3457.88"/>
        <n v="2268.14"/>
        <n v="1266.57"/>
        <n v="701.7"/>
        <n v="1194.8699999999999"/>
        <n v="7021.05"/>
        <n v="1005.06"/>
        <n v="8064.6"/>
        <n v="5198.24"/>
        <n v="8254.89"/>
        <n v="16609.3"/>
        <n v="10279.98"/>
        <n v="1683.09"/>
        <n v="16597.8"/>
        <n v="1801.34"/>
        <n v="5823.96"/>
        <n v="11546.76"/>
        <n v="8941.41"/>
        <n v="515.98"/>
        <n v="2846.58"/>
        <n v="9961.1200000000008"/>
        <n v="548.46"/>
        <n v="1897.2"/>
        <n v="1264.75"/>
        <n v="1582.74"/>
        <n v="5842.92"/>
        <n v="3775.83"/>
        <n v="15228"/>
        <n v="11171.84"/>
        <n v="10296.24"/>
        <n v="6321.07"/>
        <n v="7489.3"/>
        <n v="2180.2800000000002"/>
        <n v="3084.66"/>
        <n v="2533.16"/>
        <n v="14603.13"/>
        <n v="6008.84"/>
        <n v="4860.45"/>
        <n v="9004.94"/>
        <n v="1773.02"/>
        <n v="4637.24"/>
        <n v="3497.46"/>
        <n v="2838"/>
        <n v="7165.65"/>
        <n v="15267.52"/>
        <n v="1977.18"/>
        <n v="6201.7"/>
        <n v="3568.92"/>
        <n v="6698.4"/>
        <n v="8369.76"/>
        <n v="1410.56"/>
        <n v="170.18"/>
        <n v="1095.8399999999999"/>
        <n v="871.26"/>
        <n v="822.07"/>
        <n v="3441.33"/>
        <n v="1200.55"/>
        <n v="3094.84"/>
        <n v="5350.59"/>
        <n v="17243.37"/>
        <n v="424.17"/>
        <n v="3233.76"/>
        <n v="3606.3"/>
        <n v="997.18"/>
        <n v="10171.040000000001"/>
        <n v="1274.55"/>
        <n v="7379"/>
        <n v="6047.4"/>
        <n v="904.52"/>
        <n v="6434"/>
        <n v="10950.03"/>
        <n v="5807.97"/>
        <n v="2017.1"/>
        <n v="8688.33"/>
        <n v="9049.5"/>
        <n v="13887.52"/>
        <n v="1412.78"/>
        <n v="8595.36"/>
        <n v="4603.2"/>
        <n v="7423.3"/>
        <n v="6911.44"/>
        <n v="5355.98"/>
        <n v="1129.52"/>
        <n v="3572.13"/>
        <n v="3581"/>
        <n v="4371.3900000000003"/>
        <n v="6161.6"/>
        <n v="14756.5"/>
        <n v="3923.31"/>
        <n v="7072.12"/>
        <n v="9693"/>
        <n v="1899.69"/>
        <n v="1414.4"/>
        <n v="9395.2800000000007"/>
        <n v="11818.26"/>
        <n v="4266.6000000000004"/>
        <n v="915.78"/>
        <n v="6302.55"/>
        <n v="1547.52"/>
        <n v="2476.7199999999998"/>
        <n v="3057.06"/>
        <n v="7195.05"/>
        <n v="816.7"/>
        <n v="2143.1999999999998"/>
        <n v="5907.3"/>
        <n v="15049.6"/>
        <n v="7326.45"/>
        <n v="11029.69"/>
        <n v="13069"/>
        <n v="2964.12"/>
        <n v="6357.82"/>
        <n v="3449.2"/>
        <n v="12608.1"/>
        <n v="11058.57"/>
        <n v="4401.3599999999997"/>
        <n v="662.7"/>
        <n v="2628.4"/>
        <n v="15521.58"/>
        <n v="3120.86"/>
        <n v="984.42"/>
        <n v="18866.7"/>
        <n v="11023.81"/>
        <n v="16957.53"/>
        <n v="7717.05"/>
        <n v="5451.1"/>
        <n v="13162.32"/>
        <n v="3216.72"/>
        <n v="3678.6"/>
        <n v="2549.7600000000002"/>
        <n v="12784.59"/>
        <n v="6400.8"/>
        <n v="1641.3"/>
        <n v="11669.4"/>
        <n v="12182.1"/>
        <n v="1160.31"/>
        <n v="11867.84"/>
        <n v="5741.89"/>
        <n v="7258.62"/>
        <n v="1423.56"/>
        <n v="5780.05"/>
        <n v="11335.8"/>
        <n v="2589.84"/>
        <n v="7680.16"/>
        <n v="4378.16"/>
        <n v="1187.05"/>
        <n v="4180.92"/>
        <n v="11123.44"/>
        <n v="3706.02"/>
        <n v="4847.5"/>
        <n v="3316.38"/>
        <n v="7738"/>
        <n v="5822.55"/>
        <n v="2991.56"/>
        <n v="7008.68"/>
        <n v="8166.9"/>
        <n v="827.9"/>
        <n v="1085.76"/>
        <n v="3546.41"/>
        <n v="14406.7"/>
        <n v="2723.8"/>
      </sharedItems>
    </cacheField>
    <cacheField name="Quantity" numFmtId="2">
      <sharedItems containsSemiMixedTypes="0" containsString="0" containsNumber="1" containsInteger="1" minValue="1" maxValue="10"/>
    </cacheField>
    <cacheField name="Discount (%)" numFmtId="0">
      <sharedItems containsSemiMixedTypes="0" containsString="0" containsNumber="1" minValue="0" maxValue="30"/>
    </cacheField>
    <cacheField name="Profit" numFmtId="2">
      <sharedItems containsSemiMixedTypes="0" containsString="0" containsNumber="1" minValue="8.2899999999999991" maxValue="4044.33"/>
    </cacheField>
    <cacheField name="Delivery Status" numFmtId="49">
      <sharedItems/>
    </cacheField>
    <cacheField name="Payment Method" numFmtId="49">
      <sharedItems/>
    </cacheField>
    <cacheField name="Month- year" numFmtId="14">
      <sharedItems/>
    </cacheField>
    <cacheField name="Year" numFmtId="0">
      <sharedItems count="2">
        <s v="2025"/>
        <s v="2024"/>
      </sharedItems>
    </cacheField>
    <cacheField name="Profit margin %" numFmtId="10">
      <sharedItems containsSemiMixedTypes="0" containsString="0" containsNumber="1" minValue="3.6713644684027651E-2" maxValue="0.24133289536635696" count="1000">
        <n v="0.21433734614189398"/>
        <n v="0.23835393048706208"/>
        <n v="8.0643889470897678E-2"/>
        <n v="0.16671744097486674"/>
        <n v="0.12452101934523808"/>
        <n v="0.14457697591129864"/>
        <n v="0.10310460607207036"/>
        <n v="8.9911336833950237E-2"/>
        <n v="0.15477582505802895"/>
        <n v="0.1973398442712522"/>
        <n v="6.9717081518698501E-2"/>
        <n v="0.1089301722904001"/>
        <n v="6.4165928985934886E-2"/>
        <n v="7.662345954919865E-2"/>
        <n v="0.12618218734972195"/>
        <n v="8.5526635855023098E-2"/>
        <n v="0.14642669388007545"/>
        <n v="0.20369500331638293"/>
        <n v="0.1187012281561759"/>
        <n v="4.6236858067124943E-2"/>
        <n v="4.2356685529867565E-2"/>
        <n v="0.12912854130844181"/>
        <n v="5.0026864844381853E-2"/>
        <n v="4.967699886901681E-2"/>
        <n v="0.13052926361346753"/>
        <n v="8.9016351063142235E-2"/>
        <n v="0.12078749235983777"/>
        <n v="5.134147715384739E-2"/>
        <n v="7.126565713217424E-2"/>
        <n v="0.21399028205735957"/>
        <n v="9.8298993337195814E-2"/>
        <n v="7.8534691524120695E-2"/>
        <n v="0.18305421198311295"/>
        <n v="0.20946101492819241"/>
        <n v="0.16591516855029181"/>
        <n v="0.22153710558787237"/>
        <n v="5.5753319222628439E-2"/>
        <n v="7.6730622216757458E-2"/>
        <n v="0.19170634338476861"/>
        <n v="0.12974269462386182"/>
        <n v="0.13727227273389223"/>
        <n v="0.17854065126792398"/>
        <n v="0.14746035828844642"/>
        <n v="0.17536463241395803"/>
        <n v="7.7600088138580964E-2"/>
        <n v="9.5604713917643663E-2"/>
        <n v="0.20003899938715247"/>
        <n v="0.19213528611141764"/>
        <n v="0.15866670591583018"/>
        <n v="0.23861288412186615"/>
        <n v="0.19578109830737411"/>
        <n v="8.4619461248125749E-2"/>
        <n v="3.6713644684027651E-2"/>
        <n v="0.1723829079273522"/>
        <n v="0.23427279963928058"/>
        <n v="0.12740144691244754"/>
        <n v="0.14575374994469109"/>
        <n v="7.2520823590807124E-2"/>
        <n v="0.13257144649466338"/>
        <n v="8.2795583003496029E-2"/>
        <n v="0.10802019068984857"/>
        <n v="0.14163311722262889"/>
        <n v="0.22415722013782388"/>
        <n v="0.15908286002859501"/>
        <n v="0.1420169721106313"/>
        <n v="7.4251825587775946E-2"/>
        <n v="4.3181914510352422E-2"/>
        <n v="0.21659090666581302"/>
        <n v="0.17524661286022447"/>
        <n v="0.10295704625244456"/>
        <n v="0.11196546066371932"/>
        <n v="0.15165931770712462"/>
        <n v="5.5958896164837131E-2"/>
        <n v="0.20939496642633251"/>
        <n v="0.14533505709976299"/>
        <n v="5.180899523535263E-2"/>
        <n v="0.11721501438341975"/>
        <n v="0.17842284544854792"/>
        <n v="0.12809131611186025"/>
        <n v="0.1053553657322939"/>
        <n v="4.1160303191655964E-2"/>
        <n v="0.18027787875116119"/>
        <n v="8.4360831664577002E-2"/>
        <n v="6.0652966102029207E-2"/>
        <n v="0.12782996498476612"/>
        <n v="5.8184742274125609E-2"/>
        <n v="0.1533377243156423"/>
        <n v="0.10003523687426434"/>
        <n v="0.19253159193640046"/>
        <n v="0.1574067414547719"/>
        <n v="0.11197590258962099"/>
        <n v="0.13472648756187483"/>
        <n v="0.10063665419624708"/>
        <n v="0.22930841656263004"/>
        <n v="0.22083872711079203"/>
        <n v="6.5260126177196676E-2"/>
        <n v="6.3163647720174895E-2"/>
        <n v="6.5026676883345402E-2"/>
        <n v="7.4852590163853316E-2"/>
        <n v="0.13306291036947823"/>
        <n v="0.18938839304076011"/>
        <n v="0.16653265433753237"/>
        <n v="3.6815574116257486E-2"/>
        <n v="6.3125470600314884E-2"/>
        <n v="0.10572895049001931"/>
        <n v="0.1670399782800516"/>
        <n v="0.12169724948097332"/>
        <n v="0.21822944840270156"/>
        <n v="0.20448477206063764"/>
        <n v="0.18384967825894008"/>
        <n v="0.12268188742314073"/>
        <n v="0.1355625479740343"/>
        <n v="0.10351649557352206"/>
        <n v="5.1034683765665986E-2"/>
        <n v="0.17338570370979683"/>
        <n v="0.22236055405627037"/>
        <n v="0.17480082805344707"/>
        <n v="0.1013613694568001"/>
        <n v="5.9926256806047476E-2"/>
        <n v="0.17068345323741008"/>
        <n v="6.9105822326993249E-2"/>
        <n v="8.7784200121602457E-2"/>
        <n v="7.4733598837522203E-2"/>
        <n v="0.1661879422830243"/>
        <n v="0.16176470588235295"/>
        <n v="6.7246616142254731E-2"/>
        <n v="0.12229094635129255"/>
        <n v="0.13754416603537908"/>
        <n v="7.3344243711540427E-2"/>
        <n v="0.19355479881454463"/>
        <n v="0.16400082531936269"/>
        <n v="7.776150780784237E-2"/>
        <n v="0.1414942691382482"/>
        <n v="9.5302847548943345E-2"/>
        <n v="0.13188939579954631"/>
        <n v="0.17782021625692615"/>
        <n v="0.1035047907211296"/>
        <n v="9.0549724906375695E-2"/>
        <n v="5.3816483962647176E-2"/>
        <n v="0.13532411888165119"/>
        <n v="0.14539985525601593"/>
        <n v="5.6258160171723214E-2"/>
        <n v="5.8204096725756937E-2"/>
        <n v="9.4281243724110231E-2"/>
        <n v="0.20454023582360303"/>
        <n v="0.16866485604975476"/>
        <n v="9.59747861323728E-2"/>
        <n v="0.13218006072609698"/>
        <n v="5.0486210744460379E-2"/>
        <n v="0.13535132486378279"/>
        <n v="6.1579816338504782E-2"/>
        <n v="0.11211930297171191"/>
        <n v="0.12415533537849266"/>
        <n v="0.20963359891402436"/>
        <n v="0.12543089293983919"/>
        <n v="6.1887453292199926E-2"/>
        <n v="0.23645204952960247"/>
        <n v="0.10988745370039987"/>
        <n v="0.10898564783004505"/>
        <n v="8.9918710325615395E-2"/>
        <n v="6.6253021175282284E-2"/>
        <n v="0.10031467123149733"/>
        <n v="4.5636199018802774E-2"/>
        <n v="7.253353447450929E-2"/>
        <n v="0.18672425428532866"/>
        <n v="0.16146601895050744"/>
        <n v="7.3913568901217183E-2"/>
        <n v="0.18958317496515903"/>
        <n v="0.10440962016858321"/>
        <n v="5.080301271051469E-2"/>
        <n v="0.14169122976844814"/>
        <n v="0.12831579336547727"/>
        <n v="0.13965724911776514"/>
        <n v="0.14098481915317804"/>
        <n v="0.12596334607400278"/>
        <n v="6.5715186718614885E-2"/>
        <n v="0.21499943318920142"/>
        <n v="5.7910183803531801E-2"/>
        <n v="8.1458190036356487E-2"/>
        <n v="7.7789871694537646E-2"/>
        <n v="8.0093925084129478E-2"/>
        <n v="9.2481190547214223E-2"/>
        <n v="0.12409979584068653"/>
        <n v="0.16593286604910004"/>
        <n v="0.13942254942102406"/>
        <n v="8.2346736980883323E-2"/>
        <n v="0.15434382493482665"/>
        <n v="0.20845005486449852"/>
        <n v="0.124441451664526"/>
        <n v="0.12707615263586439"/>
        <n v="0.14269925565262354"/>
        <n v="0.18687474775135152"/>
        <n v="0.10928201190247648"/>
        <n v="0.13822511535926171"/>
        <n v="9.6498691784406065E-2"/>
        <n v="0.15088327463323997"/>
        <n v="0.19300887230578684"/>
        <n v="0.16745859126652168"/>
        <n v="0.18294305621038295"/>
        <n v="0.24133289536635696"/>
        <n v="7.4172269737183952E-2"/>
        <n v="0.11977863095063646"/>
        <n v="0.16213056735731601"/>
        <n v="0.1567947961112813"/>
        <n v="7.8483960077474255E-2"/>
        <n v="0.21017835538383481"/>
        <n v="4.3533604887983711E-2"/>
        <n v="0.11169647323661831"/>
        <n v="5.7914126667008174E-2"/>
        <n v="8.4544889376485646E-2"/>
        <n v="0.23016718380956791"/>
        <n v="8.2089179295611006E-2"/>
        <n v="0.17291642827173209"/>
        <n v="0.19744901976222343"/>
        <n v="0.16062010465078488"/>
        <n v="9.6109129459448384E-2"/>
        <n v="0.11565072238531054"/>
        <n v="7.8133583964106093E-2"/>
        <n v="0.15004846849547795"/>
        <n v="0.13577186627929203"/>
        <n v="0.10691390070995331"/>
        <n v="0.10666941119068778"/>
        <n v="7.0304275621358409E-2"/>
        <n v="0.14431883005756366"/>
        <n v="6.9310967441318663E-2"/>
        <n v="0.12240715049809454"/>
        <n v="0.1729124952648953"/>
        <n v="0.12551691516852564"/>
        <n v="8.9949684670988753E-2"/>
        <n v="0.14645749963228394"/>
        <n v="0.14373075846627484"/>
        <n v="0.16469718361693442"/>
        <n v="3.9282741135959441E-2"/>
        <n v="0.11366919780572578"/>
        <n v="0.11847778125057454"/>
        <n v="0.18855957773790463"/>
        <n v="0.19310863390679844"/>
        <n v="0.19026555058449995"/>
        <n v="9.437702070991702E-2"/>
        <n v="0.11666012815483197"/>
        <n v="0.1837666138449898"/>
        <n v="9.6559691383068705E-2"/>
        <n v="4.273237341777044E-2"/>
        <n v="8.20842024260343E-2"/>
        <n v="0.23101670359638657"/>
        <n v="0.17638958031211446"/>
        <n v="0.10583240198978809"/>
        <n v="0.19431418522860491"/>
        <n v="7.3642205931393895E-2"/>
        <n v="0.13835793476171149"/>
        <n v="0.13718517158901233"/>
        <n v="5.2279466542017844E-2"/>
        <n v="0.20489575305659122"/>
        <n v="0.16596070792183867"/>
        <n v="0.10002042215512084"/>
        <n v="0.1033510719504482"/>
        <n v="0.10631744465684158"/>
        <n v="8.7942620554447279E-2"/>
        <n v="5.4347373678514943E-2"/>
        <n v="0.1220729459695412"/>
        <n v="0.1427432754052719"/>
        <n v="0.1195052963068995"/>
        <n v="6.6041279526189739E-2"/>
        <n v="0.15602233587308215"/>
        <n v="0.11348725471437378"/>
        <n v="8.6702836632321797E-2"/>
        <n v="4.380463932978456E-2"/>
        <n v="7.8833333333333325E-2"/>
        <n v="0.22666165369190847"/>
        <n v="0.15357621884650177"/>
        <n v="0.11007720003625189"/>
        <n v="0.14888584911605629"/>
        <n v="0.10018658166835109"/>
        <n v="0.22274977939013629"/>
        <n v="0.16092276455344501"/>
        <n v="0.16863683649466268"/>
        <n v="0.10024168897945644"/>
        <n v="0.20037643277079897"/>
        <n v="0.1859957124211295"/>
        <n v="0.12675845571276859"/>
        <n v="0.12781413268258726"/>
        <n v="9.6831987146601128E-2"/>
        <n v="0.17781212976938185"/>
        <n v="0.18641624459734071"/>
        <n v="0.12092331093624617"/>
        <n v="0.14398370435035646"/>
        <n v="0.22551672901907718"/>
        <n v="0.22245452919704189"/>
        <n v="6.5006817069752629E-2"/>
        <n v="0.16153160830492719"/>
        <n v="0.13446972731885798"/>
        <n v="0.12953220760296574"/>
        <n v="5.0457523047189014E-2"/>
        <n v="7.3353364811370253E-2"/>
        <n v="0.21908482510796823"/>
        <n v="0.11389899085313054"/>
        <n v="0.13166836412165484"/>
        <n v="0.1331074422396068"/>
        <n v="0.13968802059669846"/>
        <n v="0.13131913117464802"/>
        <n v="0.14654207295052366"/>
        <n v="0.10043689536801748"/>
        <n v="4.7439619830576665E-2"/>
        <n v="0.10106259400105161"/>
        <n v="0.16424556035001461"/>
        <n v="0.13504435245416913"/>
        <n v="0.14272279476478436"/>
        <n v="0.19533714432114779"/>
        <n v="0.11080937064643079"/>
        <n v="0.10094074204325654"/>
        <n v="5.268233547234856E-2"/>
        <n v="0.10750864969903787"/>
        <n v="0.18670235634316271"/>
        <n v="7.1888263915248982E-2"/>
        <n v="0.13699321887173568"/>
        <n v="0.22331613083040339"/>
        <n v="0.2144366792537902"/>
        <n v="5.8620353099379692E-2"/>
        <n v="0.11962262023341914"/>
        <n v="0.18522543610321573"/>
        <n v="7.6457561406522226E-2"/>
        <n v="0.12466662159014928"/>
        <n v="0.20128224438608786"/>
        <n v="0.19616350481115891"/>
        <n v="0.18724226804123711"/>
        <n v="0.16038343578601519"/>
        <n v="0.21754138024602027"/>
        <n v="7.6248744505524185E-2"/>
        <n v="0.14268051434223541"/>
        <n v="0.20539144065254625"/>
        <n v="0.16784430914744267"/>
        <n v="0.21541638183576617"/>
        <n v="0.14039857516798446"/>
        <n v="0.22361565693674437"/>
        <n v="0.13909038975597135"/>
        <n v="4.9150485436893196E-2"/>
        <n v="0.16521480423658216"/>
        <n v="0.21986930681060102"/>
        <n v="8.113577892122073E-2"/>
        <n v="0.16836127141155993"/>
        <n v="0.11752229602499639"/>
        <n v="0.15957414769304903"/>
        <n v="0.19062221597036622"/>
        <n v="0.13212344541685858"/>
        <n v="0.17557996371176773"/>
        <n v="0.14958758416782897"/>
        <n v="0.16333635174564845"/>
        <n v="9.046302149178255E-2"/>
        <n v="0.22177703619129355"/>
        <n v="0.2343011743486188"/>
        <n v="7.9029166096124884E-2"/>
        <n v="0.18236848090414459"/>
        <n v="9.1243231004358577E-2"/>
        <n v="6.8693864482752817E-2"/>
        <n v="0.14771396882124593"/>
        <n v="0.13551678736010533"/>
        <n v="0.2054183266932271"/>
        <n v="0.14924216390901579"/>
        <n v="0.11851631303475726"/>
        <n v="4.030306889086973E-2"/>
        <n v="0.14005847193722204"/>
        <n v="0.11690316822846944"/>
        <n v="0.19035459765140367"/>
        <n v="9.4636015325670494E-2"/>
        <n v="0.10125875392417291"/>
        <n v="9.180388863856688E-2"/>
        <n v="6.7570811942890704E-2"/>
        <n v="7.2676879060618704E-2"/>
        <n v="0.18805231358248589"/>
        <n v="0.13774330583495492"/>
        <n v="0.11512646985831919"/>
        <n v="0.17786642678190104"/>
        <n v="5.1406633864599094E-2"/>
        <n v="0.1218402188266365"/>
        <n v="0.18376261485163428"/>
        <n v="5.9617646056309231E-2"/>
        <n v="0.19162197731913114"/>
        <n v="0.10260434224955342"/>
        <n v="0.15557257755649176"/>
        <n v="0.10168090900554043"/>
        <n v="0.15258365496309065"/>
        <n v="0.19772134339063471"/>
        <n v="0.12315602130292692"/>
        <n v="8.6419753086419748E-2"/>
        <n v="0.17716386236167955"/>
        <n v="0.11416591476036303"/>
        <n v="5.793624670227078E-2"/>
        <n v="0.1684016084610922"/>
        <n v="0.18301789826981274"/>
        <n v="0.17287402344873609"/>
        <n v="5.1120697851302528E-2"/>
        <n v="9.9446851848153842E-2"/>
        <n v="4.6574853151293852E-2"/>
        <n v="0.23932165417952109"/>
        <n v="0.16514076194410834"/>
        <n v="0.20912277980299387"/>
        <n v="0.12387975416929463"/>
        <n v="6.4934176938224772E-2"/>
        <n v="0.10290841584158414"/>
        <n v="0.15103826464735462"/>
        <n v="0.13016854613798956"/>
        <n v="0.17602264961437078"/>
        <n v="8.6495363453393745E-2"/>
        <n v="0.12084322437965388"/>
        <n v="0.1908088840142583"/>
        <n v="0.22797489523538944"/>
        <n v="9.9024733253844505E-2"/>
        <n v="0.14557577127359023"/>
        <n v="9.0180841229489259E-2"/>
        <n v="0.12625202213197198"/>
        <n v="0.11158897722171542"/>
        <n v="6.4637594608954324E-2"/>
        <n v="0.19533658148553248"/>
        <n v="6.7647034660663963E-2"/>
        <n v="9.0804899871784236E-2"/>
        <n v="6.9857419787307279E-2"/>
        <n v="5.3502328511327586E-2"/>
        <n v="8.817486780505876E-2"/>
        <n v="4.4736106214057318E-2"/>
        <n v="6.6231532763687082E-2"/>
        <n v="0.11307962542501158"/>
        <n v="7.0413202475464148E-2"/>
        <n v="0.16619836764340465"/>
        <n v="0.13339760942386375"/>
        <n v="0.19358735177865613"/>
        <n v="0.20265612768548319"/>
        <n v="0.10434935450297837"/>
        <n v="8.6066289974951943E-2"/>
        <n v="0.11364402672117675"/>
        <n v="0.21065885238650525"/>
        <n v="0.13743028649044511"/>
        <n v="6.1258531676583829E-2"/>
        <n v="0.18951887903775808"/>
        <n v="5.8920297831922659E-2"/>
        <n v="0.15992759830878495"/>
        <n v="0.17687646471153937"/>
        <n v="0.14216966060086506"/>
        <n v="0.17487425600364645"/>
        <n v="6.0344988382255757E-2"/>
        <n v="0.14587185053917695"/>
        <n v="8.0567599689806882E-2"/>
        <n v="9.3328729640726346E-2"/>
        <n v="6.619206488980392E-2"/>
        <n v="0.13162973013719281"/>
        <n v="0.13539853588614723"/>
        <n v="5.7837732782077107E-2"/>
        <n v="0.23253549913941479"/>
        <n v="0.1830124590078431"/>
        <n v="0.19614218390384683"/>
        <n v="0.12221061599436975"/>
        <n v="0.156838973197895"/>
        <n v="6.9946813236278341E-2"/>
        <n v="0.11796614774042664"/>
        <n v="7.7745241866509246E-2"/>
        <n v="0.1842279620181406"/>
        <n v="0.15357440693248153"/>
        <n v="0.10425590442881283"/>
        <n v="0.13071398353662278"/>
        <n v="0.21234117955016812"/>
        <n v="0.14472455051506813"/>
        <n v="7.0282008242583044E-2"/>
        <n v="0.1370742934959728"/>
        <n v="0.18076391506470665"/>
        <n v="0.12543216465183191"/>
        <n v="6.2709015498799384E-2"/>
        <n v="0.22133042216994428"/>
        <n v="0.16121722925754942"/>
        <n v="9.1389357392088102E-2"/>
        <n v="0.21359926949503205"/>
        <n v="7.9752788413517559E-2"/>
        <n v="0.11019282611025465"/>
        <n v="0.16359156107874603"/>
        <n v="0.1700427859235942"/>
        <n v="0.19722487324783775"/>
        <n v="4.7082879902679127E-2"/>
        <n v="0.1228189198887593"/>
        <n v="0.14336237492731246"/>
        <n v="7.96004919068036E-2"/>
        <n v="0.14472971117646632"/>
        <n v="0.1337826238992911"/>
        <n v="0.14851144640164277"/>
        <n v="0.21791977318072037"/>
        <n v="0.11804971939817484"/>
        <n v="9.6128742230252515E-2"/>
        <n v="0.17353985408294645"/>
        <n v="5.3302935523985379E-2"/>
        <n v="0.17845015148742349"/>
        <n v="0.19195674576089719"/>
        <n v="6.1919007859881962E-2"/>
        <n v="0.16543660219432194"/>
        <n v="8.9960968838169411E-2"/>
        <n v="4.716963190475737E-2"/>
        <n v="9.508732089467109E-2"/>
        <n v="0.13018785348774575"/>
        <n v="0.13802702450434026"/>
        <n v="0.14433955445847302"/>
        <n v="7.8970057915956487E-2"/>
        <n v="0.10031994132301428"/>
        <n v="0.14547829318167152"/>
        <n v="0.16868052494980657"/>
        <n v="0.21303123106401792"/>
        <n v="6.2070257015454849E-2"/>
        <n v="0.15361239318192205"/>
        <n v="9.8836588750133417E-2"/>
        <n v="5.6324195740824652E-2"/>
        <n v="0.15621429029123102"/>
        <n v="0.18678284693438024"/>
        <n v="0.12475612072240064"/>
        <n v="3.9901802726073576E-2"/>
        <n v="5.4881622648881939E-2"/>
        <n v="0.10058157648769342"/>
        <n v="0.1293816426900477"/>
        <n v="0.12465181182919617"/>
        <n v="0.18150489370986847"/>
        <n v="0.15456853433031881"/>
        <n v="0.17256482393915917"/>
        <n v="0.21231580211424447"/>
        <n v="7.4978118178755646E-2"/>
        <n v="6.3216361881898844E-2"/>
        <n v="0.10242392687724168"/>
        <n v="0.18992223463308963"/>
        <n v="0.13070849754815886"/>
        <n v="7.5854907397690061E-2"/>
        <n v="8.5470085470085472E-2"/>
        <n v="0.1081090497343437"/>
        <n v="0.18448892953516466"/>
        <n v="9.5741687568332359E-2"/>
        <n v="8.1213821817275267E-2"/>
        <n v="7.0948381015746284E-2"/>
        <n v="4.3700842723298883E-2"/>
        <n v="0.16316279423876859"/>
        <n v="0.17707450050568982"/>
        <n v="0.14426919577560493"/>
        <n v="0.17009164654514999"/>
        <n v="4.3549151578348662E-2"/>
        <n v="0.14212811674649717"/>
        <n v="0.11399671493698042"/>
        <n v="9.3923957294782326E-2"/>
        <n v="0.18672548141804213"/>
        <n v="0.13837582885732685"/>
        <n v="0.10726741219619071"/>
        <n v="6.9256038592572858E-2"/>
        <n v="5.7799699928577246E-2"/>
        <n v="0.11386812504477825"/>
        <n v="0.1549044410082317"/>
        <n v="0.17926220719234578"/>
        <n v="0.13154444221668463"/>
        <n v="0.15843654840668434"/>
        <n v="6.8211700343060941E-2"/>
        <n v="9.2092851197632483E-2"/>
        <n v="0.10892926992015829"/>
        <n v="0.12637153429506087"/>
        <n v="0.17535500892372161"/>
        <n v="0.11907879076410378"/>
        <n v="0.12762870423993947"/>
        <n v="0.11823194431890084"/>
        <n v="5.5128369430560889E-2"/>
        <n v="0.13978074629586232"/>
        <n v="9.0528164957954155E-2"/>
        <n v="0.16129476417658073"/>
        <n v="0.12370121901333551"/>
        <n v="0.17279569278226842"/>
        <n v="0.16161802814918452"/>
        <n v="0.19169510807736062"/>
        <n v="0.23045247086497486"/>
        <n v="5.4102729769019538E-2"/>
        <n v="0.17914927677091075"/>
        <n v="0.10896210567777662"/>
        <n v="9.6347408766653264E-2"/>
        <n v="0.14937644635579495"/>
        <n v="0.18853324114626377"/>
        <n v="7.1981162208820379E-2"/>
        <n v="5.2836665905331426E-2"/>
        <n v="9.6893830045593043E-2"/>
        <n v="0.10009972968007769"/>
        <n v="0.16315413861486186"/>
        <n v="4.5438629254400301E-2"/>
        <n v="0.18127063400765037"/>
        <n v="0.14441843081857306"/>
        <n v="8.3264892769588927E-2"/>
        <n v="0.11774641338092698"/>
        <n v="0.16213175338274891"/>
        <n v="0.11484394321610526"/>
        <n v="0.10634813728985909"/>
        <n v="0.14088480205057813"/>
        <n v="4.830323486907926E-2"/>
        <n v="0.19100053841810136"/>
        <n v="0.16957782049929271"/>
        <n v="0.22175877498837751"/>
        <n v="0.11514690234097896"/>
        <n v="6.3598209289311688E-2"/>
        <n v="0.13199507572139621"/>
        <n v="7.6207411310151033E-2"/>
        <n v="0.15510550135533716"/>
        <n v="4.8682590886903368E-2"/>
        <n v="0.15972569618142404"/>
        <n v="5.0913838120104443E-2"/>
        <n v="5.4891624229086167E-2"/>
        <n v="0.18595442236170304"/>
        <n v="0.21095033551733011"/>
        <n v="0.13776840161091025"/>
        <n v="8.8511711656954428E-2"/>
        <n v="9.5053547639232516E-2"/>
        <n v="0.1853545657442526"/>
        <n v="8.8845758919297496E-2"/>
        <n v="0.20903668495672131"/>
        <n v="5.7060100469818388E-2"/>
        <n v="0.18630988591571596"/>
        <n v="0.16117999401018268"/>
        <n v="0.22798143591253564"/>
        <n v="4.0912576401658685E-2"/>
        <n v="5.1667449506810709E-2"/>
        <n v="5.6106640048245886E-2"/>
        <n v="0.21526239919776041"/>
        <n v="0.19245362860568446"/>
        <n v="0.13705469141996987"/>
        <n v="0.18062366402615368"/>
        <n v="8.4089680210103504E-2"/>
        <n v="0.13875628385487707"/>
        <n v="8.2500565072363516E-2"/>
        <n v="0.14175893785985766"/>
        <n v="0.15843896469719007"/>
        <n v="0.2129366072528513"/>
        <n v="6.5101816552172925E-2"/>
        <n v="7.5014462570866594E-2"/>
        <n v="0.14234767103031357"/>
        <n v="0.1806501282375465"/>
        <n v="5.5944487754424697E-2"/>
        <n v="0.13617076265213102"/>
        <n v="0.10268334266374878"/>
        <n v="0.10247954163446084"/>
        <n v="3.8722041073165153E-2"/>
        <n v="0.10786879585671127"/>
        <n v="0.17521366989324286"/>
        <n v="0.11041113446927787"/>
        <n v="5.9902065700295104E-2"/>
        <n v="0.12068007556395155"/>
        <n v="0.17437084000122313"/>
        <n v="0.11181179545825845"/>
        <n v="0.20596285640282533"/>
        <n v="9.7479832260240915E-2"/>
        <n v="0.10160191446774387"/>
        <n v="6.0342409872010602E-2"/>
        <n v="5.6150922724004522E-2"/>
        <n v="5.7923145919329309E-2"/>
        <n v="0.18774220627637675"/>
        <n v="6.4094551943432346E-2"/>
        <n v="0.15867402350039023"/>
        <n v="0.21848697205691781"/>
        <n v="0.13907132878797357"/>
        <n v="0.13554431256372274"/>
        <n v="8.4946627850557982E-2"/>
        <n v="0.16840442660730029"/>
        <n v="7.9294802470659106E-2"/>
        <n v="5.1923872756628804E-2"/>
        <n v="8.1856794262341603E-2"/>
        <n v="0.12817125063580084"/>
        <n v="0.11148970619208087"/>
        <n v="0.19683365418056595"/>
        <n v="0.21865248884282781"/>
        <n v="6.3744847149095951E-2"/>
        <n v="0.15117352274402185"/>
        <n v="5.3095607235142124E-2"/>
        <n v="0.14728194124871188"/>
        <n v="0.21679247066448817"/>
        <n v="0.23265735613562605"/>
        <n v="0.10663182720639378"/>
        <n v="0.14262774864138783"/>
        <n v="8.5286278834665927E-2"/>
        <n v="0.1185409604519774"/>
        <n v="0.13934927527368357"/>
        <n v="0.18128238089673174"/>
        <n v="0.15536063796638885"/>
        <n v="0.10059903600508426"/>
        <n v="9.2657626694994694E-2"/>
        <n v="4.5319037257110249E-2"/>
        <n v="0.1102611196297482"/>
        <n v="6.3008579681510191E-2"/>
        <n v="0.20138409189756187"/>
        <n v="0.1126837152961384"/>
        <n v="9.8639958607435893E-2"/>
        <n v="6.0625107716014967E-2"/>
        <n v="7.0407185258471422E-2"/>
        <n v="0.1017281057074194"/>
        <n v="0.14046352765083359"/>
        <n v="5.6006324853098845E-2"/>
        <n v="7.6310797063594629E-2"/>
        <n v="0.14098298914066915"/>
        <n v="5.471724898122788E-2"/>
        <n v="0.16841052899116024"/>
        <n v="0.21089469774352307"/>
        <n v="6.946291020365096E-2"/>
        <n v="7.4340881504986175E-2"/>
        <n v="0.12343385126639124"/>
        <n v="9.2034374483556433E-2"/>
        <n v="0.14847538158579512"/>
        <n v="0.12809247722280243"/>
        <n v="0.16461226416562488"/>
        <n v="0.15681527438074597"/>
        <n v="9.2019895313530276E-2"/>
        <n v="0.19925488927057144"/>
        <n v="0.14283366720921498"/>
        <n v="4.7866067107408511E-2"/>
        <n v="0.23301767080200333"/>
        <n v="0.1123024798806402"/>
        <n v="0.18748286775150139"/>
        <n v="0.17918021515233989"/>
        <n v="0.18820192183947493"/>
        <n v="8.3020332656128695E-2"/>
        <n v="3.8781406611681689E-2"/>
        <n v="5.5939751750151187E-2"/>
        <n v="0.13350459920799712"/>
        <n v="0.10800205840730734"/>
        <n v="8.7832935371950971E-2"/>
        <n v="0.1048943155201445"/>
        <n v="5.06974153861732E-2"/>
        <n v="0.13021345831381365"/>
        <n v="0.17915308268937452"/>
        <n v="7.8171890736754929E-2"/>
        <n v="0.20890231485640703"/>
        <n v="7.4918139152080676E-2"/>
        <n v="0.15780346552787397"/>
        <n v="0.13538945399937663"/>
        <n v="7.277271364690148E-2"/>
        <n v="9.8580417256065977E-2"/>
        <n v="0.12380659520880924"/>
        <n v="0.11533513669777813"/>
        <n v="7.675477885090419E-2"/>
        <n v="8.7545118815366349E-2"/>
        <n v="8.5348428997718107E-2"/>
        <n v="7.2043594557122004E-2"/>
        <n v="0.10612144563987058"/>
        <n v="0.12195619571495948"/>
        <n v="0.18831936368101657"/>
        <n v="0.17009359605911331"/>
        <n v="0.18942181618237955"/>
        <n v="0.13077040048660243"/>
        <n v="6.6086087493352735E-2"/>
        <n v="0.1486018473709681"/>
        <n v="4.3840621754874569E-2"/>
        <n v="0.1562076002426783"/>
        <n v="0.12440100117343077"/>
        <n v="9.5809161952248534E-2"/>
        <n v="9.2399101445992365E-2"/>
        <n v="0.21396252415047168"/>
        <n v="0.17328903199287526"/>
        <n v="0.13171244741400642"/>
        <n v="7.5883705162819989E-2"/>
        <n v="0.14146009729346867"/>
        <n v="0.12553736613265634"/>
        <n v="8.892435205454273E-2"/>
        <n v="4.3884430732967057E-2"/>
        <n v="0.22507419911570364"/>
        <n v="0.17608437812787478"/>
        <n v="9.6608176130215939E-2"/>
        <n v="0.13764909052760699"/>
        <n v="7.0057270213846404E-2"/>
        <n v="9.0681182122656037E-2"/>
        <n v="4.9389326258881192E-2"/>
        <n v="0.18048500085954958"/>
        <n v="0.11704299611731162"/>
        <n v="6.5171535461275173E-2"/>
        <n v="7.2495465301156248E-2"/>
        <n v="8.9496475602426101E-2"/>
        <n v="6.8696801725537493E-2"/>
        <n v="0.13611848704785506"/>
        <n v="8.8543207322749132E-2"/>
        <n v="0.12421659712300107"/>
        <n v="0.15571623639514179"/>
        <n v="0.10856221485241035"/>
        <n v="6.5138906647345465E-2"/>
        <n v="5.9733300441301429E-2"/>
        <n v="4.5774936480616341E-2"/>
        <n v="0.18626087108684619"/>
        <n v="0.15292196789994147"/>
        <n v="0.10252758732915815"/>
        <n v="0.19159541286870477"/>
        <n v="0.13267347309900501"/>
        <n v="7.4502521195539795E-2"/>
        <n v="0.10379263355779464"/>
        <n v="9.1450469857325717E-2"/>
        <n v="9.3744073170047418E-2"/>
        <n v="0.21433838943057093"/>
        <n v="9.6812356684795292E-2"/>
        <n v="0.12851177533292227"/>
        <n v="8.5944527048112049E-2"/>
        <n v="8.1528426647695815E-2"/>
        <n v="0.14761950752872136"/>
        <n v="0.1782409293554808"/>
        <n v="0.10174090703336229"/>
        <n v="7.0536223471424492E-2"/>
        <n v="0.13485751971641341"/>
        <n v="0.21963641680475679"/>
        <n v="7.9176357858874405E-2"/>
        <n v="0.11843844942050184"/>
        <n v="0.1505559173238791"/>
        <n v="0.10413398321018406"/>
        <n v="0.13713280878125847"/>
        <n v="0.11257157013873598"/>
        <n v="0.14711412959316861"/>
        <n v="0.18220563448109797"/>
        <n v="7.2625229718085382E-2"/>
        <n v="9.0027773410889272E-2"/>
        <n v="0.162210153700693"/>
        <n v="5.9294952739811363E-2"/>
        <n v="0.15681978651825393"/>
        <n v="0.16599027414602979"/>
        <n v="0.18707085024303163"/>
        <n v="5.1483399142685939E-2"/>
        <n v="0.14017911135427766"/>
        <n v="0.14522492889636598"/>
        <n v="0.18893620118644686"/>
        <n v="5.8786460208858485E-2"/>
        <n v="3.8352103186062178E-2"/>
        <n v="0.19388175339153085"/>
        <n v="0.17285374059652969"/>
        <n v="0.20107906976744186"/>
        <n v="0.15471878520924034"/>
        <n v="0.16706946034534134"/>
        <n v="0.1373223181110805"/>
        <n v="8.1715940173427232E-2"/>
        <n v="0.11947375702768309"/>
        <n v="5.6160110899324212E-2"/>
        <n v="0.12971712399297353"/>
        <n v="0.2064017715050816"/>
        <n v="0.13429679799039715"/>
        <n v="0.20888698465504901"/>
        <n v="4.9689703467593938E-2"/>
        <n v="0.17216133142508619"/>
        <n v="0.10115487184620989"/>
        <n v="0.104126492877832"/>
        <n v="5.3805811660668897E-2"/>
        <n v="5.0207950602163702E-2"/>
        <n v="0.13959648492521057"/>
        <n v="6.2272829191153907E-2"/>
        <n v="6.8700684735611306E-2"/>
        <n v="0.11943466393262013"/>
        <n v="0.13358256365146851"/>
        <n v="0.14244003837543973"/>
        <n v="7.9924693742987038E-2"/>
        <n v="0.10984330773232692"/>
        <n v="0.1267991504614826"/>
        <n v="5.0235143223599829E-2"/>
        <n v="0.12639031861206659"/>
        <n v="0.18014826842138995"/>
        <n v="4.6017153204783799E-2"/>
        <n v="0.16930535922426407"/>
        <n v="0.13904898581058203"/>
        <n v="8.3355441441375966E-2"/>
        <n v="0.15073482928238999"/>
        <n v="4.6916433689559708E-2"/>
        <n v="0.16099554985176076"/>
        <n v="0.16222270421381146"/>
        <n v="6.1321016576548572E-2"/>
        <n v="0.17034629358718123"/>
        <n v="0.15705098226688699"/>
        <n v="7.7637643279974869E-2"/>
        <n v="9.2406682429551523E-2"/>
        <n v="0.19292624834011338"/>
        <n v="0.10568992241836259"/>
        <n v="4.100572512124858E-2"/>
        <n v="0.17973856209150327"/>
        <n v="0.18583119193516506"/>
        <n v="9.1670141653082626E-2"/>
        <n v="0.20473667275951066"/>
        <n v="0.17094519615554726"/>
        <n v="0.13466509062253743"/>
        <n v="0.20019620760769935"/>
        <n v="0.12080623606287343"/>
        <n v="8.8057876277275848E-2"/>
        <n v="0.15322259757253681"/>
        <n v="9.5854660869246142E-2"/>
        <n v="0.20929048906524547"/>
        <n v="0.10188855026922897"/>
        <n v="6.9704234640107984E-2"/>
        <n v="0.11089661232450855"/>
        <n v="0.192533613142816"/>
        <n v="0.14774223925978408"/>
        <n v="0.14356860046699982"/>
        <n v="0.11972207606248544"/>
        <n v="0.14889376862065612"/>
        <n v="7.7300916138125439E-2"/>
        <n v="0.12603322796954919"/>
        <n v="8.3812564188551902E-2"/>
        <n v="4.7355324249688947E-2"/>
        <n v="0.20939742328716318"/>
        <n v="6.5793013012339863E-2"/>
        <n v="0.16253732234563478"/>
        <n v="5.1963258205731111E-2"/>
        <n v="0.12563095508166972"/>
        <n v="0.12980373721941474"/>
        <n v="0.1359596291429406"/>
        <n v="0.19141243715997522"/>
        <n v="7.6526329874584881E-2"/>
        <n v="0.22740045273193793"/>
        <n v="0.14335929365707387"/>
        <n v="0.13469517002494474"/>
        <n v="0.22128961479014464"/>
        <n v="0.120294350814255"/>
        <n v="0.17971568003394867"/>
        <n v="0.14738261342833112"/>
        <n v="8.9543299226353887E-2"/>
        <n v="0.18354760424396799"/>
        <n v="0.12011456055624596"/>
        <n v="0.18080106704327017"/>
        <n v="0.11098522835072504"/>
        <n v="0.13164996527433279"/>
        <n v="0.11965462344668996"/>
        <n v="8.7615791109729571E-2"/>
        <n v="0.17627988233822189"/>
        <n v="4.2772259498585562E-2"/>
        <n v="0.11162064349809132"/>
        <n v="6.5593733203043625E-2"/>
        <n v="8.309519862975856E-2"/>
        <n v="6.4027990598753415E-2"/>
        <n v="9.4537012132108328E-2"/>
        <n v="0.14734461383816383"/>
        <n v="0.11708376781369484"/>
        <n v="9.333180660892057E-2"/>
        <n v="0.18628100656303173"/>
        <n v="9.1785256853087582E-2"/>
        <n v="0.18892095757489907"/>
        <n v="0.17515319991153736"/>
        <n v="0.16453225356045798"/>
        <n v="0.15496443922871214"/>
        <n v="0.10184043105686834"/>
        <n v="5.2003523870836579E-2"/>
        <n v="0.18286599835343118"/>
        <n v="0.11601471694484823"/>
        <n v="0.17511606313834727"/>
        <n v="0.11229200553774563"/>
        <n v="0.11027997737556559"/>
        <n v="8.0505317563712833E-2"/>
        <n v="0.17109456045136931"/>
        <n v="5.0639853747714805E-2"/>
        <n v="0.11668741400773111"/>
        <n v="0.14256769085528873"/>
        <n v="0.16532258064516128"/>
        <n v="6.410494525016959E-2"/>
        <n v="4.0957652123281847E-2"/>
        <n v="9.6745679321199998E-2"/>
        <n v="7.2078217371532513E-2"/>
        <n v="0.1706379331455859"/>
        <n v="0.18797125793206423"/>
        <n v="0.11503732669747599"/>
        <n v="0.14559523176695727"/>
        <n v="6.3594237318210053E-2"/>
        <n v="0.1254622750050092"/>
        <n v="7.0701660417782544E-2"/>
        <n v="0.21240705504500493"/>
        <n v="0.18531509228005827"/>
        <n v="0.14962310100892962"/>
        <n v="6.5426987412853632E-2"/>
        <n v="0.11606292676177843"/>
        <n v="0.16630314266499446"/>
        <n v="4.7442281575373474E-2"/>
        <n v="0.12022903667630497"/>
        <n v="7.6369802558760136E-2"/>
        <n v="0.10136949430605667"/>
        <n v="4.3670384591942467E-2"/>
        <n v="5.2131003302114301E-2"/>
        <n v="0.12957589073106304"/>
        <n v="5.4702542174479424E-2"/>
        <n v="0.20221068931780928"/>
        <n v="4.960833593219717E-2"/>
        <n v="4.7105677418570586E-2"/>
        <n v="6.1833171677982544E-2"/>
        <n v="5.8717990539879306E-2"/>
        <n v="0.14994352409638553"/>
        <n v="8.3236146016415088E-2"/>
        <n v="0.16970222472190977"/>
        <n v="8.9703283982209225E-2"/>
        <n v="7.5340634479921842E-2"/>
        <n v="0.1373802546359002"/>
        <n v="0.14202239056803787"/>
        <n v="0.15956484077978808"/>
        <n v="0.15288345823413546"/>
        <n v="8.8292264920880284E-2"/>
        <n v="8.1183792744949274E-2"/>
        <n v="0.14213544865528843"/>
        <n v="8.8029076024629935E-2"/>
        <n v="0.15804065115991722"/>
        <n v="8.0925397387554429E-2"/>
        <n v="7.2946169166955982E-2"/>
        <n v="7.7688387178299151E-2"/>
        <n v="0.16454273222161631"/>
        <n v="0.11209931460051926"/>
        <n v="0.19745171369825312"/>
        <n v="8.9371841155234666E-2"/>
        <n v="0.11678697857302239"/>
        <n v="0.1937981390540191"/>
        <n v="0.17960172089548393"/>
        <n v="7.9186110256855957E-2"/>
        <n v="0.15922969803158368"/>
        <n v="6.4807944262816983E-2"/>
        <n v="5.830414301244112E-2"/>
        <n v="0.19019857058650161"/>
        <n v="0.1277291683702674"/>
        <n v="0.18773556747902018"/>
        <n v="0.12445847712754239"/>
      </sharedItems>
    </cacheField>
    <cacheField name="Profit/loss flag" numFmtId="0">
      <sharedItems/>
    </cacheField>
    <cacheField name="Discount ba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DHU" refreshedDate="46097.688943402776" createdVersion="8" refreshedVersion="8" minRefreshableVersion="3" recordCount="999" xr:uid="{D770E664-2C29-4702-8AA7-937A4E4C401E}">
  <cacheSource type="worksheet">
    <worksheetSource ref="A1:L1000" sheet="cleaned"/>
  </cacheSource>
  <cacheFields count="12">
    <cacheField name="Order ID" numFmtId="49">
      <sharedItems/>
    </cacheField>
    <cacheField name="Order Date" numFmtId="14">
      <sharedItems containsSemiMixedTypes="0" containsNonDate="0" containsDate="1" containsString="0" minDate="2024-05-12T00:00:00" maxDate="2025-05-12T00:00:00"/>
    </cacheField>
    <cacheField name="Customer Name" numFmtId="49">
      <sharedItems/>
    </cacheField>
    <cacheField name="Region" numFmtId="49">
      <sharedItems/>
    </cacheField>
    <cacheField name="City" numFmtId="49">
      <sharedItems/>
    </cacheField>
    <cacheField name="Category" numFmtId="49">
      <sharedItems count="3">
        <s v="Technology"/>
        <s v="Furniture"/>
        <s v="Office Supplies"/>
      </sharedItems>
    </cacheField>
    <cacheField name="Sub-Category" numFmtId="49">
      <sharedItems count="12">
        <s v="Tablet"/>
        <s v="Printer"/>
        <s v="Chair"/>
        <s v="Cupboard"/>
        <s v="Table"/>
        <s v="Envelope"/>
        <s v="Notebook"/>
        <s v="Laptop"/>
        <s v="Stapler"/>
        <s v="Mobile"/>
        <s v="Pen"/>
        <s v="Sofa"/>
      </sharedItems>
    </cacheField>
    <cacheField name="Product Name" numFmtId="49">
      <sharedItems/>
    </cacheField>
    <cacheField name="Sales Amount" numFmtId="164">
      <sharedItems containsSemiMixedTypes="0" containsString="0" containsNumber="1" minValue="101.77" maxValue="19512.599999999999"/>
    </cacheField>
    <cacheField name="Quantity" numFmtId="2">
      <sharedItems containsSemiMixedTypes="0" containsString="0" containsNumber="1" containsInteger="1" minValue="1" maxValue="10"/>
    </cacheField>
    <cacheField name="Discount (%)" numFmtId="0">
      <sharedItems containsSemiMixedTypes="0" containsString="0" containsNumber="1" minValue="0" maxValue="30"/>
    </cacheField>
    <cacheField name="Profit" numFmtId="2">
      <sharedItems containsSemiMixedTypes="0" containsString="0" containsNumber="1" minValue="8.2899999999999991" maxValue="4044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DHU" refreshedDate="46097.69960428241" createdVersion="8" refreshedVersion="8" minRefreshableVersion="3" recordCount="999" xr:uid="{4C60389D-0F33-4889-9C21-A0A8061FC69D}">
  <cacheSource type="worksheet">
    <worksheetSource ref="A1:S1000" sheet="cleaned"/>
  </cacheSource>
  <cacheFields count="22">
    <cacheField name="Order ID" numFmtId="49">
      <sharedItems count="999">
        <s v="ODR00001"/>
        <s v="ODR00002"/>
        <s v="ODR00003"/>
        <s v="ODR00004"/>
        <s v="ODR00005"/>
        <s v="ODR00006"/>
        <s v="ODR00007"/>
        <s v="ODR00008"/>
        <s v="ODR00009"/>
        <s v="ODR00010"/>
        <s v="ODR00011"/>
        <s v="ODR00012"/>
        <s v="ODR00013"/>
        <s v="ODR00014"/>
        <s v="ODR00015"/>
        <s v="ODR00016"/>
        <s v="ODR00017"/>
        <s v="ODR00018"/>
        <s v="ODR00019"/>
        <s v="ODR00020"/>
        <s v="ODR00021"/>
        <s v="ODR00022"/>
        <s v="ODR00023"/>
        <s v="ODR00024"/>
        <s v="ODR00025"/>
        <s v="ODR00026"/>
        <s v="ODR00027"/>
        <s v="ODR00028"/>
        <s v="ODR00029"/>
        <s v="ODR00030"/>
        <s v="ODR00031"/>
        <s v="ODR00032"/>
        <s v="ODR00033"/>
        <s v="ODR00034"/>
        <s v="ODR00035"/>
        <s v="ODR00036"/>
        <s v="ODR00037"/>
        <s v="ODR00038"/>
        <s v="ODR00039"/>
        <s v="ODR00040"/>
        <s v="ODR00041"/>
        <s v="ODR00042"/>
        <s v="ODR00043"/>
        <s v="ODR00044"/>
        <s v="ODR00045"/>
        <s v="ODR00046"/>
        <s v="ODR00047"/>
        <s v="ODR00048"/>
        <s v="ODR00049"/>
        <s v="ODR00050"/>
        <s v="ODR00051"/>
        <s v="ODR00052"/>
        <s v="ODR00053"/>
        <s v="ODR00054"/>
        <s v="ODR00055"/>
        <s v="ODR00056"/>
        <s v="ODR00057"/>
        <s v="ODR00058"/>
        <s v="ODR00059"/>
        <s v="ODR00060"/>
        <s v="ODR00061"/>
        <s v="ODR00062"/>
        <s v="ODR00063"/>
        <s v="ODR00064"/>
        <s v="ODR00065"/>
        <s v="ODR00066"/>
        <s v="ODR00067"/>
        <s v="ODR00068"/>
        <s v="ODR00069"/>
        <s v="ODR00070"/>
        <s v="ODR00071"/>
        <s v="ODR00072"/>
        <s v="ODR00073"/>
        <s v="ODR00074"/>
        <s v="ODR00075"/>
        <s v="ODR00076"/>
        <s v="ODR00077"/>
        <s v="ODR00078"/>
        <s v="ODR00079"/>
        <s v="ODR00080"/>
        <s v="ODR00081"/>
        <s v="ODR00082"/>
        <s v="ODR00083"/>
        <s v="ODR00084"/>
        <s v="ODR00085"/>
        <s v="ODR00086"/>
        <s v="ODR00087"/>
        <s v="ODR00088"/>
        <s v="ODR00089"/>
        <s v="ODR00090"/>
        <s v="ODR00091"/>
        <s v="ODR00092"/>
        <s v="ODR00093"/>
        <s v="ODR00094"/>
        <s v="ODR00095"/>
        <s v="ODR00096"/>
        <s v="ODR00097"/>
        <s v="ODR00098"/>
        <s v="ODR00099"/>
        <s v="ODR00100"/>
        <s v="ODR00101"/>
        <s v="ODR00102"/>
        <s v="ODR00103"/>
        <s v="ODR00104"/>
        <s v="ODR00105"/>
        <s v="ODR00106"/>
        <s v="ODR00107"/>
        <s v="ODR00108"/>
        <s v="ODR00109"/>
        <s v="ODR00110"/>
        <s v="ODR00111"/>
        <s v="ODR00112"/>
        <s v="ODR00113"/>
        <s v="ODR00114"/>
        <s v="ODR00115"/>
        <s v="ODR00116"/>
        <s v="ODR00117"/>
        <s v="ODR00118"/>
        <s v="ODR00119"/>
        <s v="ODR00120"/>
        <s v="ODR00121"/>
        <s v="ODR00122"/>
        <s v="ODR00123"/>
        <s v="ODR00124"/>
        <s v="ODR00125"/>
        <s v="ODR00126"/>
        <s v="ODR00127"/>
        <s v="ODR00128"/>
        <s v="ODR00129"/>
        <s v="ODR00130"/>
        <s v="ODR00131"/>
        <s v="ODR00132"/>
        <s v="ODR00133"/>
        <s v="ODR00134"/>
        <s v="ODR00135"/>
        <s v="ODR00136"/>
        <s v="ODR00137"/>
        <s v="ODR00138"/>
        <s v="ODR00139"/>
        <s v="ODR00140"/>
        <s v="ODR00141"/>
        <s v="ODR00142"/>
        <s v="ODR00143"/>
        <s v="ODR00144"/>
        <s v="ODR00145"/>
        <s v="ODR00146"/>
        <s v="ODR00147"/>
        <s v="ODR00148"/>
        <s v="ODR00149"/>
        <s v="ODR00150"/>
        <s v="ODR00151"/>
        <s v="ODR00152"/>
        <s v="ODR00153"/>
        <s v="ODR00154"/>
        <s v="ODR00155"/>
        <s v="ODR00156"/>
        <s v="ODR00157"/>
        <s v="ODR00158"/>
        <s v="ODR00159"/>
        <s v="ODR00160"/>
        <s v="ODR00161"/>
        <s v="ODR00162"/>
        <s v="ODR00163"/>
        <s v="ODR00164"/>
        <s v="ODR00165"/>
        <s v="ODR00166"/>
        <s v="ODR00167"/>
        <s v="ODR00168"/>
        <s v="ODR00169"/>
        <s v="ODR00170"/>
        <s v="ODR00171"/>
        <s v="ODR00172"/>
        <s v="ODR00173"/>
        <s v="ODR00174"/>
        <s v="ODR00175"/>
        <s v="ODR00176"/>
        <s v="ODR00177"/>
        <s v="ODR00178"/>
        <s v="ODR00179"/>
        <s v="ODR00180"/>
        <s v="ODR00181"/>
        <s v="ODR00182"/>
        <s v="ODR00183"/>
        <s v="ODR00184"/>
        <s v="ODR00185"/>
        <s v="ODR00186"/>
        <s v="ODR00187"/>
        <s v="ODR00188"/>
        <s v="ODR00189"/>
        <s v="ODR00190"/>
        <s v="ODR00191"/>
        <s v="ODR00192"/>
        <s v="ODR00193"/>
        <s v="ODR00194"/>
        <s v="ODR00195"/>
        <s v="ODR00196"/>
        <s v="ODR00197"/>
        <s v="ODR00198"/>
        <s v="ODR00199"/>
        <s v="ODR00200"/>
        <s v="ODR00201"/>
        <s v="ODR00202"/>
        <s v="ODR00203"/>
        <s v="ODR00204"/>
        <s v="ODR00205"/>
        <s v="ODR00206"/>
        <s v="ODR00207"/>
        <s v="ODR00208"/>
        <s v="ODR00209"/>
        <s v="ODR00210"/>
        <s v="ODR00211"/>
        <s v="ODR00212"/>
        <s v="ODR00213"/>
        <s v="ODR00214"/>
        <s v="ODR00215"/>
        <s v="ODR00216"/>
        <s v="ODR00217"/>
        <s v="ODR00218"/>
        <s v="ODR00219"/>
        <s v="ODR00220"/>
        <s v="ODR00221"/>
        <s v="ODR00222"/>
        <s v="ODR00223"/>
        <s v="ODR00224"/>
        <s v="ODR00225"/>
        <s v="ODR00226"/>
        <s v="ODR00227"/>
        <s v="ODR00228"/>
        <s v="ODR00229"/>
        <s v="ODR00230"/>
        <s v="ODR00231"/>
        <s v="ODR00232"/>
        <s v="ODR00233"/>
        <s v="ODR00234"/>
        <s v="ODR00235"/>
        <s v="ODR00236"/>
        <s v="ODR00237"/>
        <s v="ODR00238"/>
        <s v="ODR00239"/>
        <s v="ODR00240"/>
        <s v="ODR00241"/>
        <s v="ODR00242"/>
        <s v="ODR00243"/>
        <s v="ODR00244"/>
        <s v="ODR00245"/>
        <s v="ODR00246"/>
        <s v="ODR00247"/>
        <s v="ODR00248"/>
        <s v="ODR00249"/>
        <s v="ODR00250"/>
        <s v="ODR00251"/>
        <s v="ODR00252"/>
        <s v="ODR00253"/>
        <s v="ODR00254"/>
        <s v="ODR00255"/>
        <s v="ODR00256"/>
        <s v="ODR00257"/>
        <s v="ODR00258"/>
        <s v="ODR00259"/>
        <s v="ODR00260"/>
        <s v="ODR00261"/>
        <s v="ODR00262"/>
        <s v="ODR00263"/>
        <s v="ODR00264"/>
        <s v="ODR00265"/>
        <s v="ODR00266"/>
        <s v="ODR00267"/>
        <s v="ODR00268"/>
        <s v="ODR00269"/>
        <s v="ODR00270"/>
        <s v="ODR00271"/>
        <s v="ODR00272"/>
        <s v="ODR00273"/>
        <s v="ODR00274"/>
        <s v="ODR00275"/>
        <s v="ODR00276"/>
        <s v="ODR00277"/>
        <s v="ODR00278"/>
        <s v="ODR00279"/>
        <s v="ODR00280"/>
        <s v="ODR00281"/>
        <s v="ODR00282"/>
        <s v="ODR00283"/>
        <s v="ODR00284"/>
        <s v="ODR00285"/>
        <s v="ODR00286"/>
        <s v="ODR00287"/>
        <s v="ODR00288"/>
        <s v="ODR00289"/>
        <s v="ODR00290"/>
        <s v="ODR00291"/>
        <s v="ODR00292"/>
        <s v="ODR00293"/>
        <s v="ODR00294"/>
        <s v="ODR00295"/>
        <s v="ODR00296"/>
        <s v="ODR00297"/>
        <s v="ODR00298"/>
        <s v="ODR00299"/>
        <s v="ODR00300"/>
        <s v="ODR00301"/>
        <s v="ODR00302"/>
        <s v="ODR00303"/>
        <s v="ODR00304"/>
        <s v="ODR00305"/>
        <s v="ODR00306"/>
        <s v="ODR00307"/>
        <s v="ODR00308"/>
        <s v="ODR00309"/>
        <s v="ODR00310"/>
        <s v="ODR00311"/>
        <s v="ODR00312"/>
        <s v="ODR00313"/>
        <s v="ODR00314"/>
        <s v="ODR00315"/>
        <s v="ODR00316"/>
        <s v="ODR00317"/>
        <s v="ODR00318"/>
        <s v="ODR00319"/>
        <s v="ODR00320"/>
        <s v="ODR00321"/>
        <s v="ODR00322"/>
        <s v="ODR00323"/>
        <s v="ODR00324"/>
        <s v="ODR00325"/>
        <s v="ODR00326"/>
        <s v="ODR00327"/>
        <s v="ODR00328"/>
        <s v="ODR00329"/>
        <s v="ODR00330"/>
        <s v="ODR00331"/>
        <s v="ODR00332"/>
        <s v="ODR00333"/>
        <s v="ODR00334"/>
        <s v="ODR00335"/>
        <s v="ODR00336"/>
        <s v="ODR00337"/>
        <s v="ODR00338"/>
        <s v="ODR00339"/>
        <s v="ODR00340"/>
        <s v="ODR00341"/>
        <s v="ODR00342"/>
        <s v="ODR00343"/>
        <s v="ODR00344"/>
        <s v="ODR00345"/>
        <s v="ODR00346"/>
        <s v="ODR00347"/>
        <s v="ODR00348"/>
        <s v="ODR00349"/>
        <s v="ODR00350"/>
        <s v="ODR00351"/>
        <s v="ODR00352"/>
        <s v="ODR00353"/>
        <s v="ODR00354"/>
        <s v="ODR00355"/>
        <s v="ODR00356"/>
        <s v="ODR00357"/>
        <s v="ODR00358"/>
        <s v="ODR00359"/>
        <s v="ODR00360"/>
        <s v="ODR00361"/>
        <s v="ODR00362"/>
        <s v="ODR00363"/>
        <s v="ODR00364"/>
        <s v="ODR00365"/>
        <s v="ODR00366"/>
        <s v="ODR00367"/>
        <s v="ODR00368"/>
        <s v="ODR00369"/>
        <s v="ODR00370"/>
        <s v="ODR00371"/>
        <s v="ODR00372"/>
        <s v="ODR00373"/>
        <s v="ODR00374"/>
        <s v="ODR00375"/>
        <s v="ODR00376"/>
        <s v="ODR00377"/>
        <s v="ODR00378"/>
        <s v="ODR00379"/>
        <s v="ODR00380"/>
        <s v="ODR00381"/>
        <s v="ODR00382"/>
        <s v="ODR00383"/>
        <s v="ODR00384"/>
        <s v="ODR00385"/>
        <s v="ODR00386"/>
        <s v="ODR00387"/>
        <s v="ODR00388"/>
        <s v="ODR00389"/>
        <s v="ODR00390"/>
        <s v="ODR00391"/>
        <s v="ODR00392"/>
        <s v="ODR00393"/>
        <s v="ODR00394"/>
        <s v="ODR00395"/>
        <s v="ODR00396"/>
        <s v="ODR00397"/>
        <s v="ODR00398"/>
        <s v="ODR00399"/>
        <s v="ODR00400"/>
        <s v="ODR00401"/>
        <s v="ODR00402"/>
        <s v="ODR00403"/>
        <s v="ODR00404"/>
        <s v="ODR00405"/>
        <s v="ODR00406"/>
        <s v="ODR00407"/>
        <s v="ODR00408"/>
        <s v="ODR00409"/>
        <s v="ODR00410"/>
        <s v="ODR00411"/>
        <s v="ODR00412"/>
        <s v="ODR00413"/>
        <s v="ODR00414"/>
        <s v="ODR00415"/>
        <s v="ODR00416"/>
        <s v="ODR00417"/>
        <s v="ODR00418"/>
        <s v="ODR00419"/>
        <s v="ODR00420"/>
        <s v="ODR00421"/>
        <s v="ODR00422"/>
        <s v="ODR00423"/>
        <s v="ODR00424"/>
        <s v="ODR00425"/>
        <s v="ODR00426"/>
        <s v="ODR00427"/>
        <s v="ODR00428"/>
        <s v="ODR00429"/>
        <s v="ODR00430"/>
        <s v="ODR00431"/>
        <s v="ODR00432"/>
        <s v="ODR00433"/>
        <s v="ODR00434"/>
        <s v="ODR00435"/>
        <s v="ODR00436"/>
        <s v="ODR00437"/>
        <s v="ODR00438"/>
        <s v="ODR00439"/>
        <s v="ODR00440"/>
        <s v="ODR00441"/>
        <s v="ODR00442"/>
        <s v="ODR00443"/>
        <s v="ODR00444"/>
        <s v="ODR00445"/>
        <s v="ODR00446"/>
        <s v="ODR00447"/>
        <s v="ODR00448"/>
        <s v="ODR00449"/>
        <s v="ODR00450"/>
        <s v="ODR00451"/>
        <s v="ODR00452"/>
        <s v="ODR00453"/>
        <s v="ODR00454"/>
        <s v="ODR00455"/>
        <s v="ODR00456"/>
        <s v="ODR00457"/>
        <s v="ODR00458"/>
        <s v="ODR00459"/>
        <s v="ODR00460"/>
        <s v="ODR00461"/>
        <s v="ODR00462"/>
        <s v="ODR00463"/>
        <s v="ODR00464"/>
        <s v="ODR00465"/>
        <s v="ODR00466"/>
        <s v="ODR00467"/>
        <s v="ODR00468"/>
        <s v="ODR00469"/>
        <s v="ODR00470"/>
        <s v="ODR00471"/>
        <s v="ODR00472"/>
        <s v="ODR00473"/>
        <s v="ODR00474"/>
        <s v="ODR00475"/>
        <s v="ODR00476"/>
        <s v="ODR00477"/>
        <s v="ODR00478"/>
        <s v="ODR00479"/>
        <s v="ODR00480"/>
        <s v="ODR00481"/>
        <s v="ODR00482"/>
        <s v="ODR00483"/>
        <s v="ODR00484"/>
        <s v="ODR00485"/>
        <s v="ODR00486"/>
        <s v="ODR00487"/>
        <s v="ODR00488"/>
        <s v="ODR00489"/>
        <s v="ODR00490"/>
        <s v="ODR00491"/>
        <s v="ODR00492"/>
        <s v="ODR00493"/>
        <s v="ODR00494"/>
        <s v="ODR00495"/>
        <s v="ODR00496"/>
        <s v="ODR00497"/>
        <s v="ODR00498"/>
        <s v="ODR00499"/>
        <s v="ODR00500"/>
        <s v="ODR00501"/>
        <s v="ODR00502"/>
        <s v="ODR00503"/>
        <s v="ODR00504"/>
        <s v="ODR00505"/>
        <s v="ODR00506"/>
        <s v="ODR00507"/>
        <s v="ODR00508"/>
        <s v="ODR00509"/>
        <s v="ODR00510"/>
        <s v="ODR00511"/>
        <s v="ODR00512"/>
        <s v="ODR00513"/>
        <s v="ODR00514"/>
        <s v="ODR00515"/>
        <s v="ODR00516"/>
        <s v="ODR00517"/>
        <s v="ODR00518"/>
        <s v="ODR00519"/>
        <s v="ODR00520"/>
        <s v="ODR00521"/>
        <s v="ODR00522"/>
        <s v="ODR00523"/>
        <s v="ODR00524"/>
        <s v="ODR00525"/>
        <s v="ODR00526"/>
        <s v="ODR00527"/>
        <s v="ODR00528"/>
        <s v="ODR00529"/>
        <s v="ODR00530"/>
        <s v="ODR00531"/>
        <s v="ODR00532"/>
        <s v="ODR00533"/>
        <s v="ODR00534"/>
        <s v="ODR00535"/>
        <s v="ODR00536"/>
        <s v="ODR00537"/>
        <s v="ODR00538"/>
        <s v="ODR00539"/>
        <s v="ODR00540"/>
        <s v="ODR00541"/>
        <s v="ODR00542"/>
        <s v="ODR00543"/>
        <s v="ODR00544"/>
        <s v="ODR00545"/>
        <s v="ODR00546"/>
        <s v="ODR00547"/>
        <s v="ODR00548"/>
        <s v="ODR00549"/>
        <s v="ODR00550"/>
        <s v="ODR00551"/>
        <s v="ODR00552"/>
        <s v="ODR00553"/>
        <s v="ODR00554"/>
        <s v="ODR00555"/>
        <s v="ODR00556"/>
        <s v="ODR00557"/>
        <s v="ODR00558"/>
        <s v="ODR00559"/>
        <s v="ODR00560"/>
        <s v="ODR00561"/>
        <s v="ODR00562"/>
        <s v="ODR00563"/>
        <s v="ODR00564"/>
        <s v="ODR00565"/>
        <s v="ODR00566"/>
        <s v="ODR00567"/>
        <s v="ODR00568"/>
        <s v="ODR00569"/>
        <s v="ODR00570"/>
        <s v="ODR00571"/>
        <s v="ODR00572"/>
        <s v="ODR00573"/>
        <s v="ODR00574"/>
        <s v="ODR00575"/>
        <s v="ODR00576"/>
        <s v="ODR00577"/>
        <s v="ODR00578"/>
        <s v="ODR00579"/>
        <s v="ODR00580"/>
        <s v="ODR00581"/>
        <s v="ODR00582"/>
        <s v="ODR00583"/>
        <s v="ODR00584"/>
        <s v="ODR00585"/>
        <s v="ODR00586"/>
        <s v="ODR00587"/>
        <s v="ODR00588"/>
        <s v="ODR00589"/>
        <s v="ODR00590"/>
        <s v="ODR00591"/>
        <s v="ODR00592"/>
        <s v="ODR00593"/>
        <s v="ODR00594"/>
        <s v="ODR00595"/>
        <s v="ODR00596"/>
        <s v="ODR00597"/>
        <s v="ODR00598"/>
        <s v="ODR00599"/>
        <s v="ODR00600"/>
        <s v="ODR00601"/>
        <s v="ODR00602"/>
        <s v="ODR00603"/>
        <s v="ODR00604"/>
        <s v="ODR00605"/>
        <s v="ODR00606"/>
        <s v="ODR00607"/>
        <s v="ODR00608"/>
        <s v="ODR00609"/>
        <s v="ODR00610"/>
        <s v="ODR00611"/>
        <s v="ODR00612"/>
        <s v="ODR00613"/>
        <s v="ODR00614"/>
        <s v="ODR00615"/>
        <s v="ODR00616"/>
        <s v="ODR00617"/>
        <s v="ODR00618"/>
        <s v="ODR00619"/>
        <s v="ODR00620"/>
        <s v="ODR00621"/>
        <s v="ODR00622"/>
        <s v="ODR00623"/>
        <s v="ODR00624"/>
        <s v="ODR00625"/>
        <s v="ODR00626"/>
        <s v="ODR00627"/>
        <s v="ODR00628"/>
        <s v="ODR00629"/>
        <s v="ODR00630"/>
        <s v="ODR00631"/>
        <s v="ODR00632"/>
        <s v="ODR00633"/>
        <s v="ODR00634"/>
        <s v="ODR00635"/>
        <s v="ODR00636"/>
        <s v="ODR00637"/>
        <s v="ODR00638"/>
        <s v="ODR00639"/>
        <s v="ODR00640"/>
        <s v="ODR00641"/>
        <s v="ODR00642"/>
        <s v="ODR00643"/>
        <s v="ODR00644"/>
        <s v="ODR00645"/>
        <s v="ODR00646"/>
        <s v="ODR00647"/>
        <s v="ODR00648"/>
        <s v="ODR00649"/>
        <s v="ODR00650"/>
        <s v="ODR00651"/>
        <s v="ODR00652"/>
        <s v="ODR00653"/>
        <s v="ODR00654"/>
        <s v="ODR00655"/>
        <s v="ODR00656"/>
        <s v="ODR00657"/>
        <s v="ODR00658"/>
        <s v="ODR00659"/>
        <s v="ODR00660"/>
        <s v="ODR00661"/>
        <s v="ODR00662"/>
        <s v="ODR00663"/>
        <s v="ODR00664"/>
        <s v="ODR00665"/>
        <s v="ODR00666"/>
        <s v="ODR00667"/>
        <s v="ODR00668"/>
        <s v="ODR00669"/>
        <s v="ODR00670"/>
        <s v="ODR00671"/>
        <s v="ODR00672"/>
        <s v="ODR00673"/>
        <s v="ODR00674"/>
        <s v="ODR00675"/>
        <s v="ODR00676"/>
        <s v="ODR00677"/>
        <s v="ODR00678"/>
        <s v="ODR00679"/>
        <s v="ODR00680"/>
        <s v="ODR00681"/>
        <s v="ODR00682"/>
        <s v="ODR00683"/>
        <s v="ODR00684"/>
        <s v="ODR00685"/>
        <s v="ODR00686"/>
        <s v="ODR00687"/>
        <s v="ODR00688"/>
        <s v="ODR00689"/>
        <s v="ODR00690"/>
        <s v="ODR00691"/>
        <s v="ODR00692"/>
        <s v="ODR00693"/>
        <s v="ODR00694"/>
        <s v="ODR00695"/>
        <s v="ODR00696"/>
        <s v="ODR00697"/>
        <s v="ODR00698"/>
        <s v="ODR00699"/>
        <s v="ODR00700"/>
        <s v="ODR00701"/>
        <s v="ODR00702"/>
        <s v="ODR00703"/>
        <s v="ODR00704"/>
        <s v="ODR00705"/>
        <s v="ODR00706"/>
        <s v="ODR00707"/>
        <s v="ODR00708"/>
        <s v="ODR00709"/>
        <s v="ODR00710"/>
        <s v="ODR00711"/>
        <s v="ODR00712"/>
        <s v="ODR00713"/>
        <s v="ODR00714"/>
        <s v="ODR00715"/>
        <s v="ODR00716"/>
        <s v="ODR00717"/>
        <s v="ODR00718"/>
        <s v="ODR00719"/>
        <s v="ODR00720"/>
        <s v="ODR00721"/>
        <s v="ODR00722"/>
        <s v="ODR00723"/>
        <s v="ODR00724"/>
        <s v="ODR00725"/>
        <s v="ODR00726"/>
        <s v="ODR00727"/>
        <s v="ODR00728"/>
        <s v="ODR00729"/>
        <s v="ODR00730"/>
        <s v="ODR00731"/>
        <s v="ODR00732"/>
        <s v="ODR00733"/>
        <s v="ODR00734"/>
        <s v="ODR00735"/>
        <s v="ODR00736"/>
        <s v="ODR00737"/>
        <s v="ODR00738"/>
        <s v="ODR00739"/>
        <s v="ODR00740"/>
        <s v="ODR00741"/>
        <s v="ODR00742"/>
        <s v="ODR00743"/>
        <s v="ODR00744"/>
        <s v="ODR00745"/>
        <s v="ODR00746"/>
        <s v="ODR00747"/>
        <s v="ODR00748"/>
        <s v="ODR00749"/>
        <s v="ODR00750"/>
        <s v="ODR00751"/>
        <s v="ODR00752"/>
        <s v="ODR00753"/>
        <s v="ODR00754"/>
        <s v="ODR00755"/>
        <s v="ODR00756"/>
        <s v="ODR00757"/>
        <s v="ODR00758"/>
        <s v="ODR00759"/>
        <s v="ODR00760"/>
        <s v="ODR00761"/>
        <s v="ODR00762"/>
        <s v="ODR00763"/>
        <s v="ODR00764"/>
        <s v="ODR00765"/>
        <s v="ODR00766"/>
        <s v="ODR00767"/>
        <s v="ODR00768"/>
        <s v="ODR00769"/>
        <s v="ODR00770"/>
        <s v="ODR00771"/>
        <s v="ODR00772"/>
        <s v="ODR00773"/>
        <s v="ODR00774"/>
        <s v="ODR00775"/>
        <s v="ODR00776"/>
        <s v="ODR00777"/>
        <s v="ODR00778"/>
        <s v="ODR00779"/>
        <s v="ODR00780"/>
        <s v="ODR00781"/>
        <s v="ODR00782"/>
        <s v="ODR00783"/>
        <s v="ODR00784"/>
        <s v="ODR00785"/>
        <s v="ODR00786"/>
        <s v="ODR00787"/>
        <s v="ODR00788"/>
        <s v="ODR00789"/>
        <s v="ODR00790"/>
        <s v="ODR00791"/>
        <s v="ODR00792"/>
        <s v="ODR00793"/>
        <s v="ODR00794"/>
        <s v="ODR00795"/>
        <s v="ODR00796"/>
        <s v="ODR00797"/>
        <s v="ODR00798"/>
        <s v="ODR00799"/>
        <s v="ODR00800"/>
        <s v="ODR00801"/>
        <s v="ODR00802"/>
        <s v="ODR00803"/>
        <s v="ODR00804"/>
        <s v="ODR00805"/>
        <s v="ODR00806"/>
        <s v="ODR00807"/>
        <s v="ODR00808"/>
        <s v="ODR00809"/>
        <s v="ODR00810"/>
        <s v="ODR00811"/>
        <s v="ODR00812"/>
        <s v="ODR00813"/>
        <s v="ODR00814"/>
        <s v="ODR00815"/>
        <s v="ODR00816"/>
        <s v="ODR00817"/>
        <s v="ODR00818"/>
        <s v="ODR00819"/>
        <s v="ODR00820"/>
        <s v="ODR00821"/>
        <s v="ODR00822"/>
        <s v="ODR00823"/>
        <s v="ODR00824"/>
        <s v="ODR00825"/>
        <s v="ODR00826"/>
        <s v="ODR00827"/>
        <s v="ODR00828"/>
        <s v="ODR00829"/>
        <s v="ODR00830"/>
        <s v="ODR00831"/>
        <s v="ODR00832"/>
        <s v="ODR00833"/>
        <s v="ODR00834"/>
        <s v="ODR00835"/>
        <s v="ODR00836"/>
        <s v="ODR00837"/>
        <s v="ODR00838"/>
        <s v="ODR00839"/>
        <s v="ODR00840"/>
        <s v="ODR00841"/>
        <s v="ODR00842"/>
        <s v="ODR00843"/>
        <s v="ODR00844"/>
        <s v="ODR00845"/>
        <s v="ODR00846"/>
        <s v="ODR00847"/>
        <s v="ODR00848"/>
        <s v="ODR00849"/>
        <s v="ODR00850"/>
        <s v="ODR00851"/>
        <s v="ODR00852"/>
        <s v="ODR00853"/>
        <s v="ODR00854"/>
        <s v="ODR00855"/>
        <s v="ODR00856"/>
        <s v="ODR00857"/>
        <s v="ODR00858"/>
        <s v="ODR00859"/>
        <s v="ODR00860"/>
        <s v="ODR00861"/>
        <s v="ODR00862"/>
        <s v="ODR00863"/>
        <s v="ODR00864"/>
        <s v="ODR00865"/>
        <s v="ODR00866"/>
        <s v="ODR00867"/>
        <s v="ODR00868"/>
        <s v="ODR00869"/>
        <s v="ODR00870"/>
        <s v="ODR00871"/>
        <s v="ODR00872"/>
        <s v="ODR00873"/>
        <s v="ODR00874"/>
        <s v="ODR00875"/>
        <s v="ODR00876"/>
        <s v="ODR00877"/>
        <s v="ODR00878"/>
        <s v="ODR00879"/>
        <s v="ODR00880"/>
        <s v="ODR00881"/>
        <s v="ODR00882"/>
        <s v="ODR00883"/>
        <s v="ODR00884"/>
        <s v="ODR00885"/>
        <s v="ODR00886"/>
        <s v="ODR00887"/>
        <s v="ODR00888"/>
        <s v="ODR00889"/>
        <s v="ODR00890"/>
        <s v="ODR00891"/>
        <s v="ODR00892"/>
        <s v="ODR00893"/>
        <s v="ODR00894"/>
        <s v="ODR00895"/>
        <s v="ODR00896"/>
        <s v="ODR00897"/>
        <s v="ODR00898"/>
        <s v="ODR00899"/>
        <s v="ODR00900"/>
        <s v="ODR00901"/>
        <s v="ODR00902"/>
        <s v="ODR00903"/>
        <s v="ODR00904"/>
        <s v="ODR00905"/>
        <s v="ODR00906"/>
        <s v="ODR00907"/>
        <s v="ODR00908"/>
        <s v="ODR00909"/>
        <s v="ODR00910"/>
        <s v="ODR00911"/>
        <s v="ODR00912"/>
        <s v="ODR00913"/>
        <s v="ODR00914"/>
        <s v="ODR00915"/>
        <s v="ODR00916"/>
        <s v="ODR00917"/>
        <s v="ODR00918"/>
        <s v="ODR00919"/>
        <s v="ODR00920"/>
        <s v="ODR00921"/>
        <s v="ODR00922"/>
        <s v="ODR00923"/>
        <s v="ODR00924"/>
        <s v="ODR00925"/>
        <s v="ODR00926"/>
        <s v="ODR00927"/>
        <s v="ODR00928"/>
        <s v="ODR00929"/>
        <s v="ODR00930"/>
        <s v="ODR00931"/>
        <s v="ODR00932"/>
        <s v="ODR00933"/>
        <s v="ODR00934"/>
        <s v="ODR00935"/>
        <s v="ODR00936"/>
        <s v="ODR00937"/>
        <s v="ODR00938"/>
        <s v="ODR00939"/>
        <s v="ODR00940"/>
        <s v="ODR00941"/>
        <s v="ODR00942"/>
        <s v="ODR00943"/>
        <s v="ODR00944"/>
        <s v="ODR00945"/>
        <s v="ODR00946"/>
        <s v="ODR00947"/>
        <s v="ODR00948"/>
        <s v="ODR00949"/>
        <s v="ODR00950"/>
        <s v="ODR00951"/>
        <s v="ODR00952"/>
        <s v="ODR00953"/>
        <s v="ODR00954"/>
        <s v="ODR00955"/>
        <s v="ODR00956"/>
        <s v="ODR00957"/>
        <s v="ODR00958"/>
        <s v="ODR00959"/>
        <s v="ODR00960"/>
        <s v="ODR00961"/>
        <s v="ODR00962"/>
        <s v="ODR00963"/>
        <s v="ODR00964"/>
        <s v="ODR00965"/>
        <s v="ODR00966"/>
        <s v="ODR00967"/>
        <s v="ODR00968"/>
        <s v="ODR00969"/>
        <s v="ODR00970"/>
        <s v="ODR00971"/>
        <s v="ODR00972"/>
        <s v="ODR00973"/>
        <s v="ODR00974"/>
        <s v="ODR00975"/>
        <s v="ODR00976"/>
        <s v="ODR00977"/>
        <s v="ODR00978"/>
        <s v="ODR00979"/>
        <s v="ODR00980"/>
        <s v="ODR00981"/>
        <s v="ODR00982"/>
        <s v="ODR00983"/>
        <s v="ODR00984"/>
        <s v="ODR00985"/>
        <s v="ODR00986"/>
        <s v="ODR00987"/>
        <s v="ODR00988"/>
        <s v="ODR00989"/>
        <s v="ODR00990"/>
        <s v="ODR00991"/>
        <s v="ODR00992"/>
        <s v="ODR00993"/>
        <s v="ODR00994"/>
        <s v="ODR00995"/>
        <s v="ODR00996"/>
        <s v="ODR00997"/>
        <s v="ODR00998"/>
        <s v="ODR00999"/>
      </sharedItems>
    </cacheField>
    <cacheField name="Order Date" numFmtId="14">
      <sharedItems containsSemiMixedTypes="0" containsNonDate="0" containsDate="1" containsString="0" minDate="2024-05-12T00:00:00" maxDate="2025-05-12T00:00:00" count="349">
        <d v="2025-02-21T00:00:00"/>
        <d v="2024-07-11T00:00:00"/>
        <d v="2025-03-17T00:00:00"/>
        <d v="2025-02-25T00:00:00"/>
        <d v="2024-12-20T00:00:00"/>
        <d v="2025-04-22T00:00:00"/>
        <d v="2024-06-03T00:00:00"/>
        <d v="2024-06-17T00:00:00"/>
        <d v="2025-01-29T00:00:00"/>
        <d v="2025-01-26T00:00:00"/>
        <d v="2024-10-30T00:00:00"/>
        <d v="2025-05-04T00:00:00"/>
        <d v="2024-10-20T00:00:00"/>
        <d v="2024-08-01T00:00:00"/>
        <d v="2024-07-12T00:00:00"/>
        <d v="2025-03-04T00:00:00"/>
        <d v="2024-07-05T00:00:00"/>
        <d v="2024-06-23T00:00:00"/>
        <d v="2024-10-31T00:00:00"/>
        <d v="2025-01-23T00:00:00"/>
        <d v="2025-02-24T00:00:00"/>
        <d v="2024-06-26T00:00:00"/>
        <d v="2025-02-01T00:00:00"/>
        <d v="2025-02-09T00:00:00"/>
        <d v="2025-05-11T00:00:00"/>
        <d v="2024-08-28T00:00:00"/>
        <d v="2025-04-26T00:00:00"/>
        <d v="2024-10-01T00:00:00"/>
        <d v="2024-06-04T00:00:00"/>
        <d v="2024-05-12T00:00:00"/>
        <d v="2025-05-02T00:00:00"/>
        <d v="2025-02-13T00:00:00"/>
        <d v="2024-07-06T00:00:00"/>
        <d v="2024-05-25T00:00:00"/>
        <d v="2024-09-21T00:00:00"/>
        <d v="2024-07-14T00:00:00"/>
        <d v="2024-07-31T00:00:00"/>
        <d v="2025-04-05T00:00:00"/>
        <d v="2024-05-27T00:00:00"/>
        <d v="2024-08-11T00:00:00"/>
        <d v="2024-08-12T00:00:00"/>
        <d v="2025-04-18T00:00:00"/>
        <d v="2024-12-16T00:00:00"/>
        <d v="2024-08-07T00:00:00"/>
        <d v="2025-02-26T00:00:00"/>
        <d v="2024-11-13T00:00:00"/>
        <d v="2025-03-03T00:00:00"/>
        <d v="2024-08-16T00:00:00"/>
        <d v="2024-09-04T00:00:00"/>
        <d v="2025-02-20T00:00:00"/>
        <d v="2024-10-05T00:00:00"/>
        <d v="2024-12-27T00:00:00"/>
        <d v="2025-02-22T00:00:00"/>
        <d v="2024-09-08T00:00:00"/>
        <d v="2024-08-13T00:00:00"/>
        <d v="2024-11-25T00:00:00"/>
        <d v="2024-09-09T00:00:00"/>
        <d v="2025-05-07T00:00:00"/>
        <d v="2025-02-12T00:00:00"/>
        <d v="2024-08-27T00:00:00"/>
        <d v="2025-05-06T00:00:00"/>
        <d v="2024-11-15T00:00:00"/>
        <d v="2024-09-06T00:00:00"/>
        <d v="2024-10-18T00:00:00"/>
        <d v="2025-03-14T00:00:00"/>
        <d v="2024-11-07T00:00:00"/>
        <d v="2024-08-14T00:00:00"/>
        <d v="2025-04-21T00:00:00"/>
        <d v="2024-06-22T00:00:00"/>
        <d v="2024-10-12T00:00:00"/>
        <d v="2025-03-19T00:00:00"/>
        <d v="2025-01-07T00:00:00"/>
        <d v="2025-04-27T00:00:00"/>
        <d v="2024-11-27T00:00:00"/>
        <d v="2024-07-01T00:00:00"/>
        <d v="2024-09-05T00:00:00"/>
        <d v="2024-12-03T00:00:00"/>
        <d v="2025-01-03T00:00:00"/>
        <d v="2025-01-10T00:00:00"/>
        <d v="2024-08-06T00:00:00"/>
        <d v="2024-07-18T00:00:00"/>
        <d v="2024-09-25T00:00:00"/>
        <d v="2024-06-25T00:00:00"/>
        <d v="2024-11-19T00:00:00"/>
        <d v="2025-02-04T00:00:00"/>
        <d v="2024-11-26T00:00:00"/>
        <d v="2025-04-01T00:00:00"/>
        <d v="2024-06-11T00:00:00"/>
        <d v="2024-05-15T00:00:00"/>
        <d v="2024-05-31T00:00:00"/>
        <d v="2024-12-13T00:00:00"/>
        <d v="2024-07-28T00:00:00"/>
        <d v="2025-04-29T00:00:00"/>
        <d v="2025-03-20T00:00:00"/>
        <d v="2024-07-08T00:00:00"/>
        <d v="2024-12-06T00:00:00"/>
        <d v="2025-04-17T00:00:00"/>
        <d v="2024-09-13T00:00:00"/>
        <d v="2025-02-05T00:00:00"/>
        <d v="2024-10-24T00:00:00"/>
        <d v="2025-03-02T00:00:00"/>
        <d v="2024-11-23T00:00:00"/>
        <d v="2025-03-10T00:00:00"/>
        <d v="2025-04-30T00:00:00"/>
        <d v="2024-07-02T00:00:00"/>
        <d v="2024-09-11T00:00:00"/>
        <d v="2024-12-07T00:00:00"/>
        <d v="2024-06-12T00:00:00"/>
        <d v="2024-07-22T00:00:00"/>
        <d v="2025-01-09T00:00:00"/>
        <d v="2024-12-22T00:00:00"/>
        <d v="2024-12-08T00:00:00"/>
        <d v="2024-09-29T00:00:00"/>
        <d v="2025-04-04T00:00:00"/>
        <d v="2024-09-16T00:00:00"/>
        <d v="2024-08-10T00:00:00"/>
        <d v="2024-09-01T00:00:00"/>
        <d v="2024-10-15T00:00:00"/>
        <d v="2025-01-28T00:00:00"/>
        <d v="2025-01-25T00:00:00"/>
        <d v="2024-11-01T00:00:00"/>
        <d v="2025-02-02T00:00:00"/>
        <d v="2024-06-21T00:00:00"/>
        <d v="2025-02-16T00:00:00"/>
        <d v="2025-04-09T00:00:00"/>
        <d v="2024-11-06T00:00:00"/>
        <d v="2024-09-26T00:00:00"/>
        <d v="2024-06-29T00:00:00"/>
        <d v="2025-01-13T00:00:00"/>
        <d v="2025-05-08T00:00:00"/>
        <d v="2024-11-17T00:00:00"/>
        <d v="2024-11-09T00:00:00"/>
        <d v="2024-10-26T00:00:00"/>
        <d v="2024-09-12T00:00:00"/>
        <d v="2024-07-21T00:00:00"/>
        <d v="2025-02-19T00:00:00"/>
        <d v="2024-12-31T00:00:00"/>
        <d v="2024-07-09T00:00:00"/>
        <d v="2025-01-17T00:00:00"/>
        <d v="2024-12-30T00:00:00"/>
        <d v="2024-08-18T00:00:00"/>
        <d v="2025-03-01T00:00:00"/>
        <d v="2024-07-03T00:00:00"/>
        <d v="2025-03-26T00:00:00"/>
        <d v="2024-12-19T00:00:00"/>
        <d v="2025-01-08T00:00:00"/>
        <d v="2024-10-08T00:00:00"/>
        <d v="2024-06-10T00:00:00"/>
        <d v="2024-12-18T00:00:00"/>
        <d v="2025-03-22T00:00:00"/>
        <d v="2024-06-07T00:00:00"/>
        <d v="2025-01-20T00:00:00"/>
        <d v="2024-10-09T00:00:00"/>
        <d v="2024-06-30T00:00:00"/>
        <d v="2025-04-23T00:00:00"/>
        <d v="2025-02-17T00:00:00"/>
        <d v="2024-07-26T00:00:00"/>
        <d v="2024-10-19T00:00:00"/>
        <d v="2025-02-10T00:00:00"/>
        <d v="2025-01-31T00:00:00"/>
        <d v="2025-02-18T00:00:00"/>
        <d v="2024-06-09T00:00:00"/>
        <d v="2025-01-04T00:00:00"/>
        <d v="2024-08-19T00:00:00"/>
        <d v="2025-04-11T00:00:00"/>
        <d v="2024-10-14T00:00:00"/>
        <d v="2025-01-27T00:00:00"/>
        <d v="2024-11-29T00:00:00"/>
        <d v="2024-09-23T00:00:00"/>
        <d v="2024-09-14T00:00:00"/>
        <d v="2024-06-20T00:00:00"/>
        <d v="2024-11-12T00:00:00"/>
        <d v="2024-05-20T00:00:00"/>
        <d v="2025-03-16T00:00:00"/>
        <d v="2025-01-24T00:00:00"/>
        <d v="2024-07-07T00:00:00"/>
        <d v="2024-08-22T00:00:00"/>
        <d v="2025-03-25T00:00:00"/>
        <d v="2025-02-11T00:00:00"/>
        <d v="2024-05-26T00:00:00"/>
        <d v="2024-12-23T00:00:00"/>
        <d v="2024-12-04T00:00:00"/>
        <d v="2024-10-03T00:00:00"/>
        <d v="2025-01-02T00:00:00"/>
        <d v="2025-04-14T00:00:00"/>
        <d v="2025-05-01T00:00:00"/>
        <d v="2024-10-27T00:00:00"/>
        <d v="2024-06-06T00:00:00"/>
        <d v="2025-01-01T00:00:00"/>
        <d v="2024-05-18T00:00:00"/>
        <d v="2025-03-06T00:00:00"/>
        <d v="2024-06-27T00:00:00"/>
        <d v="2024-08-04T00:00:00"/>
        <d v="2024-10-16T00:00:00"/>
        <d v="2024-07-24T00:00:00"/>
        <d v="2025-04-16T00:00:00"/>
        <d v="2025-05-03T00:00:00"/>
        <d v="2025-04-28T00:00:00"/>
        <d v="2025-04-03T00:00:00"/>
        <d v="2024-12-14T00:00:00"/>
        <d v="2024-05-24T00:00:00"/>
        <d v="2024-08-02T00:00:00"/>
        <d v="2025-04-20T00:00:00"/>
        <d v="2025-03-13T00:00:00"/>
        <d v="2024-06-18T00:00:00"/>
        <d v="2025-01-15T00:00:00"/>
        <d v="2025-04-07T00:00:00"/>
        <d v="2025-03-08T00:00:00"/>
        <d v="2025-04-02T00:00:00"/>
        <d v="2024-12-05T00:00:00"/>
        <d v="2024-12-12T00:00:00"/>
        <d v="2024-07-17T00:00:00"/>
        <d v="2025-04-24T00:00:00"/>
        <d v="2025-03-29T00:00:00"/>
        <d v="2024-06-13T00:00:00"/>
        <d v="2024-09-24T00:00:00"/>
        <d v="2024-09-27T00:00:00"/>
        <d v="2024-12-24T00:00:00"/>
        <d v="2024-11-02T00:00:00"/>
        <d v="2025-04-10T00:00:00"/>
        <d v="2024-11-11T00:00:00"/>
        <d v="2025-03-07T00:00:00"/>
        <d v="2024-08-29T00:00:00"/>
        <d v="2024-10-02T00:00:00"/>
        <d v="2025-03-09T00:00:00"/>
        <d v="2024-12-02T00:00:00"/>
        <d v="2024-10-23T00:00:00"/>
        <d v="2024-06-28T00:00:00"/>
        <d v="2024-09-19T00:00:00"/>
        <d v="2024-08-30T00:00:00"/>
        <d v="2024-10-04T00:00:00"/>
        <d v="2024-11-20T00:00:00"/>
        <d v="2024-10-17T00:00:00"/>
        <d v="2024-07-16T00:00:00"/>
        <d v="2024-06-08T00:00:00"/>
        <d v="2024-07-29T00:00:00"/>
        <d v="2024-08-09T00:00:00"/>
        <d v="2024-12-25T00:00:00"/>
        <d v="2025-03-24T00:00:00"/>
        <d v="2025-02-03T00:00:00"/>
        <d v="2024-11-22T00:00:00"/>
        <d v="2025-01-11T00:00:00"/>
        <d v="2025-04-15T00:00:00"/>
        <d v="2025-03-27T00:00:00"/>
        <d v="2024-08-26T00:00:00"/>
        <d v="2024-07-10T00:00:00"/>
        <d v="2024-09-07T00:00:00"/>
        <d v="2024-09-28T00:00:00"/>
        <d v="2025-01-14T00:00:00"/>
        <d v="2024-12-10T00:00:00"/>
        <d v="2024-08-23T00:00:00"/>
        <d v="2025-04-08T00:00:00"/>
        <d v="2024-12-21T00:00:00"/>
        <d v="2024-09-20T00:00:00"/>
        <d v="2024-05-22T00:00:00"/>
        <d v="2024-06-16T00:00:00"/>
        <d v="2024-12-01T00:00:00"/>
        <d v="2024-11-10T00:00:00"/>
        <d v="2025-04-19T00:00:00"/>
        <d v="2024-08-05T00:00:00"/>
        <d v="2024-06-02T00:00:00"/>
        <d v="2025-04-06T00:00:00"/>
        <d v="2024-09-17T00:00:00"/>
        <d v="2024-05-14T00:00:00"/>
        <d v="2024-10-13T00:00:00"/>
        <d v="2024-11-30T00:00:00"/>
        <d v="2024-12-28T00:00:00"/>
        <d v="2024-10-22T00:00:00"/>
        <d v="2024-07-25T00:00:00"/>
        <d v="2025-04-12T00:00:00"/>
        <d v="2025-01-16T00:00:00"/>
        <d v="2024-07-15T00:00:00"/>
        <d v="2024-08-21T00:00:00"/>
        <d v="2024-12-29T00:00:00"/>
        <d v="2025-01-05T00:00:00"/>
        <d v="2025-01-18T00:00:00"/>
        <d v="2024-12-09T00:00:00"/>
        <d v="2024-07-27T00:00:00"/>
        <d v="2024-10-10T00:00:00"/>
        <d v="2025-04-13T00:00:00"/>
        <d v="2024-08-03T00:00:00"/>
        <d v="2024-09-15T00:00:00"/>
        <d v="2025-03-05T00:00:00"/>
        <d v="2024-11-08T00:00:00"/>
        <d v="2025-02-28T00:00:00"/>
        <d v="2024-06-19T00:00:00"/>
        <d v="2024-07-04T00:00:00"/>
        <d v="2024-05-29T00:00:00"/>
        <d v="2025-01-19T00:00:00"/>
        <d v="2025-02-27T00:00:00"/>
        <d v="2024-05-16T00:00:00"/>
        <d v="2025-02-07T00:00:00"/>
        <d v="2024-05-21T00:00:00"/>
        <d v="2024-09-30T00:00:00"/>
        <d v="2024-05-13T00:00:00"/>
        <d v="2025-01-30T00:00:00"/>
        <d v="2025-03-30T00:00:00"/>
        <d v="2024-08-20T00:00:00"/>
        <d v="2024-11-21T00:00:00"/>
        <d v="2025-03-28T00:00:00"/>
        <d v="2025-05-09T00:00:00"/>
        <d v="2025-03-21T00:00:00"/>
        <d v="2025-02-23T00:00:00"/>
        <d v="2024-11-14T00:00:00"/>
        <d v="2024-08-17T00:00:00"/>
        <d v="2024-07-19T00:00:00"/>
        <d v="2024-07-30T00:00:00"/>
        <d v="2024-09-03T00:00:00"/>
        <d v="2025-05-05T00:00:00"/>
        <d v="2025-02-14T00:00:00"/>
        <d v="2024-10-06T00:00:00"/>
        <d v="2024-05-28T00:00:00"/>
        <d v="2025-04-25T00:00:00"/>
        <d v="2024-08-08T00:00:00"/>
        <d v="2025-05-10T00:00:00"/>
        <d v="2025-03-15T00:00:00"/>
        <d v="2024-07-13T00:00:00"/>
        <d v="2024-12-26T00:00:00"/>
        <d v="2024-12-15T00:00:00"/>
        <d v="2024-11-28T00:00:00"/>
        <d v="2024-06-05T00:00:00"/>
        <d v="2024-11-03T00:00:00"/>
        <d v="2025-03-31T00:00:00"/>
        <d v="2024-10-25T00:00:00"/>
        <d v="2024-11-04T00:00:00"/>
        <d v="2024-06-14T00:00:00"/>
        <d v="2024-09-02T00:00:00"/>
        <d v="2024-10-21T00:00:00"/>
        <d v="2025-03-18T00:00:00"/>
        <d v="2024-11-24T00:00:00"/>
        <d v="2024-12-11T00:00:00"/>
        <d v="2024-06-24T00:00:00"/>
        <d v="2024-09-10T00:00:00"/>
        <d v="2024-06-01T00:00:00"/>
        <d v="2025-01-22T00:00:00"/>
        <d v="2024-05-19T00:00:00"/>
        <d v="2025-03-12T00:00:00"/>
        <d v="2025-02-06T00:00:00"/>
        <d v="2024-07-23T00:00:00"/>
        <d v="2024-09-18T00:00:00"/>
        <d v="2025-01-06T00:00:00"/>
        <d v="2024-08-24T00:00:00"/>
        <d v="2024-06-15T00:00:00"/>
        <d v="2024-11-18T00:00:00"/>
        <d v="2025-03-11T00:00:00"/>
        <d v="2024-11-16T00:00:00"/>
        <d v="2025-01-21T00:00:00"/>
        <d v="2024-10-07T00:00:00"/>
        <d v="2024-10-11T00:00:00"/>
      </sharedItems>
      <fieldGroup par="21"/>
    </cacheField>
    <cacheField name="Customer Name" numFmtId="49">
      <sharedItems/>
    </cacheField>
    <cacheField name="Region" numFmtId="49">
      <sharedItems count="4">
        <s v="East"/>
        <s v="North"/>
        <s v="South"/>
        <s v="West"/>
      </sharedItems>
    </cacheField>
    <cacheField name="City" numFmtId="49">
      <sharedItems/>
    </cacheField>
    <cacheField name="Category" numFmtId="49">
      <sharedItems count="3">
        <s v="Technology"/>
        <s v="Furniture"/>
        <s v="Office Supplies"/>
      </sharedItems>
    </cacheField>
    <cacheField name="Sub-Category" numFmtId="49">
      <sharedItems/>
    </cacheField>
    <cacheField name="Product Name" numFmtId="49">
      <sharedItems/>
    </cacheField>
    <cacheField name="Sales Amount" numFmtId="164">
      <sharedItems containsSemiMixedTypes="0" containsString="0" containsNumber="1" minValue="101.77" maxValue="19512.599999999999"/>
    </cacheField>
    <cacheField name="Quantity" numFmtId="2">
      <sharedItems containsSemiMixedTypes="0" containsString="0" containsNumber="1" containsInteger="1" minValue="1" maxValue="10"/>
    </cacheField>
    <cacheField name="Discount (%)" numFmtId="0">
      <sharedItems containsSemiMixedTypes="0" containsString="0" containsNumber="1" minValue="0" maxValue="30"/>
    </cacheField>
    <cacheField name="Profit" numFmtId="2">
      <sharedItems containsSemiMixedTypes="0" containsString="0" containsNumber="1" minValue="8.2899999999999991" maxValue="4044.33"/>
    </cacheField>
    <cacheField name="Delivery Status" numFmtId="49">
      <sharedItems count="3">
        <s v="Delivered"/>
        <s v="Returned"/>
        <s v="In Transit"/>
      </sharedItems>
    </cacheField>
    <cacheField name="Payment Method" numFmtId="49">
      <sharedItems count="4">
        <s v="UPI"/>
        <s v="Credit Card"/>
        <s v="Net Banking"/>
        <s v="Cash"/>
      </sharedItems>
    </cacheField>
    <cacheField name="Month- year" numFmtId="14">
      <sharedItems count="13">
        <s v="02-2025"/>
        <s v="07-2024"/>
        <s v="03-2025"/>
        <s v="12-2024"/>
        <s v="04-2025"/>
        <s v="06-2024"/>
        <s v="01-2025"/>
        <s v="10-2024"/>
        <s v="05-2025"/>
        <s v="08-2024"/>
        <s v="05-2024"/>
        <s v="09-2024"/>
        <s v="11-2024"/>
      </sharedItems>
    </cacheField>
    <cacheField name="Year" numFmtId="0">
      <sharedItems count="2">
        <s v="2025"/>
        <s v="2024"/>
      </sharedItems>
    </cacheField>
    <cacheField name="Profit margin %" numFmtId="10">
      <sharedItems containsSemiMixedTypes="0" containsString="0" containsNumber="1" minValue="3.6713644684027651E-2" maxValue="0.24133289536635696"/>
    </cacheField>
    <cacheField name="Profit/loss flag" numFmtId="0">
      <sharedItems/>
    </cacheField>
    <cacheField name="Discount band" numFmtId="0">
      <sharedItems/>
    </cacheField>
    <cacheField name="Months (Order Date)" numFmtId="0" databaseField="0">
      <fieldGroup base="1">
        <rangePr groupBy="months" startDate="2024-05-12T00:00:00" endDate="2025-05-12T00:00:00"/>
        <groupItems count="14">
          <s v="&lt;12-05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-05-2025"/>
        </groupItems>
      </fieldGroup>
    </cacheField>
    <cacheField name="Quarters (Order Date)" numFmtId="0" databaseField="0">
      <fieldGroup base="1">
        <rangePr groupBy="quarters" startDate="2024-05-12T00:00:00" endDate="2025-05-12T00:00:00"/>
        <groupItems count="6">
          <s v="&lt;12-05-2024"/>
          <s v="Qtr1"/>
          <s v="Qtr2"/>
          <s v="Qtr3"/>
          <s v="Qtr4"/>
          <s v="&gt;12-05-2025"/>
        </groupItems>
      </fieldGroup>
    </cacheField>
    <cacheField name="Years (Order Date)" numFmtId="0" databaseField="0">
      <fieldGroup base="1">
        <rangePr groupBy="years" startDate="2024-05-12T00:00:00" endDate="2025-05-12T00:00:00"/>
        <groupItems count="4">
          <s v="&lt;12-05-2024"/>
          <s v="2024"/>
          <s v="2025"/>
          <s v="&gt;12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DHU" refreshedDate="46097.843096064818" createdVersion="8" refreshedVersion="8" minRefreshableVersion="3" recordCount="998" xr:uid="{E2983359-6C44-4A98-BDBD-AD67F410A626}">
  <cacheSource type="worksheet">
    <worksheetSource ref="I2:I1000" sheet="cleaned"/>
  </cacheSource>
  <cacheFields count="1">
    <cacheField name="₹ 5,921.04" numFmtId="164">
      <sharedItems containsSemiMixedTypes="0" containsString="0" containsNumber="1" minValue="101.77" maxValue="19512.5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DHU" refreshedDate="46097.858276736108" createdVersion="8" refreshedVersion="8" minRefreshableVersion="3" recordCount="1001" xr:uid="{9E03F2DB-DC92-4D26-8431-C189327FF335}">
  <cacheSource type="worksheet">
    <worksheetSource ref="L1:L1048576" sheet="cleaned"/>
  </cacheSource>
  <cacheFields count="1">
    <cacheField name="Profit" numFmtId="0">
      <sharedItems containsString="0" containsBlank="1" containsNumber="1" minValue="8.2899999999999991" maxValue="4044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DHU" refreshedDate="46097.862827083336" createdVersion="8" refreshedVersion="8" minRefreshableVersion="3" recordCount="1001" xr:uid="{0073EE85-D9AF-45D6-ADE8-70558262061B}">
  <cacheSource type="worksheet">
    <worksheetSource ref="A1:A1048576" sheet="cleaned"/>
  </cacheSource>
  <cacheFields count="1">
    <cacheField name="Order ID" numFmtId="0">
      <sharedItems containsBlank="1" count="1001">
        <s v="ODR00001"/>
        <s v="ODR00002"/>
        <s v="ODR00003"/>
        <s v="ODR00004"/>
        <s v="ODR00005"/>
        <s v="ODR00006"/>
        <s v="ODR00007"/>
        <s v="ODR00008"/>
        <s v="ODR00009"/>
        <s v="ODR00010"/>
        <s v="ODR00011"/>
        <s v="ODR00012"/>
        <s v="ODR00013"/>
        <s v="ODR00014"/>
        <s v="ODR00015"/>
        <s v="ODR00016"/>
        <s v="ODR00017"/>
        <s v="ODR00018"/>
        <s v="ODR00019"/>
        <s v="ODR00020"/>
        <s v="ODR00021"/>
        <s v="ODR00022"/>
        <s v="ODR00023"/>
        <s v="ODR00024"/>
        <s v="ODR00025"/>
        <s v="ODR00026"/>
        <s v="ODR00027"/>
        <s v="ODR00028"/>
        <s v="ODR00029"/>
        <s v="ODR00030"/>
        <s v="ODR00031"/>
        <s v="ODR00032"/>
        <s v="ODR00033"/>
        <s v="ODR00034"/>
        <s v="ODR00035"/>
        <s v="ODR00036"/>
        <s v="ODR00037"/>
        <s v="ODR00038"/>
        <s v="ODR00039"/>
        <s v="ODR00040"/>
        <s v="ODR00041"/>
        <s v="ODR00042"/>
        <s v="ODR00043"/>
        <s v="ODR00044"/>
        <s v="ODR00045"/>
        <s v="ODR00046"/>
        <s v="ODR00047"/>
        <s v="ODR00048"/>
        <s v="ODR00049"/>
        <s v="ODR00050"/>
        <s v="ODR00051"/>
        <s v="ODR00052"/>
        <s v="ODR00053"/>
        <s v="ODR00054"/>
        <s v="ODR00055"/>
        <s v="ODR00056"/>
        <s v="ODR00057"/>
        <s v="ODR00058"/>
        <s v="ODR00059"/>
        <s v="ODR00060"/>
        <s v="ODR00061"/>
        <s v="ODR00062"/>
        <s v="ODR00063"/>
        <s v="ODR00064"/>
        <s v="ODR00065"/>
        <s v="ODR00066"/>
        <s v="ODR00067"/>
        <s v="ODR00068"/>
        <s v="ODR00069"/>
        <s v="ODR00070"/>
        <s v="ODR00071"/>
        <s v="ODR00072"/>
        <s v="ODR00073"/>
        <s v="ODR00074"/>
        <s v="ODR00075"/>
        <s v="ODR00076"/>
        <s v="ODR00077"/>
        <s v="ODR00078"/>
        <s v="ODR00079"/>
        <s v="ODR00080"/>
        <s v="ODR00081"/>
        <s v="ODR00082"/>
        <s v="ODR00083"/>
        <s v="ODR00084"/>
        <s v="ODR00085"/>
        <s v="ODR00086"/>
        <s v="ODR00087"/>
        <s v="ODR00088"/>
        <s v="ODR00089"/>
        <s v="ODR00090"/>
        <s v="ODR00091"/>
        <s v="ODR00092"/>
        <s v="ODR00093"/>
        <s v="ODR00094"/>
        <s v="ODR00095"/>
        <s v="ODR00096"/>
        <s v="ODR00097"/>
        <s v="ODR00098"/>
        <s v="ODR00099"/>
        <s v="ODR00100"/>
        <s v="ODR00101"/>
        <s v="ODR00102"/>
        <s v="ODR00103"/>
        <s v="ODR00104"/>
        <s v="ODR00105"/>
        <s v="ODR00106"/>
        <s v="ODR00107"/>
        <s v="ODR00108"/>
        <s v="ODR00109"/>
        <s v="ODR00110"/>
        <s v="ODR00111"/>
        <s v="ODR00112"/>
        <s v="ODR00113"/>
        <s v="ODR00114"/>
        <s v="ODR00115"/>
        <s v="ODR00116"/>
        <s v="ODR00117"/>
        <s v="ODR00118"/>
        <s v="ODR00119"/>
        <s v="ODR00120"/>
        <s v="ODR00121"/>
        <s v="ODR00122"/>
        <s v="ODR00123"/>
        <s v="ODR00124"/>
        <s v="ODR00125"/>
        <s v="ODR00126"/>
        <s v="ODR00127"/>
        <s v="ODR00128"/>
        <s v="ODR00129"/>
        <s v="ODR00130"/>
        <s v="ODR00131"/>
        <s v="ODR00132"/>
        <s v="ODR00133"/>
        <s v="ODR00134"/>
        <s v="ODR00135"/>
        <s v="ODR00136"/>
        <s v="ODR00137"/>
        <s v="ODR00138"/>
        <s v="ODR00139"/>
        <s v="ODR00140"/>
        <s v="ODR00141"/>
        <s v="ODR00142"/>
        <s v="ODR00143"/>
        <s v="ODR00144"/>
        <s v="ODR00145"/>
        <s v="ODR00146"/>
        <s v="ODR00147"/>
        <s v="ODR00148"/>
        <s v="ODR00149"/>
        <s v="ODR00150"/>
        <s v="ODR00151"/>
        <s v="ODR00152"/>
        <s v="ODR00153"/>
        <s v="ODR00154"/>
        <s v="ODR00155"/>
        <s v="ODR00156"/>
        <s v="ODR00157"/>
        <s v="ODR00158"/>
        <s v="ODR00159"/>
        <s v="ODR00160"/>
        <s v="ODR00161"/>
        <s v="ODR00162"/>
        <s v="ODR00163"/>
        <s v="ODR00164"/>
        <s v="ODR00165"/>
        <s v="ODR00166"/>
        <s v="ODR00167"/>
        <s v="ODR00168"/>
        <s v="ODR00169"/>
        <s v="ODR00170"/>
        <s v="ODR00171"/>
        <s v="ODR00172"/>
        <s v="ODR00173"/>
        <s v="ODR00174"/>
        <s v="ODR00175"/>
        <s v="ODR00176"/>
        <s v="ODR00177"/>
        <s v="ODR00178"/>
        <s v="ODR00179"/>
        <s v="ODR00180"/>
        <s v="ODR00181"/>
        <s v="ODR00182"/>
        <s v="ODR00183"/>
        <s v="ODR00184"/>
        <s v="ODR00185"/>
        <s v="ODR00186"/>
        <s v="ODR00187"/>
        <s v="ODR00188"/>
        <s v="ODR00189"/>
        <s v="ODR00190"/>
        <s v="ODR00191"/>
        <s v="ODR00192"/>
        <s v="ODR00193"/>
        <s v="ODR00194"/>
        <s v="ODR00195"/>
        <s v="ODR00196"/>
        <s v="ODR00197"/>
        <s v="ODR00198"/>
        <s v="ODR00199"/>
        <s v="ODR00200"/>
        <s v="ODR00201"/>
        <s v="ODR00202"/>
        <s v="ODR00203"/>
        <s v="ODR00204"/>
        <s v="ODR00205"/>
        <s v="ODR00206"/>
        <s v="ODR00207"/>
        <s v="ODR00208"/>
        <s v="ODR00209"/>
        <s v="ODR00210"/>
        <s v="ODR00211"/>
        <s v="ODR00212"/>
        <s v="ODR00213"/>
        <s v="ODR00214"/>
        <s v="ODR00215"/>
        <s v="ODR00216"/>
        <s v="ODR00217"/>
        <s v="ODR00218"/>
        <s v="ODR00219"/>
        <s v="ODR00220"/>
        <s v="ODR00221"/>
        <s v="ODR00222"/>
        <s v="ODR00223"/>
        <s v="ODR00224"/>
        <s v="ODR00225"/>
        <s v="ODR00226"/>
        <s v="ODR00227"/>
        <s v="ODR00228"/>
        <s v="ODR00229"/>
        <s v="ODR00230"/>
        <s v="ODR00231"/>
        <s v="ODR00232"/>
        <s v="ODR00233"/>
        <s v="ODR00234"/>
        <s v="ODR00235"/>
        <s v="ODR00236"/>
        <s v="ODR00237"/>
        <s v="ODR00238"/>
        <s v="ODR00239"/>
        <s v="ODR00240"/>
        <s v="ODR00241"/>
        <s v="ODR00242"/>
        <s v="ODR00243"/>
        <s v="ODR00244"/>
        <s v="ODR00245"/>
        <s v="ODR00246"/>
        <s v="ODR00247"/>
        <s v="ODR00248"/>
        <s v="ODR00249"/>
        <s v="ODR00250"/>
        <s v="ODR00251"/>
        <s v="ODR00252"/>
        <s v="ODR00253"/>
        <s v="ODR00254"/>
        <s v="ODR00255"/>
        <s v="ODR00256"/>
        <s v="ODR00257"/>
        <s v="ODR00258"/>
        <s v="ODR00259"/>
        <s v="ODR00260"/>
        <s v="ODR00261"/>
        <s v="ODR00262"/>
        <s v="ODR00263"/>
        <s v="ODR00264"/>
        <s v="ODR00265"/>
        <s v="ODR00266"/>
        <s v="ODR00267"/>
        <s v="ODR00268"/>
        <s v="ODR00269"/>
        <s v="ODR00270"/>
        <s v="ODR00271"/>
        <s v="ODR00272"/>
        <s v="ODR00273"/>
        <s v="ODR00274"/>
        <s v="ODR00275"/>
        <s v="ODR00276"/>
        <s v="ODR00277"/>
        <s v="ODR00278"/>
        <s v="ODR00279"/>
        <s v="ODR00280"/>
        <s v="ODR00281"/>
        <s v="ODR00282"/>
        <s v="ODR00283"/>
        <s v="ODR00284"/>
        <s v="ODR00285"/>
        <s v="ODR00286"/>
        <s v="ODR00287"/>
        <s v="ODR00288"/>
        <s v="ODR00289"/>
        <s v="ODR00290"/>
        <s v="ODR00291"/>
        <s v="ODR00292"/>
        <s v="ODR00293"/>
        <s v="ODR00294"/>
        <s v="ODR00295"/>
        <s v="ODR00296"/>
        <s v="ODR00297"/>
        <s v="ODR00298"/>
        <s v="ODR00299"/>
        <s v="ODR00300"/>
        <s v="ODR00301"/>
        <s v="ODR00302"/>
        <s v="ODR00303"/>
        <s v="ODR00304"/>
        <s v="ODR00305"/>
        <s v="ODR00306"/>
        <s v="ODR00307"/>
        <s v="ODR00308"/>
        <s v="ODR00309"/>
        <s v="ODR00310"/>
        <s v="ODR00311"/>
        <s v="ODR00312"/>
        <s v="ODR00313"/>
        <s v="ODR00314"/>
        <s v="ODR00315"/>
        <s v="ODR00316"/>
        <s v="ODR00317"/>
        <s v="ODR00318"/>
        <s v="ODR00319"/>
        <s v="ODR00320"/>
        <s v="ODR00321"/>
        <s v="ODR00322"/>
        <s v="ODR00323"/>
        <s v="ODR00324"/>
        <s v="ODR00325"/>
        <s v="ODR00326"/>
        <s v="ODR00327"/>
        <s v="ODR00328"/>
        <s v="ODR00329"/>
        <s v="ODR00330"/>
        <s v="ODR00331"/>
        <s v="ODR00332"/>
        <s v="ODR00333"/>
        <s v="ODR00334"/>
        <s v="ODR00335"/>
        <s v="ODR00336"/>
        <s v="ODR00337"/>
        <s v="ODR00338"/>
        <s v="ODR00339"/>
        <s v="ODR00340"/>
        <s v="ODR00341"/>
        <s v="ODR00342"/>
        <s v="ODR00343"/>
        <s v="ODR00344"/>
        <s v="ODR00345"/>
        <s v="ODR00346"/>
        <s v="ODR00347"/>
        <s v="ODR00348"/>
        <s v="ODR00349"/>
        <s v="ODR00350"/>
        <s v="ODR00351"/>
        <s v="ODR00352"/>
        <s v="ODR00353"/>
        <s v="ODR00354"/>
        <s v="ODR00355"/>
        <s v="ODR00356"/>
        <s v="ODR00357"/>
        <s v="ODR00358"/>
        <s v="ODR00359"/>
        <s v="ODR00360"/>
        <s v="ODR00361"/>
        <s v="ODR00362"/>
        <s v="ODR00363"/>
        <s v="ODR00364"/>
        <s v="ODR00365"/>
        <s v="ODR00366"/>
        <s v="ODR00367"/>
        <s v="ODR00368"/>
        <s v="ODR00369"/>
        <s v="ODR00370"/>
        <s v="ODR00371"/>
        <s v="ODR00372"/>
        <s v="ODR00373"/>
        <s v="ODR00374"/>
        <s v="ODR00375"/>
        <s v="ODR00376"/>
        <s v="ODR00377"/>
        <s v="ODR00378"/>
        <s v="ODR00379"/>
        <s v="ODR00380"/>
        <s v="ODR00381"/>
        <s v="ODR00382"/>
        <s v="ODR00383"/>
        <s v="ODR00384"/>
        <s v="ODR00385"/>
        <s v="ODR00386"/>
        <s v="ODR00387"/>
        <s v="ODR00388"/>
        <s v="ODR00389"/>
        <s v="ODR00390"/>
        <s v="ODR00391"/>
        <s v="ODR00392"/>
        <s v="ODR00393"/>
        <s v="ODR00394"/>
        <s v="ODR00395"/>
        <s v="ODR00396"/>
        <s v="ODR00397"/>
        <s v="ODR00398"/>
        <s v="ODR00399"/>
        <s v="ODR00400"/>
        <s v="ODR00401"/>
        <s v="ODR00402"/>
        <s v="ODR00403"/>
        <s v="ODR00404"/>
        <s v="ODR00405"/>
        <s v="ODR00406"/>
        <s v="ODR00407"/>
        <s v="ODR00408"/>
        <s v="ODR00409"/>
        <s v="ODR00410"/>
        <s v="ODR00411"/>
        <s v="ODR00412"/>
        <s v="ODR00413"/>
        <s v="ODR00414"/>
        <s v="ODR00415"/>
        <s v="ODR00416"/>
        <s v="ODR00417"/>
        <s v="ODR00418"/>
        <s v="ODR00419"/>
        <s v="ODR00420"/>
        <s v="ODR00421"/>
        <s v="ODR00422"/>
        <s v="ODR00423"/>
        <s v="ODR00424"/>
        <s v="ODR00425"/>
        <s v="ODR00426"/>
        <s v="ODR00427"/>
        <s v="ODR00428"/>
        <s v="ODR00429"/>
        <s v="ODR00430"/>
        <s v="ODR00431"/>
        <s v="ODR00432"/>
        <s v="ODR00433"/>
        <s v="ODR00434"/>
        <s v="ODR00435"/>
        <s v="ODR00436"/>
        <s v="ODR00437"/>
        <s v="ODR00438"/>
        <s v="ODR00439"/>
        <s v="ODR00440"/>
        <s v="ODR00441"/>
        <s v="ODR00442"/>
        <s v="ODR00443"/>
        <s v="ODR00444"/>
        <s v="ODR00445"/>
        <s v="ODR00446"/>
        <s v="ODR00447"/>
        <s v="ODR00448"/>
        <s v="ODR00449"/>
        <s v="ODR00450"/>
        <s v="ODR00451"/>
        <s v="ODR00452"/>
        <s v="ODR00453"/>
        <s v="ODR00454"/>
        <s v="ODR00455"/>
        <s v="ODR00456"/>
        <s v="ODR00457"/>
        <s v="ODR00458"/>
        <s v="ODR00459"/>
        <s v="ODR00460"/>
        <s v="ODR00461"/>
        <s v="ODR00462"/>
        <s v="ODR00463"/>
        <s v="ODR00464"/>
        <s v="ODR00465"/>
        <s v="ODR00466"/>
        <s v="ODR00467"/>
        <s v="ODR00468"/>
        <s v="ODR00469"/>
        <s v="ODR00470"/>
        <s v="ODR00471"/>
        <s v="ODR00472"/>
        <s v="ODR00473"/>
        <s v="ODR00474"/>
        <s v="ODR00475"/>
        <s v="ODR00476"/>
        <s v="ODR00477"/>
        <s v="ODR00478"/>
        <s v="ODR00479"/>
        <s v="ODR00480"/>
        <s v="ODR00481"/>
        <s v="ODR00482"/>
        <s v="ODR00483"/>
        <s v="ODR00484"/>
        <s v="ODR00485"/>
        <s v="ODR00486"/>
        <s v="ODR00487"/>
        <s v="ODR00488"/>
        <s v="ODR00489"/>
        <s v="ODR00490"/>
        <s v="ODR00491"/>
        <s v="ODR00492"/>
        <s v="ODR00493"/>
        <s v="ODR00494"/>
        <s v="ODR00495"/>
        <s v="ODR00496"/>
        <s v="ODR00497"/>
        <s v="ODR00498"/>
        <s v="ODR00499"/>
        <s v="ODR00500"/>
        <s v="ODR00501"/>
        <s v="ODR00502"/>
        <s v="ODR00503"/>
        <s v="ODR00504"/>
        <s v="ODR00505"/>
        <s v="ODR00506"/>
        <s v="ODR00507"/>
        <s v="ODR00508"/>
        <s v="ODR00509"/>
        <s v="ODR00510"/>
        <s v="ODR00511"/>
        <s v="ODR00512"/>
        <s v="ODR00513"/>
        <s v="ODR00514"/>
        <s v="ODR00515"/>
        <s v="ODR00516"/>
        <s v="ODR00517"/>
        <s v="ODR00518"/>
        <s v="ODR00519"/>
        <s v="ODR00520"/>
        <s v="ODR00521"/>
        <s v="ODR00522"/>
        <s v="ODR00523"/>
        <s v="ODR00524"/>
        <s v="ODR00525"/>
        <s v="ODR00526"/>
        <s v="ODR00527"/>
        <s v="ODR00528"/>
        <s v="ODR00529"/>
        <s v="ODR00530"/>
        <s v="ODR00531"/>
        <s v="ODR00532"/>
        <s v="ODR00533"/>
        <s v="ODR00534"/>
        <s v="ODR00535"/>
        <s v="ODR00536"/>
        <s v="ODR00537"/>
        <s v="ODR00538"/>
        <s v="ODR00539"/>
        <s v="ODR00540"/>
        <s v="ODR00541"/>
        <s v="ODR00542"/>
        <s v="ODR00543"/>
        <s v="ODR00544"/>
        <s v="ODR00545"/>
        <s v="ODR00546"/>
        <s v="ODR00547"/>
        <s v="ODR00548"/>
        <s v="ODR00549"/>
        <s v="ODR00550"/>
        <s v="ODR00551"/>
        <s v="ODR00552"/>
        <s v="ODR00553"/>
        <s v="ODR00554"/>
        <s v="ODR00555"/>
        <s v="ODR00556"/>
        <s v="ODR00557"/>
        <s v="ODR00558"/>
        <s v="ODR00559"/>
        <s v="ODR00560"/>
        <s v="ODR00561"/>
        <s v="ODR00562"/>
        <s v="ODR00563"/>
        <s v="ODR00564"/>
        <s v="ODR00565"/>
        <s v="ODR00566"/>
        <s v="ODR00567"/>
        <s v="ODR00568"/>
        <s v="ODR00569"/>
        <s v="ODR00570"/>
        <s v="ODR00571"/>
        <s v="ODR00572"/>
        <s v="ODR00573"/>
        <s v="ODR00574"/>
        <s v="ODR00575"/>
        <s v="ODR00576"/>
        <s v="ODR00577"/>
        <s v="ODR00578"/>
        <s v="ODR00579"/>
        <s v="ODR00580"/>
        <s v="ODR00581"/>
        <s v="ODR00582"/>
        <s v="ODR00583"/>
        <s v="ODR00584"/>
        <s v="ODR00585"/>
        <s v="ODR00586"/>
        <s v="ODR00587"/>
        <s v="ODR00588"/>
        <s v="ODR00589"/>
        <s v="ODR00590"/>
        <s v="ODR00591"/>
        <s v="ODR00592"/>
        <s v="ODR00593"/>
        <s v="ODR00594"/>
        <s v="ODR00595"/>
        <s v="ODR00596"/>
        <s v="ODR00597"/>
        <s v="ODR00598"/>
        <s v="ODR00599"/>
        <s v="ODR00600"/>
        <s v="ODR00601"/>
        <s v="ODR00602"/>
        <s v="ODR00603"/>
        <s v="ODR00604"/>
        <s v="ODR00605"/>
        <s v="ODR00606"/>
        <s v="ODR00607"/>
        <s v="ODR00608"/>
        <s v="ODR00609"/>
        <s v="ODR00610"/>
        <s v="ODR00611"/>
        <s v="ODR00612"/>
        <s v="ODR00613"/>
        <s v="ODR00614"/>
        <s v="ODR00615"/>
        <s v="ODR00616"/>
        <s v="ODR00617"/>
        <s v="ODR00618"/>
        <s v="ODR00619"/>
        <s v="ODR00620"/>
        <s v="ODR00621"/>
        <s v="ODR00622"/>
        <s v="ODR00623"/>
        <s v="ODR00624"/>
        <s v="ODR00625"/>
        <s v="ODR00626"/>
        <s v="ODR00627"/>
        <s v="ODR00628"/>
        <s v="ODR00629"/>
        <s v="ODR00630"/>
        <s v="ODR00631"/>
        <s v="ODR00632"/>
        <s v="ODR00633"/>
        <s v="ODR00634"/>
        <s v="ODR00635"/>
        <s v="ODR00636"/>
        <s v="ODR00637"/>
        <s v="ODR00638"/>
        <s v="ODR00639"/>
        <s v="ODR00640"/>
        <s v="ODR00641"/>
        <s v="ODR00642"/>
        <s v="ODR00643"/>
        <s v="ODR00644"/>
        <s v="ODR00645"/>
        <s v="ODR00646"/>
        <s v="ODR00647"/>
        <s v="ODR00648"/>
        <s v="ODR00649"/>
        <s v="ODR00650"/>
        <s v="ODR00651"/>
        <s v="ODR00652"/>
        <s v="ODR00653"/>
        <s v="ODR00654"/>
        <s v="ODR00655"/>
        <s v="ODR00656"/>
        <s v="ODR00657"/>
        <s v="ODR00658"/>
        <s v="ODR00659"/>
        <s v="ODR00660"/>
        <s v="ODR00661"/>
        <s v="ODR00662"/>
        <s v="ODR00663"/>
        <s v="ODR00664"/>
        <s v="ODR00665"/>
        <s v="ODR00666"/>
        <s v="ODR00667"/>
        <s v="ODR00668"/>
        <s v="ODR00669"/>
        <s v="ODR00670"/>
        <s v="ODR00671"/>
        <s v="ODR00672"/>
        <s v="ODR00673"/>
        <s v="ODR00674"/>
        <s v="ODR00675"/>
        <s v="ODR00676"/>
        <s v="ODR00677"/>
        <s v="ODR00678"/>
        <s v="ODR00679"/>
        <s v="ODR00680"/>
        <s v="ODR00681"/>
        <s v="ODR00682"/>
        <s v="ODR00683"/>
        <s v="ODR00684"/>
        <s v="ODR00685"/>
        <s v="ODR00686"/>
        <s v="ODR00687"/>
        <s v="ODR00688"/>
        <s v="ODR00689"/>
        <s v="ODR00690"/>
        <s v="ODR00691"/>
        <s v="ODR00692"/>
        <s v="ODR00693"/>
        <s v="ODR00694"/>
        <s v="ODR00695"/>
        <s v="ODR00696"/>
        <s v="ODR00697"/>
        <s v="ODR00698"/>
        <s v="ODR00699"/>
        <s v="ODR00700"/>
        <s v="ODR00701"/>
        <s v="ODR00702"/>
        <s v="ODR00703"/>
        <s v="ODR00704"/>
        <s v="ODR00705"/>
        <s v="ODR00706"/>
        <s v="ODR00707"/>
        <s v="ODR00708"/>
        <s v="ODR00709"/>
        <s v="ODR00710"/>
        <s v="ODR00711"/>
        <s v="ODR00712"/>
        <s v="ODR00713"/>
        <s v="ODR00714"/>
        <s v="ODR00715"/>
        <s v="ODR00716"/>
        <s v="ODR00717"/>
        <s v="ODR00718"/>
        <s v="ODR00719"/>
        <s v="ODR00720"/>
        <s v="ODR00721"/>
        <s v="ODR00722"/>
        <s v="ODR00723"/>
        <s v="ODR00724"/>
        <s v="ODR00725"/>
        <s v="ODR00726"/>
        <s v="ODR00727"/>
        <s v="ODR00728"/>
        <s v="ODR00729"/>
        <s v="ODR00730"/>
        <s v="ODR00731"/>
        <s v="ODR00732"/>
        <s v="ODR00733"/>
        <s v="ODR00734"/>
        <s v="ODR00735"/>
        <s v="ODR00736"/>
        <s v="ODR00737"/>
        <s v="ODR00738"/>
        <s v="ODR00739"/>
        <s v="ODR00740"/>
        <s v="ODR00741"/>
        <s v="ODR00742"/>
        <s v="ODR00743"/>
        <s v="ODR00744"/>
        <s v="ODR00745"/>
        <s v="ODR00746"/>
        <s v="ODR00747"/>
        <s v="ODR00748"/>
        <s v="ODR00749"/>
        <s v="ODR00750"/>
        <s v="ODR00751"/>
        <s v="ODR00752"/>
        <s v="ODR00753"/>
        <s v="ODR00754"/>
        <s v="ODR00755"/>
        <s v="ODR00756"/>
        <s v="ODR00757"/>
        <s v="ODR00758"/>
        <s v="ODR00759"/>
        <s v="ODR00760"/>
        <s v="ODR00761"/>
        <s v="ODR00762"/>
        <s v="ODR00763"/>
        <s v="ODR00764"/>
        <s v="ODR00765"/>
        <s v="ODR00766"/>
        <s v="ODR00767"/>
        <s v="ODR00768"/>
        <s v="ODR00769"/>
        <s v="ODR00770"/>
        <s v="ODR00771"/>
        <s v="ODR00772"/>
        <s v="ODR00773"/>
        <s v="ODR00774"/>
        <s v="ODR00775"/>
        <s v="ODR00776"/>
        <s v="ODR00777"/>
        <s v="ODR00778"/>
        <s v="ODR00779"/>
        <s v="ODR00780"/>
        <s v="ODR00781"/>
        <s v="ODR00782"/>
        <s v="ODR00783"/>
        <s v="ODR00784"/>
        <s v="ODR00785"/>
        <s v="ODR00786"/>
        <s v="ODR00787"/>
        <s v="ODR00788"/>
        <s v="ODR00789"/>
        <s v="ODR00790"/>
        <s v="ODR00791"/>
        <s v="ODR00792"/>
        <s v="ODR00793"/>
        <s v="ODR00794"/>
        <s v="ODR00795"/>
        <s v="ODR00796"/>
        <s v="ODR00797"/>
        <s v="ODR00798"/>
        <s v="ODR00799"/>
        <s v="ODR00800"/>
        <s v="ODR00801"/>
        <s v="ODR00802"/>
        <s v="ODR00803"/>
        <s v="ODR00804"/>
        <s v="ODR00805"/>
        <s v="ODR00806"/>
        <s v="ODR00807"/>
        <s v="ODR00808"/>
        <s v="ODR00809"/>
        <s v="ODR00810"/>
        <s v="ODR00811"/>
        <s v="ODR00812"/>
        <s v="ODR00813"/>
        <s v="ODR00814"/>
        <s v="ODR00815"/>
        <s v="ODR00816"/>
        <s v="ODR00817"/>
        <s v="ODR00818"/>
        <s v="ODR00819"/>
        <s v="ODR00820"/>
        <s v="ODR00821"/>
        <s v="ODR00822"/>
        <s v="ODR00823"/>
        <s v="ODR00824"/>
        <s v="ODR00825"/>
        <s v="ODR00826"/>
        <s v="ODR00827"/>
        <s v="ODR00828"/>
        <s v="ODR00829"/>
        <s v="ODR00830"/>
        <s v="ODR00831"/>
        <s v="ODR00832"/>
        <s v="ODR00833"/>
        <s v="ODR00834"/>
        <s v="ODR00835"/>
        <s v="ODR00836"/>
        <s v="ODR00837"/>
        <s v="ODR00838"/>
        <s v="ODR00839"/>
        <s v="ODR00840"/>
        <s v="ODR00841"/>
        <s v="ODR00842"/>
        <s v="ODR00843"/>
        <s v="ODR00844"/>
        <s v="ODR00845"/>
        <s v="ODR00846"/>
        <s v="ODR00847"/>
        <s v="ODR00848"/>
        <s v="ODR00849"/>
        <s v="ODR00850"/>
        <s v="ODR00851"/>
        <s v="ODR00852"/>
        <s v="ODR00853"/>
        <s v="ODR00854"/>
        <s v="ODR00855"/>
        <s v="ODR00856"/>
        <s v="ODR00857"/>
        <s v="ODR00858"/>
        <s v="ODR00859"/>
        <s v="ODR00860"/>
        <s v="ODR00861"/>
        <s v="ODR00862"/>
        <s v="ODR00863"/>
        <s v="ODR00864"/>
        <s v="ODR00865"/>
        <s v="ODR00866"/>
        <s v="ODR00867"/>
        <s v="ODR00868"/>
        <s v="ODR00869"/>
        <s v="ODR00870"/>
        <s v="ODR00871"/>
        <s v="ODR00872"/>
        <s v="ODR00873"/>
        <s v="ODR00874"/>
        <s v="ODR00875"/>
        <s v="ODR00876"/>
        <s v="ODR00877"/>
        <s v="ODR00878"/>
        <s v="ODR00879"/>
        <s v="ODR00880"/>
        <s v="ODR00881"/>
        <s v="ODR00882"/>
        <s v="ODR00883"/>
        <s v="ODR00884"/>
        <s v="ODR00885"/>
        <s v="ODR00886"/>
        <s v="ODR00887"/>
        <s v="ODR00888"/>
        <s v="ODR00889"/>
        <s v="ODR00890"/>
        <s v="ODR00891"/>
        <s v="ODR00892"/>
        <s v="ODR00893"/>
        <s v="ODR00894"/>
        <s v="ODR00895"/>
        <s v="ODR00896"/>
        <s v="ODR00897"/>
        <s v="ODR00898"/>
        <s v="ODR00899"/>
        <s v="ODR00900"/>
        <s v="ODR00901"/>
        <s v="ODR00902"/>
        <s v="ODR00903"/>
        <s v="ODR00904"/>
        <s v="ODR00905"/>
        <s v="ODR00906"/>
        <s v="ODR00907"/>
        <s v="ODR00908"/>
        <s v="ODR00909"/>
        <s v="ODR00910"/>
        <s v="ODR00911"/>
        <s v="ODR00912"/>
        <s v="ODR00913"/>
        <s v="ODR00914"/>
        <s v="ODR00915"/>
        <s v="ODR00916"/>
        <s v="ODR00917"/>
        <s v="ODR00918"/>
        <s v="ODR00919"/>
        <s v="ODR00920"/>
        <s v="ODR00921"/>
        <s v="ODR00922"/>
        <s v="ODR00923"/>
        <s v="ODR00924"/>
        <s v="ODR00925"/>
        <s v="ODR00926"/>
        <s v="ODR00927"/>
        <s v="ODR00928"/>
        <s v="ODR00929"/>
        <s v="ODR00930"/>
        <s v="ODR00931"/>
        <s v="ODR00932"/>
        <s v="ODR00933"/>
        <s v="ODR00934"/>
        <s v="ODR00935"/>
        <s v="ODR00936"/>
        <s v="ODR00937"/>
        <s v="ODR00938"/>
        <s v="ODR00939"/>
        <s v="ODR00940"/>
        <s v="ODR00941"/>
        <s v="ODR00942"/>
        <s v="ODR00943"/>
        <s v="ODR00944"/>
        <s v="ODR00945"/>
        <s v="ODR00946"/>
        <s v="ODR00947"/>
        <s v="ODR00948"/>
        <s v="ODR00949"/>
        <s v="ODR00950"/>
        <s v="ODR00951"/>
        <s v="ODR00952"/>
        <s v="ODR00953"/>
        <s v="ODR00954"/>
        <s v="ODR00955"/>
        <s v="ODR00956"/>
        <s v="ODR00957"/>
        <s v="ODR00958"/>
        <s v="ODR00959"/>
        <s v="ODR00960"/>
        <s v="ODR00961"/>
        <s v="ODR00962"/>
        <s v="ODR00963"/>
        <s v="ODR00964"/>
        <s v="ODR00965"/>
        <s v="ODR00966"/>
        <s v="ODR00967"/>
        <s v="ODR00968"/>
        <s v="ODR00969"/>
        <s v="ODR00970"/>
        <s v="ODR00971"/>
        <s v="ODR00972"/>
        <s v="ODR00973"/>
        <s v="ODR00974"/>
        <s v="ODR00975"/>
        <s v="ODR00976"/>
        <s v="ODR00977"/>
        <s v="ODR00978"/>
        <s v="ODR00979"/>
        <s v="ODR00980"/>
        <s v="ODR00981"/>
        <s v="ODR00982"/>
        <s v="ODR00983"/>
        <s v="ODR00984"/>
        <s v="ODR00985"/>
        <s v="ODR00986"/>
        <s v="ODR00987"/>
        <s v="ODR00988"/>
        <s v="ODR00989"/>
        <s v="ODR00990"/>
        <s v="ODR00991"/>
        <s v="ODR00992"/>
        <s v="ODR00993"/>
        <s v="ODR00994"/>
        <s v="ODR00995"/>
        <s v="ODR00996"/>
        <s v="ODR00997"/>
        <s v="ODR00998"/>
        <s v="ODR00999"/>
        <s v="ODR01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DHU" refreshedDate="46097.866031365738" createdVersion="8" refreshedVersion="8" minRefreshableVersion="3" recordCount="1001" xr:uid="{11BC5DD9-0BE2-490F-86EA-21041205911A}">
  <cacheSource type="worksheet">
    <worksheetSource ref="Q1:Q1048576" sheet="cleaned"/>
  </cacheSource>
  <cacheFields count="1">
    <cacheField name="Profit margin %" numFmtId="10">
      <sharedItems containsString="0" containsBlank="1" containsNumber="1" minValue="3.6713644684027651E-2" maxValue="0.241332895366356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DR00001"/>
    <d v="2025-02-21T00:00:00"/>
    <s v="Meera Joshi"/>
    <x v="0"/>
    <s v="Bhubaneswar"/>
    <s v="Technology"/>
    <s v="Tablet"/>
    <s v="Tablet - Technology"/>
    <x v="0"/>
    <n v="4"/>
    <n v="9"/>
    <n v="1269.0999999999999"/>
    <s v="Delivered"/>
    <s v="UPI"/>
    <s v="02-2025"/>
    <x v="0"/>
    <x v="0"/>
    <s v="Profit"/>
    <s v="Low (1-10%)"/>
  </r>
  <r>
    <s v="ODR00002"/>
    <d v="2024-07-11T00:00:00"/>
    <s v="Diya Sharma"/>
    <x v="0"/>
    <s v="Kolkata"/>
    <s v="Technology"/>
    <s v="Printer"/>
    <s v="Printer - Technology"/>
    <x v="1"/>
    <n v="1"/>
    <n v="4"/>
    <n v="242.63"/>
    <s v="Returned"/>
    <s v="UPI"/>
    <s v="07-2024"/>
    <x v="1"/>
    <x v="1"/>
    <s v="Profit"/>
    <s v="Low (1-10%)"/>
  </r>
  <r>
    <s v="ODR00003"/>
    <d v="2025-03-17T00:00:00"/>
    <s v="Kabir Nair"/>
    <x v="0"/>
    <s v="Patna"/>
    <s v="Furniture"/>
    <s v="Chair"/>
    <s v="Chair - Furniture"/>
    <x v="2"/>
    <n v="6"/>
    <n v="25"/>
    <n v="859.08"/>
    <s v="Returned"/>
    <s v="Credit Card"/>
    <s v="03-2025"/>
    <x v="0"/>
    <x v="2"/>
    <s v="Profit"/>
    <s v="High (&gt;20%)"/>
  </r>
  <r>
    <s v="ODR00004"/>
    <d v="2025-02-25T00:00:00"/>
    <s v="Riya Kapoor"/>
    <x v="1"/>
    <s v="Chandigarh"/>
    <s v="Technology"/>
    <s v="Printer"/>
    <s v="Printer - Technology"/>
    <x v="3"/>
    <n v="5"/>
    <n v="19"/>
    <n v="1444.74"/>
    <s v="Delivered"/>
    <s v="Net Banking"/>
    <s v="02-2025"/>
    <x v="0"/>
    <x v="3"/>
    <s v="Profit"/>
    <s v="Mid (11-20%)"/>
  </r>
  <r>
    <s v="ODR00005"/>
    <d v="2024-12-20T00:00:00"/>
    <s v="Kriti Desai"/>
    <x v="1"/>
    <s v="Lucknow"/>
    <s v="Technology"/>
    <s v="Tablet"/>
    <s v="Tablet - Technology"/>
    <x v="4"/>
    <n v="2"/>
    <n v="20"/>
    <n v="267.77"/>
    <s v="Delivered"/>
    <s v="Cash"/>
    <s v="12-2024"/>
    <x v="1"/>
    <x v="4"/>
    <s v="Profit"/>
    <s v="Mid (11-20%)"/>
  </r>
  <r>
    <s v="ODR00006"/>
    <d v="2025-04-22T00:00:00"/>
    <s v="Kabir Nair"/>
    <x v="1"/>
    <s v="Lucknow"/>
    <s v="Furniture"/>
    <s v="Chair"/>
    <s v="Chair - Furniture"/>
    <x v="5"/>
    <n v="10"/>
    <n v="18"/>
    <n v="2357.5300000000002"/>
    <s v="Returned"/>
    <s v="Credit Card"/>
    <s v="04-2025"/>
    <x v="0"/>
    <x v="5"/>
    <s v="Profit"/>
    <s v="Mid (11-20%)"/>
  </r>
  <r>
    <s v="ODR00007"/>
    <d v="2024-06-03T00:00:00"/>
    <s v="Kabir Nair"/>
    <x v="1"/>
    <s v="Lucknow"/>
    <s v="Furniture"/>
    <s v="Cupboard"/>
    <s v="Cupboard - Furniture"/>
    <x v="6"/>
    <n v="4"/>
    <n v="19"/>
    <n v="261.63"/>
    <s v="Delivered"/>
    <s v="Net Banking"/>
    <s v="06-2024"/>
    <x v="1"/>
    <x v="6"/>
    <s v="Profit"/>
    <s v="Mid (11-20%)"/>
  </r>
  <r>
    <s v="ODR00008"/>
    <d v="2024-06-17T00:00:00"/>
    <s v="Krishna Das"/>
    <x v="1"/>
    <s v="Lucknow"/>
    <s v="Technology"/>
    <s v="Printer"/>
    <s v="Printer - Technology"/>
    <x v="7"/>
    <n v="7"/>
    <n v="4"/>
    <n v="292.45999999999998"/>
    <s v="In Transit"/>
    <s v="Credit Card"/>
    <s v="06-2024"/>
    <x v="1"/>
    <x v="7"/>
    <s v="Profit"/>
    <s v="Low (1-10%)"/>
  </r>
  <r>
    <s v="ODR00009"/>
    <d v="2025-01-29T00:00:00"/>
    <s v="Krishna Das"/>
    <x v="1"/>
    <s v="Jaipur"/>
    <s v="Furniture"/>
    <s v="Cupboard"/>
    <s v="Cupboard - Furniture"/>
    <x v="8"/>
    <n v="1"/>
    <n v="22"/>
    <n v="177.37"/>
    <s v="Delivered"/>
    <s v="UPI"/>
    <s v="01-2025"/>
    <x v="0"/>
    <x v="8"/>
    <s v="Profit"/>
    <s v="High (&gt;20%)"/>
  </r>
  <r>
    <s v="ODR00010"/>
    <d v="2025-01-26T00:00:00"/>
    <s v="Diya Sharma"/>
    <x v="0"/>
    <s v="Kolkata"/>
    <s v="Technology"/>
    <s v="Tablet"/>
    <s v="Tablet - Technology"/>
    <x v="9"/>
    <n v="7"/>
    <n v="4"/>
    <n v="2735.89"/>
    <s v="In Transit"/>
    <s v="Net Banking"/>
    <s v="01-2025"/>
    <x v="0"/>
    <x v="9"/>
    <s v="Profit"/>
    <s v="Low (1-10%)"/>
  </r>
  <r>
    <s v="ODR00011"/>
    <d v="2024-10-30T00:00:00"/>
    <s v="Diya Sharma"/>
    <x v="2"/>
    <s v="Chennai"/>
    <s v="Furniture"/>
    <s v="Table"/>
    <s v="Table - Furniture"/>
    <x v="10"/>
    <n v="5"/>
    <n v="18"/>
    <n v="317.76"/>
    <s v="Returned"/>
    <s v="Credit Card"/>
    <s v="10-2024"/>
    <x v="1"/>
    <x v="10"/>
    <s v="Profit"/>
    <s v="Mid (11-20%)"/>
  </r>
  <r>
    <s v="ODR00012"/>
    <d v="2025-03-17T00:00:00"/>
    <s v="Kabir Nair"/>
    <x v="2"/>
    <s v="Bangalore"/>
    <s v="Office Supplies"/>
    <s v="Envelope"/>
    <s v="Envelope - Office Supplies"/>
    <x v="11"/>
    <n v="7"/>
    <n v="25"/>
    <n v="289.19"/>
    <s v="In Transit"/>
    <s v="Credit Card"/>
    <s v="03-2025"/>
    <x v="0"/>
    <x v="11"/>
    <s v="Profit"/>
    <s v="High (&gt;20%)"/>
  </r>
  <r>
    <s v="ODR00013"/>
    <d v="2025-05-04T00:00:00"/>
    <s v="Vivaan Shah"/>
    <x v="1"/>
    <s v="Chandigarh"/>
    <s v="Office Supplies"/>
    <s v="Notebook"/>
    <s v="Notebook - Office Supplies"/>
    <x v="12"/>
    <n v="6"/>
    <n v="1"/>
    <n v="104.38"/>
    <s v="Returned"/>
    <s v="Credit Card"/>
    <s v="05-2025"/>
    <x v="0"/>
    <x v="12"/>
    <s v="Profit"/>
    <s v="Low (1-10%)"/>
  </r>
  <r>
    <s v="ODR00014"/>
    <d v="2024-10-20T00:00:00"/>
    <s v="Ishaan Mehta"/>
    <x v="1"/>
    <s v="Delhi"/>
    <s v="Furniture"/>
    <s v="Cupboard"/>
    <s v="Cupboard - Furniture"/>
    <x v="13"/>
    <n v="4"/>
    <n v="14"/>
    <n v="144"/>
    <s v="In Transit"/>
    <s v="Net Banking"/>
    <s v="10-2024"/>
    <x v="1"/>
    <x v="13"/>
    <s v="Profit"/>
    <s v="Mid (11-20%)"/>
  </r>
  <r>
    <s v="ODR00015"/>
    <d v="2024-08-01T00:00:00"/>
    <s v="Anaya Singh"/>
    <x v="1"/>
    <s v="Delhi"/>
    <s v="Technology"/>
    <s v="Printer"/>
    <s v="Printer - Technology"/>
    <x v="14"/>
    <n v="7"/>
    <n v="30"/>
    <n v="1228"/>
    <s v="In Transit"/>
    <s v="Net Banking"/>
    <s v="08-2024"/>
    <x v="1"/>
    <x v="14"/>
    <s v="Profit"/>
    <s v="High (&gt;20%)"/>
  </r>
  <r>
    <s v="ODR00016"/>
    <d v="2024-07-12T00:00:00"/>
    <s v="Aarav Patel"/>
    <x v="0"/>
    <s v="Patna"/>
    <s v="Technology"/>
    <s v="Laptop"/>
    <s v="Laptop - Technology"/>
    <x v="15"/>
    <n v="2"/>
    <n v="26"/>
    <n v="35.159999999999997"/>
    <s v="In Transit"/>
    <s v="UPI"/>
    <s v="07-2024"/>
    <x v="1"/>
    <x v="15"/>
    <s v="Profit"/>
    <s v="High (&gt;20%)"/>
  </r>
  <r>
    <s v="ODR00017"/>
    <d v="2025-03-04T00:00:00"/>
    <s v="Kriti Desai"/>
    <x v="0"/>
    <s v="Kolkata"/>
    <s v="Technology"/>
    <s v="Laptop"/>
    <s v="Laptop - Technology"/>
    <x v="16"/>
    <n v="6"/>
    <n v="26"/>
    <n v="1420.5"/>
    <s v="In Transit"/>
    <s v="Net Banking"/>
    <s v="03-2025"/>
    <x v="0"/>
    <x v="16"/>
    <s v="Profit"/>
    <s v="High (&gt;20%)"/>
  </r>
  <r>
    <s v="ODR00018"/>
    <d v="2024-07-05T00:00:00"/>
    <s v="Anaya Singh"/>
    <x v="0"/>
    <s v="Patna"/>
    <s v="Office Supplies"/>
    <s v="Stapler"/>
    <s v="Stapler - Office Supplies"/>
    <x v="17"/>
    <n v="2"/>
    <n v="1"/>
    <n v="589.64"/>
    <s v="In Transit"/>
    <s v="Credit Card"/>
    <s v="07-2024"/>
    <x v="1"/>
    <x v="17"/>
    <s v="Profit"/>
    <s v="Low (1-10%)"/>
  </r>
  <r>
    <s v="ODR00019"/>
    <d v="2024-06-23T00:00:00"/>
    <s v="Meera Joshi"/>
    <x v="2"/>
    <s v="Chennai"/>
    <s v="Office Supplies"/>
    <s v="Stapler"/>
    <s v="Stapler - Office Supplies"/>
    <x v="18"/>
    <n v="10"/>
    <n v="0"/>
    <n v="1791.89"/>
    <s v="In Transit"/>
    <s v="Credit Card"/>
    <s v="06-2024"/>
    <x v="1"/>
    <x v="18"/>
    <s v="Profit"/>
    <s v="No Discount"/>
  </r>
  <r>
    <s v="ODR00020"/>
    <d v="2024-10-31T00:00:00"/>
    <s v="Yuvraj Chauhan"/>
    <x v="2"/>
    <s v="Chennai"/>
    <s v="Furniture"/>
    <s v="Cupboard"/>
    <s v="Cupboard - Furniture"/>
    <x v="19"/>
    <n v="5"/>
    <n v="27"/>
    <n v="365.9"/>
    <s v="Returned"/>
    <s v="UPI"/>
    <s v="10-2024"/>
    <x v="1"/>
    <x v="19"/>
    <s v="Profit"/>
    <s v="High (&gt;20%)"/>
  </r>
  <r>
    <s v="ODR00021"/>
    <d v="2025-01-23T00:00:00"/>
    <s v="Arjun Verma"/>
    <x v="1"/>
    <s v="Jaipur"/>
    <s v="Furniture"/>
    <s v="Chair"/>
    <s v="Chair - Furniture"/>
    <x v="20"/>
    <n v="1"/>
    <n v="25"/>
    <n v="56.96"/>
    <s v="Returned"/>
    <s v="Credit Card"/>
    <s v="01-2025"/>
    <x v="0"/>
    <x v="20"/>
    <s v="Profit"/>
    <s v="High (&gt;20%)"/>
  </r>
  <r>
    <s v="ODR00022"/>
    <d v="2025-02-24T00:00:00"/>
    <s v="Kriti Desai"/>
    <x v="2"/>
    <s v="Bangalore"/>
    <s v="Furniture"/>
    <s v="Chair"/>
    <s v="Chair - Furniture"/>
    <x v="21"/>
    <n v="6"/>
    <n v="1"/>
    <n v="1009.31"/>
    <s v="Returned"/>
    <s v="Credit Card"/>
    <s v="02-2025"/>
    <x v="0"/>
    <x v="21"/>
    <s v="Profit"/>
    <s v="Low (1-10%)"/>
  </r>
  <r>
    <s v="ODR00023"/>
    <d v="2024-06-26T00:00:00"/>
    <s v="Anaya Singh"/>
    <x v="3"/>
    <s v="Nagpur"/>
    <s v="Furniture"/>
    <s v="Chair"/>
    <s v="Chair - Furniture"/>
    <x v="22"/>
    <n v="10"/>
    <n v="26"/>
    <n v="884.53"/>
    <s v="Delivered"/>
    <s v="UPI"/>
    <s v="06-2024"/>
    <x v="1"/>
    <x v="22"/>
    <s v="Profit"/>
    <s v="High (&gt;20%)"/>
  </r>
  <r>
    <s v="ODR00024"/>
    <d v="2025-02-01T00:00:00"/>
    <s v="Kriti Desai"/>
    <x v="1"/>
    <s v="Chandigarh"/>
    <s v="Office Supplies"/>
    <s v="Notebook"/>
    <s v="Notebook - Office Supplies"/>
    <x v="23"/>
    <n v="10"/>
    <n v="21"/>
    <n v="259.14999999999998"/>
    <s v="Delivered"/>
    <s v="Cash"/>
    <s v="02-2025"/>
    <x v="0"/>
    <x v="23"/>
    <s v="Profit"/>
    <s v="High (&gt;20%)"/>
  </r>
  <r>
    <s v="ODR00025"/>
    <d v="2024-12-20T00:00:00"/>
    <s v="Riya Kapoor"/>
    <x v="2"/>
    <s v="Bangalore"/>
    <s v="Technology"/>
    <s v="Laptop"/>
    <s v="Laptop - Technology"/>
    <x v="24"/>
    <n v="9"/>
    <n v="28"/>
    <n v="1292.04"/>
    <s v="In Transit"/>
    <s v="UPI"/>
    <s v="12-2024"/>
    <x v="1"/>
    <x v="24"/>
    <s v="Profit"/>
    <s v="High (&gt;20%)"/>
  </r>
  <r>
    <s v="ODR00026"/>
    <d v="2025-02-09T00:00:00"/>
    <s v="Aarav Patel"/>
    <x v="0"/>
    <s v="Kolkata"/>
    <s v="Technology"/>
    <s v="Mobile"/>
    <s v="Mobile - Technology"/>
    <x v="25"/>
    <n v="10"/>
    <n v="10"/>
    <n v="1377.35"/>
    <s v="Returned"/>
    <s v="Credit Card"/>
    <s v="02-2025"/>
    <x v="0"/>
    <x v="25"/>
    <s v="Profit"/>
    <s v="Low (1-10%)"/>
  </r>
  <r>
    <s v="ODR00027"/>
    <d v="2025-05-11T00:00:00"/>
    <s v="Ishaan Mehta"/>
    <x v="3"/>
    <s v="Ahmedabad"/>
    <s v="Office Supplies"/>
    <s v="Envelope"/>
    <s v="Envelope - Office Supplies"/>
    <x v="26"/>
    <n v="8"/>
    <n v="26"/>
    <n v="1043.43"/>
    <s v="Returned"/>
    <s v="UPI"/>
    <s v="05-2025"/>
    <x v="0"/>
    <x v="26"/>
    <s v="Profit"/>
    <s v="High (&gt;20%)"/>
  </r>
  <r>
    <s v="ODR00028"/>
    <d v="2024-08-28T00:00:00"/>
    <s v="Saanvi Iyer"/>
    <x v="0"/>
    <s v="Bhubaneswar"/>
    <s v="Office Supplies"/>
    <s v="Envelope"/>
    <s v="Envelope - Office Supplies"/>
    <x v="27"/>
    <n v="3"/>
    <n v="3"/>
    <n v="63.8"/>
    <s v="Returned"/>
    <s v="Cash"/>
    <s v="08-2024"/>
    <x v="1"/>
    <x v="27"/>
    <s v="Profit"/>
    <s v="Low (1-10%)"/>
  </r>
  <r>
    <s v="ODR00029"/>
    <d v="2025-04-26T00:00:00"/>
    <s v="Tanishq Ghosh"/>
    <x v="3"/>
    <s v="Indore"/>
    <s v="Office Supplies"/>
    <s v="Pen"/>
    <s v="Pen - Office Supplies"/>
    <x v="28"/>
    <n v="5"/>
    <n v="24"/>
    <n v="57.18"/>
    <s v="Returned"/>
    <s v="Cash"/>
    <s v="04-2025"/>
    <x v="0"/>
    <x v="28"/>
    <s v="Profit"/>
    <s v="High (&gt;20%)"/>
  </r>
  <r>
    <s v="ODR00030"/>
    <d v="2024-10-01T00:00:00"/>
    <s v="Saanvi Iyer"/>
    <x v="2"/>
    <s v="Chennai"/>
    <s v="Furniture"/>
    <s v="Chair"/>
    <s v="Chair - Furniture"/>
    <x v="29"/>
    <n v="2"/>
    <n v="5"/>
    <n v="722.26"/>
    <s v="In Transit"/>
    <s v="UPI"/>
    <s v="10-2024"/>
    <x v="1"/>
    <x v="29"/>
    <s v="Profit"/>
    <s v="Low (1-10%)"/>
  </r>
  <r>
    <s v="ODR00031"/>
    <d v="2024-06-04T00:00:00"/>
    <s v="Meera Joshi"/>
    <x v="3"/>
    <s v="Indore"/>
    <s v="Technology"/>
    <s v="Mobile"/>
    <s v="Mobile - Technology"/>
    <x v="30"/>
    <n v="8"/>
    <n v="4"/>
    <n v="217.17"/>
    <s v="Returned"/>
    <s v="UPI"/>
    <s v="06-2024"/>
    <x v="1"/>
    <x v="30"/>
    <s v="Profit"/>
    <s v="Low (1-10%)"/>
  </r>
  <r>
    <s v="ODR00032"/>
    <d v="2024-05-12T00:00:00"/>
    <s v="Diya Sharma"/>
    <x v="2"/>
    <s v="Hyderabad"/>
    <s v="Office Supplies"/>
    <s v="Envelope"/>
    <s v="Envelope - Office Supplies"/>
    <x v="31"/>
    <n v="5"/>
    <n v="12"/>
    <n v="510.77"/>
    <s v="Delivered"/>
    <s v="Net Banking"/>
    <s v="05-2024"/>
    <x v="1"/>
    <x v="31"/>
    <s v="Profit"/>
    <s v="Mid (11-20%)"/>
  </r>
  <r>
    <s v="ODR00033"/>
    <d v="2025-05-02T00:00:00"/>
    <s v="Kriti Desai"/>
    <x v="1"/>
    <s v="Delhi"/>
    <s v="Furniture"/>
    <s v="Cupboard"/>
    <s v="Cupboard - Furniture"/>
    <x v="32"/>
    <n v="4"/>
    <n v="18"/>
    <n v="1309.46"/>
    <s v="In Transit"/>
    <s v="Cash"/>
    <s v="05-2025"/>
    <x v="0"/>
    <x v="32"/>
    <s v="Profit"/>
    <s v="Mid (11-20%)"/>
  </r>
  <r>
    <s v="ODR00034"/>
    <d v="2025-02-13T00:00:00"/>
    <s v="Aarav Patel"/>
    <x v="3"/>
    <s v="Nagpur"/>
    <s v="Office Supplies"/>
    <s v="Stapler"/>
    <s v="Stapler - Office Supplies"/>
    <x v="33"/>
    <n v="5"/>
    <n v="5"/>
    <n v="1774.25"/>
    <s v="Returned"/>
    <s v="Cash"/>
    <s v="02-2025"/>
    <x v="0"/>
    <x v="33"/>
    <s v="Profit"/>
    <s v="Low (1-10%)"/>
  </r>
  <r>
    <s v="ODR00035"/>
    <d v="2024-07-06T00:00:00"/>
    <s v="Krishna Das"/>
    <x v="1"/>
    <s v="Delhi"/>
    <s v="Furniture"/>
    <s v="Sofa"/>
    <s v="Sofa - Furniture"/>
    <x v="34"/>
    <n v="4"/>
    <n v="7.0000000000000009"/>
    <n v="1020"/>
    <s v="In Transit"/>
    <s v="Credit Card"/>
    <s v="07-2024"/>
    <x v="1"/>
    <x v="34"/>
    <s v="Profit"/>
    <s v="Low (1-10%)"/>
  </r>
  <r>
    <s v="ODR00036"/>
    <d v="2024-05-25T00:00:00"/>
    <s v="Aarav Patel"/>
    <x v="0"/>
    <s v="Bhubaneswar"/>
    <s v="Office Supplies"/>
    <s v="Envelope"/>
    <s v="Envelope - Office Supplies"/>
    <x v="35"/>
    <n v="5"/>
    <n v="2"/>
    <n v="628.39"/>
    <s v="Delivered"/>
    <s v="Credit Card"/>
    <s v="05-2024"/>
    <x v="1"/>
    <x v="35"/>
    <s v="Profit"/>
    <s v="Low (1-10%)"/>
  </r>
  <r>
    <s v="ODR00037"/>
    <d v="2024-09-21T00:00:00"/>
    <s v="Anaya Singh"/>
    <x v="3"/>
    <s v="Mumbai"/>
    <s v="Technology"/>
    <s v="Tablet"/>
    <s v="Tablet - Technology"/>
    <x v="36"/>
    <n v="1"/>
    <n v="0"/>
    <n v="104.31"/>
    <s v="Delivered"/>
    <s v="UPI"/>
    <s v="09-2024"/>
    <x v="1"/>
    <x v="36"/>
    <s v="Profit"/>
    <s v="No Discount"/>
  </r>
  <r>
    <s v="ODR00038"/>
    <d v="2024-07-14T00:00:00"/>
    <s v="Meera Joshi"/>
    <x v="0"/>
    <s v="Patna"/>
    <s v="Furniture"/>
    <s v="Chair"/>
    <s v="Chair - Furniture"/>
    <x v="37"/>
    <n v="5"/>
    <n v="23"/>
    <n v="717.65"/>
    <s v="Returned"/>
    <s v="UPI"/>
    <s v="07-2024"/>
    <x v="1"/>
    <x v="37"/>
    <s v="Profit"/>
    <s v="High (&gt;20%)"/>
  </r>
  <r>
    <s v="ODR00039"/>
    <d v="2024-07-31T00:00:00"/>
    <s v="Diya Sharma"/>
    <x v="3"/>
    <s v="Nagpur"/>
    <s v="Technology"/>
    <s v="Tablet"/>
    <s v="Tablet - Technology"/>
    <x v="38"/>
    <n v="3"/>
    <n v="22"/>
    <n v="862.46"/>
    <s v="In Transit"/>
    <s v="Cash"/>
    <s v="07-2024"/>
    <x v="1"/>
    <x v="38"/>
    <s v="Profit"/>
    <s v="High (&gt;20%)"/>
  </r>
  <r>
    <s v="ODR00040"/>
    <d v="2025-04-05T00:00:00"/>
    <s v="Kriti Desai"/>
    <x v="1"/>
    <s v="Jaipur"/>
    <s v="Furniture"/>
    <s v="Table"/>
    <s v="Table - Furniture"/>
    <x v="39"/>
    <n v="7"/>
    <n v="24"/>
    <n v="528.49"/>
    <s v="Delivered"/>
    <s v="UPI"/>
    <s v="04-2025"/>
    <x v="0"/>
    <x v="39"/>
    <s v="Profit"/>
    <s v="High (&gt;20%)"/>
  </r>
  <r>
    <s v="ODR00041"/>
    <d v="2024-05-27T00:00:00"/>
    <s v="Yuvraj Chauhan"/>
    <x v="1"/>
    <s v="Delhi"/>
    <s v="Furniture"/>
    <s v="Sofa"/>
    <s v="Sofa - Furniture"/>
    <x v="40"/>
    <n v="7"/>
    <n v="25"/>
    <n v="565.57000000000005"/>
    <s v="In Transit"/>
    <s v="Credit Card"/>
    <s v="05-2024"/>
    <x v="1"/>
    <x v="40"/>
    <s v="Profit"/>
    <s v="High (&gt;20%)"/>
  </r>
  <r>
    <s v="ODR00042"/>
    <d v="2024-08-11T00:00:00"/>
    <s v="Vivaan Shah"/>
    <x v="1"/>
    <s v="Chandigarh"/>
    <s v="Furniture"/>
    <s v="Sofa"/>
    <s v="Sofa - Furniture"/>
    <x v="41"/>
    <n v="9"/>
    <n v="11"/>
    <n v="884.66"/>
    <s v="Returned"/>
    <s v="UPI"/>
    <s v="08-2024"/>
    <x v="1"/>
    <x v="41"/>
    <s v="Profit"/>
    <s v="Mid (11-20%)"/>
  </r>
  <r>
    <s v="ODR00043"/>
    <d v="2024-08-12T00:00:00"/>
    <s v="Krishna Das"/>
    <x v="0"/>
    <s v="Patna"/>
    <s v="Technology"/>
    <s v="Printer"/>
    <s v="Printer - Technology"/>
    <x v="42"/>
    <n v="8"/>
    <n v="14"/>
    <n v="1949.19"/>
    <s v="In Transit"/>
    <s v="Credit Card"/>
    <s v="08-2024"/>
    <x v="1"/>
    <x v="42"/>
    <s v="Profit"/>
    <s v="Mid (11-20%)"/>
  </r>
  <r>
    <s v="ODR00044"/>
    <d v="2025-04-18T00:00:00"/>
    <s v="Diya Sharma"/>
    <x v="0"/>
    <s v="Patna"/>
    <s v="Furniture"/>
    <s v="Table"/>
    <s v="Table - Furniture"/>
    <x v="43"/>
    <n v="7"/>
    <n v="3"/>
    <n v="1496.19"/>
    <s v="In Transit"/>
    <s v="UPI"/>
    <s v="04-2025"/>
    <x v="0"/>
    <x v="43"/>
    <s v="Profit"/>
    <s v="Low (1-10%)"/>
  </r>
  <r>
    <s v="ODR00045"/>
    <d v="2024-12-16T00:00:00"/>
    <s v="Kriti Desai"/>
    <x v="3"/>
    <s v="Nagpur"/>
    <s v="Technology"/>
    <s v="Tablet"/>
    <s v="Tablet - Technology"/>
    <x v="44"/>
    <n v="3"/>
    <n v="3"/>
    <n v="183.13"/>
    <s v="Returned"/>
    <s v="Net Banking"/>
    <s v="12-2024"/>
    <x v="1"/>
    <x v="44"/>
    <s v="Profit"/>
    <s v="Low (1-10%)"/>
  </r>
  <r>
    <s v="ODR00046"/>
    <d v="2024-08-07T00:00:00"/>
    <s v="Tanishq Ghosh"/>
    <x v="3"/>
    <s v="Ahmedabad"/>
    <s v="Technology"/>
    <s v="Tablet"/>
    <s v="Tablet - Technology"/>
    <x v="45"/>
    <n v="1"/>
    <n v="12"/>
    <n v="62.71"/>
    <s v="Delivered"/>
    <s v="Cash"/>
    <s v="08-2024"/>
    <x v="1"/>
    <x v="45"/>
    <s v="Profit"/>
    <s v="Mid (11-20%)"/>
  </r>
  <r>
    <s v="ODR00047"/>
    <d v="2025-02-26T00:00:00"/>
    <s v="Riya Kapoor"/>
    <x v="2"/>
    <s v="Chennai"/>
    <s v="Office Supplies"/>
    <s v="Notebook"/>
    <s v="Notebook - Office Supplies"/>
    <x v="46"/>
    <n v="1"/>
    <n v="9"/>
    <n v="71.81"/>
    <s v="Delivered"/>
    <s v="UPI"/>
    <s v="02-2025"/>
    <x v="0"/>
    <x v="46"/>
    <s v="Profit"/>
    <s v="Low (1-10%)"/>
  </r>
  <r>
    <s v="ODR00048"/>
    <d v="2024-11-13T00:00:00"/>
    <s v="Vivaan Shah"/>
    <x v="0"/>
    <s v="Bhubaneswar"/>
    <s v="Furniture"/>
    <s v="Cupboard"/>
    <s v="Cupboard - Furniture"/>
    <x v="47"/>
    <n v="1"/>
    <n v="15"/>
    <n v="365.62"/>
    <s v="Delivered"/>
    <s v="Cash"/>
    <s v="11-2024"/>
    <x v="1"/>
    <x v="47"/>
    <s v="Profit"/>
    <s v="Mid (11-20%)"/>
  </r>
  <r>
    <s v="ODR00049"/>
    <d v="2025-03-03T00:00:00"/>
    <s v="Arjun Verma"/>
    <x v="2"/>
    <s v="Bangalore"/>
    <s v="Furniture"/>
    <s v="Chair"/>
    <s v="Chair - Furniture"/>
    <x v="48"/>
    <n v="7"/>
    <n v="5"/>
    <n v="808.51"/>
    <s v="Delivered"/>
    <s v="Credit Card"/>
    <s v="03-2025"/>
    <x v="0"/>
    <x v="48"/>
    <s v="Profit"/>
    <s v="Low (1-10%)"/>
  </r>
  <r>
    <s v="ODR00050"/>
    <d v="2024-08-16T00:00:00"/>
    <s v="Tanishq Ghosh"/>
    <x v="2"/>
    <s v="Chennai"/>
    <s v="Office Supplies"/>
    <s v="Stapler"/>
    <s v="Stapler - Office Supplies"/>
    <x v="49"/>
    <n v="7"/>
    <n v="1"/>
    <n v="2719.65"/>
    <s v="In Transit"/>
    <s v="Credit Card"/>
    <s v="08-2024"/>
    <x v="1"/>
    <x v="49"/>
    <s v="Profit"/>
    <s v="Low (1-10%)"/>
  </r>
  <r>
    <s v="ODR00051"/>
    <d v="2024-09-04T00:00:00"/>
    <s v="Krishna Das"/>
    <x v="1"/>
    <s v="Delhi"/>
    <s v="Technology"/>
    <s v="Mobile"/>
    <s v="Mobile - Technology"/>
    <x v="50"/>
    <n v="6"/>
    <n v="10"/>
    <n v="185.53"/>
    <s v="Returned"/>
    <s v="UPI"/>
    <s v="09-2024"/>
    <x v="1"/>
    <x v="50"/>
    <s v="Profit"/>
    <s v="Low (1-10%)"/>
  </r>
  <r>
    <s v="ODR00052"/>
    <d v="2025-02-20T00:00:00"/>
    <s v="Arjun Verma"/>
    <x v="2"/>
    <s v="Hyderabad"/>
    <s v="Technology"/>
    <s v="Printer"/>
    <s v="Printer - Technology"/>
    <x v="51"/>
    <n v="4"/>
    <n v="21"/>
    <n v="261.86"/>
    <s v="Returned"/>
    <s v="Net Banking"/>
    <s v="02-2025"/>
    <x v="0"/>
    <x v="51"/>
    <s v="Profit"/>
    <s v="High (&gt;20%)"/>
  </r>
  <r>
    <s v="ODR00053"/>
    <d v="2024-10-05T00:00:00"/>
    <s v="Sneha Reddy"/>
    <x v="1"/>
    <s v="Jaipur"/>
    <s v="Office Supplies"/>
    <s v="Stapler"/>
    <s v="Stapler - Office Supplies"/>
    <x v="52"/>
    <n v="7"/>
    <n v="27"/>
    <n v="356.81"/>
    <s v="In Transit"/>
    <s v="Cash"/>
    <s v="10-2024"/>
    <x v="1"/>
    <x v="52"/>
    <s v="Profit"/>
    <s v="High (&gt;20%)"/>
  </r>
  <r>
    <s v="ODR00054"/>
    <d v="2024-12-27T00:00:00"/>
    <s v="Ishaan Mehta"/>
    <x v="3"/>
    <s v="Nagpur"/>
    <s v="Furniture"/>
    <s v="Table"/>
    <s v="Table - Furniture"/>
    <x v="53"/>
    <n v="7"/>
    <n v="19"/>
    <n v="2309.5500000000002"/>
    <s v="Returned"/>
    <s v="Cash"/>
    <s v="12-2024"/>
    <x v="1"/>
    <x v="53"/>
    <s v="Profit"/>
    <s v="Mid (11-20%)"/>
  </r>
  <r>
    <s v="ODR00055"/>
    <d v="2025-02-22T00:00:00"/>
    <s v="Arjun Verma"/>
    <x v="0"/>
    <s v="Kolkata"/>
    <s v="Office Supplies"/>
    <s v="Notebook"/>
    <s v="Notebook - Office Supplies"/>
    <x v="54"/>
    <n v="2"/>
    <n v="1"/>
    <n v="841.7"/>
    <s v="In Transit"/>
    <s v="Credit Card"/>
    <s v="02-2025"/>
    <x v="0"/>
    <x v="54"/>
    <s v="Profit"/>
    <s v="Low (1-10%)"/>
  </r>
  <r>
    <s v="ODR00056"/>
    <d v="2024-09-08T00:00:00"/>
    <s v="Kabir Nair"/>
    <x v="3"/>
    <s v="Nagpur"/>
    <s v="Office Supplies"/>
    <s v="Stapler"/>
    <s v="Stapler - Office Supplies"/>
    <x v="55"/>
    <n v="1"/>
    <n v="27"/>
    <n v="205.51"/>
    <s v="Delivered"/>
    <s v="Net Banking"/>
    <s v="09-2024"/>
    <x v="1"/>
    <x v="55"/>
    <s v="Profit"/>
    <s v="High (&gt;20%)"/>
  </r>
  <r>
    <s v="ODR00057"/>
    <d v="2024-08-13T00:00:00"/>
    <s v="Sneha Reddy"/>
    <x v="1"/>
    <s v="Jaipur"/>
    <s v="Technology"/>
    <s v="Printer"/>
    <s v="Printer - Technology"/>
    <x v="56"/>
    <n v="8"/>
    <n v="26"/>
    <n v="1581.16"/>
    <s v="Delivered"/>
    <s v="Credit Card"/>
    <s v="08-2024"/>
    <x v="1"/>
    <x v="56"/>
    <s v="Profit"/>
    <s v="High (&gt;20%)"/>
  </r>
  <r>
    <s v="ODR00058"/>
    <d v="2024-11-25T00:00:00"/>
    <s v="Meera Joshi"/>
    <x v="2"/>
    <s v="Bangalore"/>
    <s v="Furniture"/>
    <s v="Cupboard"/>
    <s v="Cupboard - Furniture"/>
    <x v="57"/>
    <n v="6"/>
    <n v="10"/>
    <n v="856.03"/>
    <s v="In Transit"/>
    <s v="Credit Card"/>
    <s v="11-2024"/>
    <x v="1"/>
    <x v="57"/>
    <s v="Profit"/>
    <s v="Low (1-10%)"/>
  </r>
  <r>
    <s v="ODR00059"/>
    <d v="2024-09-09T00:00:00"/>
    <s v="Ishaan Mehta"/>
    <x v="3"/>
    <s v="Pune"/>
    <s v="Office Supplies"/>
    <s v="Pen"/>
    <s v="Pen - Office Supplies"/>
    <x v="58"/>
    <n v="7"/>
    <n v="2"/>
    <n v="591.73"/>
    <s v="Returned"/>
    <s v="UPI"/>
    <s v="09-2024"/>
    <x v="1"/>
    <x v="58"/>
    <s v="Profit"/>
    <s v="Low (1-10%)"/>
  </r>
  <r>
    <s v="ODR00060"/>
    <d v="2024-08-13T00:00:00"/>
    <s v="Tanishq Ghosh"/>
    <x v="0"/>
    <s v="Bhubaneswar"/>
    <s v="Furniture"/>
    <s v="Table"/>
    <s v="Table - Furniture"/>
    <x v="59"/>
    <n v="1"/>
    <n v="19"/>
    <n v="53.76"/>
    <s v="Returned"/>
    <s v="UPI"/>
    <s v="08-2024"/>
    <x v="1"/>
    <x v="59"/>
    <s v="Profit"/>
    <s v="Mid (11-20%)"/>
  </r>
  <r>
    <s v="ODR00061"/>
    <d v="2025-05-07T00:00:00"/>
    <s v="Ishaan Mehta"/>
    <x v="0"/>
    <s v="Bhubaneswar"/>
    <s v="Office Supplies"/>
    <s v="Pen"/>
    <s v="Pen - Office Supplies"/>
    <x v="60"/>
    <n v="1"/>
    <n v="16"/>
    <n v="182.97"/>
    <s v="In Transit"/>
    <s v="UPI"/>
    <s v="05-2025"/>
    <x v="0"/>
    <x v="60"/>
    <s v="Profit"/>
    <s v="Mid (11-20%)"/>
  </r>
  <r>
    <s v="ODR00062"/>
    <d v="2025-02-12T00:00:00"/>
    <s v="Vivaan Shah"/>
    <x v="2"/>
    <s v="Hyderabad"/>
    <s v="Office Supplies"/>
    <s v="Stapler"/>
    <s v="Stapler - Office Supplies"/>
    <x v="61"/>
    <n v="2"/>
    <n v="22"/>
    <n v="216.71"/>
    <s v="In Transit"/>
    <s v="Net Banking"/>
    <s v="02-2025"/>
    <x v="0"/>
    <x v="61"/>
    <s v="Profit"/>
    <s v="High (&gt;20%)"/>
  </r>
  <r>
    <s v="ODR00063"/>
    <d v="2025-05-11T00:00:00"/>
    <s v="Riya Kapoor"/>
    <x v="0"/>
    <s v="Kolkata"/>
    <s v="Office Supplies"/>
    <s v="Envelope"/>
    <s v="Envelope - Office Supplies"/>
    <x v="62"/>
    <n v="7"/>
    <n v="5"/>
    <n v="2799.04"/>
    <s v="In Transit"/>
    <s v="Credit Card"/>
    <s v="05-2025"/>
    <x v="0"/>
    <x v="62"/>
    <s v="Profit"/>
    <s v="Low (1-10%)"/>
  </r>
  <r>
    <s v="ODR00064"/>
    <d v="2024-08-27T00:00:00"/>
    <s v="Meera Joshi"/>
    <x v="0"/>
    <s v="Patna"/>
    <s v="Office Supplies"/>
    <s v="Notebook"/>
    <s v="Notebook - Office Supplies"/>
    <x v="63"/>
    <n v="7"/>
    <n v="23"/>
    <n v="727.68"/>
    <s v="In Transit"/>
    <s v="Credit Card"/>
    <s v="08-2024"/>
    <x v="1"/>
    <x v="63"/>
    <s v="Profit"/>
    <s v="High (&gt;20%)"/>
  </r>
  <r>
    <s v="ODR00065"/>
    <d v="2025-05-06T00:00:00"/>
    <s v="Tanishq Ghosh"/>
    <x v="2"/>
    <s v="Chennai"/>
    <s v="Technology"/>
    <s v="Mobile"/>
    <s v="Mobile - Technology"/>
    <x v="64"/>
    <n v="9"/>
    <n v="28"/>
    <n v="1104.03"/>
    <s v="Delivered"/>
    <s v="Net Banking"/>
    <s v="05-2025"/>
    <x v="0"/>
    <x v="64"/>
    <s v="Profit"/>
    <s v="High (&gt;20%)"/>
  </r>
  <r>
    <s v="ODR00066"/>
    <d v="2024-11-15T00:00:00"/>
    <s v="Meera Joshi"/>
    <x v="2"/>
    <s v="Chennai"/>
    <s v="Furniture"/>
    <s v="Chair"/>
    <s v="Chair - Furniture"/>
    <x v="65"/>
    <n v="8"/>
    <n v="4"/>
    <n v="703.64"/>
    <s v="Returned"/>
    <s v="UPI"/>
    <s v="11-2024"/>
    <x v="1"/>
    <x v="65"/>
    <s v="Profit"/>
    <s v="Low (1-10%)"/>
  </r>
  <r>
    <s v="ODR00067"/>
    <d v="2024-09-06T00:00:00"/>
    <s v="Saanvi Iyer"/>
    <x v="1"/>
    <s v="Chandigarh"/>
    <s v="Office Supplies"/>
    <s v="Pen"/>
    <s v="Pen - Office Supplies"/>
    <x v="66"/>
    <n v="9"/>
    <n v="17"/>
    <n v="163.01"/>
    <s v="Returned"/>
    <s v="Net Banking"/>
    <s v="09-2024"/>
    <x v="1"/>
    <x v="66"/>
    <s v="Profit"/>
    <s v="Mid (11-20%)"/>
  </r>
  <r>
    <s v="ODR00068"/>
    <d v="2024-10-18T00:00:00"/>
    <s v="Saanvi Iyer"/>
    <x v="0"/>
    <s v="Bhubaneswar"/>
    <s v="Office Supplies"/>
    <s v="Stapler"/>
    <s v="Stapler - Office Supplies"/>
    <x v="67"/>
    <n v="6"/>
    <n v="6"/>
    <n v="2435.79"/>
    <s v="Delivered"/>
    <s v="Net Banking"/>
    <s v="10-2024"/>
    <x v="1"/>
    <x v="67"/>
    <s v="Profit"/>
    <s v="Low (1-10%)"/>
  </r>
  <r>
    <s v="ODR00069"/>
    <d v="2025-03-14T00:00:00"/>
    <s v="Meera Joshi"/>
    <x v="0"/>
    <s v="Patna"/>
    <s v="Furniture"/>
    <s v="Table"/>
    <s v="Table - Furniture"/>
    <x v="68"/>
    <n v="2"/>
    <n v="25"/>
    <n v="578.44000000000005"/>
    <s v="Delivered"/>
    <s v="Credit Card"/>
    <s v="03-2025"/>
    <x v="0"/>
    <x v="68"/>
    <s v="Profit"/>
    <s v="High (&gt;20%)"/>
  </r>
  <r>
    <s v="ODR00070"/>
    <d v="2024-11-07T00:00:00"/>
    <s v="Ishaan Mehta"/>
    <x v="0"/>
    <s v="Kolkata"/>
    <s v="Office Supplies"/>
    <s v="Notebook"/>
    <s v="Notebook - Office Supplies"/>
    <x v="69"/>
    <n v="6"/>
    <n v="24"/>
    <n v="873.92"/>
    <s v="In Transit"/>
    <s v="Net Banking"/>
    <s v="11-2024"/>
    <x v="1"/>
    <x v="69"/>
    <s v="Profit"/>
    <s v="High (&gt;20%)"/>
  </r>
  <r>
    <s v="ODR00071"/>
    <d v="2024-08-14T00:00:00"/>
    <s v="Anaya Singh"/>
    <x v="2"/>
    <s v="Bangalore"/>
    <s v="Technology"/>
    <s v="Laptop"/>
    <s v="Laptop - Technology"/>
    <x v="70"/>
    <n v="3"/>
    <n v="16"/>
    <n v="335.06"/>
    <s v="Delivered"/>
    <s v="Credit Card"/>
    <s v="08-2024"/>
    <x v="1"/>
    <x v="70"/>
    <s v="Profit"/>
    <s v="Mid (11-20%)"/>
  </r>
  <r>
    <s v="ODR00072"/>
    <d v="2025-03-04T00:00:00"/>
    <s v="Vivaan Shah"/>
    <x v="1"/>
    <s v="Delhi"/>
    <s v="Technology"/>
    <s v="Printer"/>
    <s v="Printer - Technology"/>
    <x v="71"/>
    <n v="2"/>
    <n v="1"/>
    <n v="248.33"/>
    <s v="Delivered"/>
    <s v="Credit Card"/>
    <s v="03-2025"/>
    <x v="0"/>
    <x v="71"/>
    <s v="Profit"/>
    <s v="Low (1-10%)"/>
  </r>
  <r>
    <s v="ODR00073"/>
    <d v="2025-04-21T00:00:00"/>
    <s v="Arjun Verma"/>
    <x v="2"/>
    <s v="Bangalore"/>
    <s v="Furniture"/>
    <s v="Sofa"/>
    <s v="Sofa - Furniture"/>
    <x v="72"/>
    <n v="6"/>
    <n v="13"/>
    <n v="636.80999999999995"/>
    <s v="Returned"/>
    <s v="Credit Card"/>
    <s v="04-2025"/>
    <x v="0"/>
    <x v="72"/>
    <s v="Profit"/>
    <s v="Mid (11-20%)"/>
  </r>
  <r>
    <s v="ODR00074"/>
    <d v="2024-06-22T00:00:00"/>
    <s v="Kabir Nair"/>
    <x v="2"/>
    <s v="Chennai"/>
    <s v="Technology"/>
    <s v="Tablet"/>
    <s v="Tablet - Technology"/>
    <x v="73"/>
    <n v="5"/>
    <n v="13"/>
    <n v="1479.7"/>
    <s v="Returned"/>
    <s v="Cash"/>
    <s v="06-2024"/>
    <x v="1"/>
    <x v="73"/>
    <s v="Profit"/>
    <s v="Mid (11-20%)"/>
  </r>
  <r>
    <s v="ODR00075"/>
    <d v="2025-05-04T00:00:00"/>
    <s v="Riya Kapoor"/>
    <x v="3"/>
    <s v="Indore"/>
    <s v="Technology"/>
    <s v="Printer"/>
    <s v="Printer - Technology"/>
    <x v="74"/>
    <n v="2"/>
    <n v="26"/>
    <n v="229.33"/>
    <s v="Delivered"/>
    <s v="Credit Card"/>
    <s v="05-2025"/>
    <x v="0"/>
    <x v="74"/>
    <s v="Profit"/>
    <s v="High (&gt;20%)"/>
  </r>
  <r>
    <s v="ODR00076"/>
    <d v="2024-10-12T00:00:00"/>
    <s v="Diya Sharma"/>
    <x v="2"/>
    <s v="Chennai"/>
    <s v="Office Supplies"/>
    <s v="Envelope"/>
    <s v="Envelope - Office Supplies"/>
    <x v="75"/>
    <n v="1"/>
    <n v="10"/>
    <n v="39.58"/>
    <s v="Returned"/>
    <s v="Credit Card"/>
    <s v="10-2024"/>
    <x v="1"/>
    <x v="75"/>
    <s v="Profit"/>
    <s v="Low (1-10%)"/>
  </r>
  <r>
    <s v="ODR00077"/>
    <d v="2025-03-19T00:00:00"/>
    <s v="Kriti Desai"/>
    <x v="3"/>
    <s v="Ahmedabad"/>
    <s v="Technology"/>
    <s v="Tablet"/>
    <s v="Tablet - Technology"/>
    <x v="76"/>
    <n v="9"/>
    <n v="24"/>
    <n v="1635.16"/>
    <s v="Delivered"/>
    <s v="Credit Card"/>
    <s v="03-2025"/>
    <x v="0"/>
    <x v="76"/>
    <s v="Profit"/>
    <s v="High (&gt;20%)"/>
  </r>
  <r>
    <s v="ODR00078"/>
    <d v="2025-01-07T00:00:00"/>
    <s v="Saanvi Iyer"/>
    <x v="1"/>
    <s v="Delhi"/>
    <s v="Furniture"/>
    <s v="Table"/>
    <s v="Table - Furniture"/>
    <x v="77"/>
    <n v="6"/>
    <n v="26"/>
    <n v="1590.24"/>
    <s v="Delivered"/>
    <s v="Credit Card"/>
    <s v="01-2025"/>
    <x v="0"/>
    <x v="77"/>
    <s v="Profit"/>
    <s v="High (&gt;20%)"/>
  </r>
  <r>
    <s v="ODR00079"/>
    <d v="2025-04-27T00:00:00"/>
    <s v="Sneha Reddy"/>
    <x v="3"/>
    <s v="Indore"/>
    <s v="Furniture"/>
    <s v="Cupboard"/>
    <s v="Cupboard - Furniture"/>
    <x v="78"/>
    <n v="8"/>
    <n v="23"/>
    <n v="1162.69"/>
    <s v="Returned"/>
    <s v="Credit Card"/>
    <s v="04-2025"/>
    <x v="0"/>
    <x v="78"/>
    <s v="Profit"/>
    <s v="High (&gt;20%)"/>
  </r>
  <r>
    <s v="ODR00080"/>
    <d v="2024-11-27T00:00:00"/>
    <s v="Tanishq Ghosh"/>
    <x v="2"/>
    <s v="Hyderabad"/>
    <s v="Technology"/>
    <s v="Laptop"/>
    <s v="Laptop - Technology"/>
    <x v="79"/>
    <n v="6"/>
    <n v="0"/>
    <n v="914.67"/>
    <s v="In Transit"/>
    <s v="UPI"/>
    <s v="11-2024"/>
    <x v="1"/>
    <x v="79"/>
    <s v="Profit"/>
    <s v="No Discount"/>
  </r>
  <r>
    <s v="ODR00081"/>
    <d v="2024-07-01T00:00:00"/>
    <s v="Riya Kapoor"/>
    <x v="1"/>
    <s v="Jaipur"/>
    <s v="Furniture"/>
    <s v="Chair"/>
    <s v="Chair - Furniture"/>
    <x v="80"/>
    <n v="8"/>
    <n v="27"/>
    <n v="630.78"/>
    <s v="Returned"/>
    <s v="Cash"/>
    <s v="07-2024"/>
    <x v="1"/>
    <x v="80"/>
    <s v="Profit"/>
    <s v="High (&gt;20%)"/>
  </r>
  <r>
    <s v="ODR00082"/>
    <d v="2024-09-05T00:00:00"/>
    <s v="Yuvraj Chauhan"/>
    <x v="2"/>
    <s v="Bangalore"/>
    <s v="Technology"/>
    <s v="Mobile"/>
    <s v="Mobile - Technology"/>
    <x v="81"/>
    <n v="9"/>
    <n v="11"/>
    <n v="803.43"/>
    <s v="In Transit"/>
    <s v="Net Banking"/>
    <s v="09-2024"/>
    <x v="1"/>
    <x v="81"/>
    <s v="Profit"/>
    <s v="Mid (11-20%)"/>
  </r>
  <r>
    <s v="ODR00083"/>
    <d v="2024-12-03T00:00:00"/>
    <s v="Kabir Nair"/>
    <x v="3"/>
    <s v="Mumbai"/>
    <s v="Technology"/>
    <s v="Printer"/>
    <s v="Printer - Technology"/>
    <x v="82"/>
    <n v="8"/>
    <n v="29"/>
    <n v="1135.76"/>
    <s v="Delivered"/>
    <s v="Credit Card"/>
    <s v="12-2024"/>
    <x v="1"/>
    <x v="82"/>
    <s v="Profit"/>
    <s v="High (&gt;20%)"/>
  </r>
  <r>
    <s v="ODR00084"/>
    <d v="2025-01-03T00:00:00"/>
    <s v="Riya Kapoor"/>
    <x v="1"/>
    <s v="Jaipur"/>
    <s v="Office Supplies"/>
    <s v="Stapler"/>
    <s v="Stapler - Office Supplies"/>
    <x v="83"/>
    <n v="7"/>
    <n v="10"/>
    <n v="768.8"/>
    <s v="In Transit"/>
    <s v="Net Banking"/>
    <s v="01-2025"/>
    <x v="0"/>
    <x v="83"/>
    <s v="Profit"/>
    <s v="Low (1-10%)"/>
  </r>
  <r>
    <s v="ODR00085"/>
    <d v="2024-07-06T00:00:00"/>
    <s v="Ishaan Mehta"/>
    <x v="0"/>
    <s v="Bhubaneswar"/>
    <s v="Technology"/>
    <s v="Tablet"/>
    <s v="Tablet - Technology"/>
    <x v="84"/>
    <n v="8"/>
    <n v="21"/>
    <n v="1574.18"/>
    <s v="Delivered"/>
    <s v="UPI"/>
    <s v="07-2024"/>
    <x v="1"/>
    <x v="84"/>
    <s v="Profit"/>
    <s v="High (&gt;20%)"/>
  </r>
  <r>
    <s v="ODR00086"/>
    <d v="2025-01-10T00:00:00"/>
    <s v="Saanvi Iyer"/>
    <x v="3"/>
    <s v="Indore"/>
    <s v="Furniture"/>
    <s v="Cupboard"/>
    <s v="Cupboard - Furniture"/>
    <x v="85"/>
    <n v="10"/>
    <n v="26"/>
    <n v="788.7"/>
    <s v="Delivered"/>
    <s v="Cash"/>
    <s v="01-2025"/>
    <x v="0"/>
    <x v="85"/>
    <s v="Profit"/>
    <s v="High (&gt;20%)"/>
  </r>
  <r>
    <s v="ODR00087"/>
    <d v="2024-08-06T00:00:00"/>
    <s v="Kabir Nair"/>
    <x v="3"/>
    <s v="Mumbai"/>
    <s v="Technology"/>
    <s v="Laptop"/>
    <s v="Laptop - Technology"/>
    <x v="86"/>
    <n v="6"/>
    <n v="10"/>
    <n v="530.79999999999995"/>
    <s v="In Transit"/>
    <s v="UPI"/>
    <s v="08-2024"/>
    <x v="1"/>
    <x v="86"/>
    <s v="Profit"/>
    <s v="Low (1-10%)"/>
  </r>
  <r>
    <s v="ODR00088"/>
    <d v="2024-07-18T00:00:00"/>
    <s v="Yuvraj Chauhan"/>
    <x v="3"/>
    <s v="Pune"/>
    <s v="Office Supplies"/>
    <s v="Envelope"/>
    <s v="Envelope - Office Supplies"/>
    <x v="87"/>
    <n v="9"/>
    <n v="21"/>
    <n v="800.58"/>
    <s v="Returned"/>
    <s v="Credit Card"/>
    <s v="07-2024"/>
    <x v="1"/>
    <x v="87"/>
    <s v="Profit"/>
    <s v="High (&gt;20%)"/>
  </r>
  <r>
    <s v="ODR00089"/>
    <d v="2024-09-25T00:00:00"/>
    <s v="Arjun Verma"/>
    <x v="3"/>
    <s v="Ahmedabad"/>
    <s v="Technology"/>
    <s v="Mobile"/>
    <s v="Mobile - Technology"/>
    <x v="88"/>
    <n v="9"/>
    <n v="20"/>
    <n v="2876.37"/>
    <s v="In Transit"/>
    <s v="Cash"/>
    <s v="09-2024"/>
    <x v="1"/>
    <x v="88"/>
    <s v="Profit"/>
    <s v="Mid (11-20%)"/>
  </r>
  <r>
    <s v="ODR00090"/>
    <d v="2024-06-25T00:00:00"/>
    <s v="Vivaan Shah"/>
    <x v="0"/>
    <s v="Kolkata"/>
    <s v="Furniture"/>
    <s v="Sofa"/>
    <s v="Sofa - Furniture"/>
    <x v="89"/>
    <n v="10"/>
    <n v="1"/>
    <n v="1794.61"/>
    <s v="Returned"/>
    <s v="Cash"/>
    <s v="06-2024"/>
    <x v="1"/>
    <x v="89"/>
    <s v="Profit"/>
    <s v="Low (1-10%)"/>
  </r>
  <r>
    <s v="ODR00091"/>
    <d v="2024-11-19T00:00:00"/>
    <s v="Arjun Verma"/>
    <x v="0"/>
    <s v="Kolkata"/>
    <s v="Office Supplies"/>
    <s v="Stapler"/>
    <s v="Stapler - Office Supplies"/>
    <x v="90"/>
    <n v="6"/>
    <n v="11"/>
    <n v="895.16"/>
    <s v="Delivered"/>
    <s v="UPI"/>
    <s v="11-2024"/>
    <x v="1"/>
    <x v="90"/>
    <s v="Profit"/>
    <s v="Mid (11-20%)"/>
  </r>
  <r>
    <s v="ODR00092"/>
    <d v="2025-02-04T00:00:00"/>
    <s v="Diya Sharma"/>
    <x v="0"/>
    <s v="Patna"/>
    <s v="Technology"/>
    <s v="Printer"/>
    <s v="Printer - Technology"/>
    <x v="91"/>
    <n v="5"/>
    <n v="17"/>
    <n v="853.27"/>
    <s v="In Transit"/>
    <s v="Net Banking"/>
    <s v="02-2025"/>
    <x v="0"/>
    <x v="91"/>
    <s v="Profit"/>
    <s v="Mid (11-20%)"/>
  </r>
  <r>
    <s v="ODR00093"/>
    <d v="2024-11-26T00:00:00"/>
    <s v="Krishna Das"/>
    <x v="0"/>
    <s v="Kolkata"/>
    <s v="Furniture"/>
    <s v="Chair"/>
    <s v="Chair - Furniture"/>
    <x v="92"/>
    <n v="8"/>
    <n v="4"/>
    <n v="1093.22"/>
    <s v="Delivered"/>
    <s v="Net Banking"/>
    <s v="11-2024"/>
    <x v="1"/>
    <x v="92"/>
    <s v="Profit"/>
    <s v="Low (1-10%)"/>
  </r>
  <r>
    <s v="ODR00094"/>
    <d v="2025-04-01T00:00:00"/>
    <s v="Saanvi Iyer"/>
    <x v="0"/>
    <s v="Bhubaneswar"/>
    <s v="Office Supplies"/>
    <s v="Stapler"/>
    <s v="Stapler - Office Supplies"/>
    <x v="93"/>
    <n v="9"/>
    <n v="8"/>
    <n v="3526.58"/>
    <s v="In Transit"/>
    <s v="Net Banking"/>
    <s v="04-2025"/>
    <x v="0"/>
    <x v="93"/>
    <s v="Profit"/>
    <s v="Low (1-10%)"/>
  </r>
  <r>
    <s v="ODR00095"/>
    <d v="2025-04-05T00:00:00"/>
    <s v="Arjun Verma"/>
    <x v="3"/>
    <s v="Indore"/>
    <s v="Technology"/>
    <s v="Tablet"/>
    <s v="Tablet - Technology"/>
    <x v="94"/>
    <n v="7"/>
    <n v="2"/>
    <n v="2263.8200000000002"/>
    <s v="Returned"/>
    <s v="Net Banking"/>
    <s v="04-2025"/>
    <x v="0"/>
    <x v="94"/>
    <s v="Profit"/>
    <s v="Low (1-10%)"/>
  </r>
  <r>
    <s v="ODR00096"/>
    <d v="2024-06-11T00:00:00"/>
    <s v="Kriti Desai"/>
    <x v="3"/>
    <s v="Mumbai"/>
    <s v="Technology"/>
    <s v="Mobile"/>
    <s v="Mobile - Technology"/>
    <x v="95"/>
    <n v="2"/>
    <n v="3"/>
    <n v="28.55"/>
    <s v="Delivered"/>
    <s v="UPI"/>
    <s v="06-2024"/>
    <x v="1"/>
    <x v="95"/>
    <s v="Profit"/>
    <s v="Low (1-10%)"/>
  </r>
  <r>
    <s v="ODR00097"/>
    <d v="2024-09-25T00:00:00"/>
    <s v="Kriti Desai"/>
    <x v="0"/>
    <s v="Kolkata"/>
    <s v="Technology"/>
    <s v="Tablet"/>
    <s v="Tablet - Technology"/>
    <x v="96"/>
    <n v="2"/>
    <n v="9"/>
    <n v="40.450000000000003"/>
    <s v="In Transit"/>
    <s v="Net Banking"/>
    <s v="09-2024"/>
    <x v="1"/>
    <x v="96"/>
    <s v="Profit"/>
    <s v="Low (1-10%)"/>
  </r>
  <r>
    <s v="ODR00098"/>
    <d v="2024-07-06T00:00:00"/>
    <s v="Diya Sharma"/>
    <x v="2"/>
    <s v="Hyderabad"/>
    <s v="Furniture"/>
    <s v="Chair"/>
    <s v="Chair - Furniture"/>
    <x v="97"/>
    <n v="3"/>
    <n v="5"/>
    <n v="366.61"/>
    <s v="In Transit"/>
    <s v="UPI"/>
    <s v="07-2024"/>
    <x v="1"/>
    <x v="97"/>
    <s v="Profit"/>
    <s v="Low (1-10%)"/>
  </r>
  <r>
    <s v="ODR00099"/>
    <d v="2024-05-15T00:00:00"/>
    <s v="Tanishq Ghosh"/>
    <x v="1"/>
    <s v="Lucknow"/>
    <s v="Furniture"/>
    <s v="Chair"/>
    <s v="Chair - Furniture"/>
    <x v="98"/>
    <n v="9"/>
    <n v="19"/>
    <n v="1210.18"/>
    <s v="Returned"/>
    <s v="UPI"/>
    <s v="05-2024"/>
    <x v="1"/>
    <x v="98"/>
    <s v="Profit"/>
    <s v="Mid (11-20%)"/>
  </r>
  <r>
    <s v="ODR00100"/>
    <d v="2024-05-31T00:00:00"/>
    <s v="Saanvi Iyer"/>
    <x v="0"/>
    <s v="Patna"/>
    <s v="Technology"/>
    <s v="Laptop"/>
    <s v="Laptop - Technology"/>
    <x v="99"/>
    <n v="8"/>
    <n v="22"/>
    <n v="1095.97"/>
    <s v="In Transit"/>
    <s v="Net Banking"/>
    <s v="05-2024"/>
    <x v="1"/>
    <x v="99"/>
    <s v="Profit"/>
    <s v="High (&gt;20%)"/>
  </r>
  <r>
    <s v="ODR00101"/>
    <d v="2024-12-13T00:00:00"/>
    <s v="Kriti Desai"/>
    <x v="0"/>
    <s v="Bhubaneswar"/>
    <s v="Office Supplies"/>
    <s v="Stapler"/>
    <s v="Stapler - Office Supplies"/>
    <x v="100"/>
    <n v="10"/>
    <n v="15"/>
    <n v="2302.3000000000002"/>
    <s v="Delivered"/>
    <s v="Cash"/>
    <s v="12-2024"/>
    <x v="1"/>
    <x v="100"/>
    <s v="Profit"/>
    <s v="Mid (11-20%)"/>
  </r>
  <r>
    <s v="ODR00102"/>
    <d v="2024-07-28T00:00:00"/>
    <s v="Yuvraj Chauhan"/>
    <x v="1"/>
    <s v="Lucknow"/>
    <s v="Technology"/>
    <s v="Tablet"/>
    <s v="Tablet - Technology"/>
    <x v="101"/>
    <n v="1"/>
    <n v="20"/>
    <n v="167.76"/>
    <s v="In Transit"/>
    <s v="Net Banking"/>
    <s v="07-2024"/>
    <x v="1"/>
    <x v="101"/>
    <s v="Profit"/>
    <s v="Mid (11-20%)"/>
  </r>
  <r>
    <s v="ODR00103"/>
    <d v="2025-03-14T00:00:00"/>
    <s v="Aarav Patel"/>
    <x v="3"/>
    <s v="Nagpur"/>
    <s v="Technology"/>
    <s v="Printer"/>
    <s v="Printer - Technology"/>
    <x v="102"/>
    <n v="1"/>
    <n v="27"/>
    <n v="34.909999999999997"/>
    <s v="Returned"/>
    <s v="Credit Card"/>
    <s v="03-2025"/>
    <x v="0"/>
    <x v="102"/>
    <s v="Profit"/>
    <s v="High (&gt;20%)"/>
  </r>
  <r>
    <s v="ODR00104"/>
    <d v="2025-04-29T00:00:00"/>
    <s v="Aarav Patel"/>
    <x v="0"/>
    <s v="Patna"/>
    <s v="Technology"/>
    <s v="Tablet"/>
    <s v="Tablet - Technology"/>
    <x v="103"/>
    <n v="10"/>
    <n v="5"/>
    <n v="461.1"/>
    <s v="Delivered"/>
    <s v="Cash"/>
    <s v="04-2025"/>
    <x v="0"/>
    <x v="103"/>
    <s v="Profit"/>
    <s v="Low (1-10%)"/>
  </r>
  <r>
    <s v="ODR00105"/>
    <d v="2025-03-20T00:00:00"/>
    <s v="Tanishq Ghosh"/>
    <x v="2"/>
    <s v="Chennai"/>
    <s v="Furniture"/>
    <s v="Chair"/>
    <s v="Chair - Furniture"/>
    <x v="104"/>
    <n v="3"/>
    <n v="26"/>
    <n v="466.16"/>
    <s v="In Transit"/>
    <s v="Credit Card"/>
    <s v="03-2025"/>
    <x v="0"/>
    <x v="104"/>
    <s v="Profit"/>
    <s v="High (&gt;20%)"/>
  </r>
  <r>
    <s v="ODR00106"/>
    <d v="2024-07-08T00:00:00"/>
    <s v="Tanishq Ghosh"/>
    <x v="0"/>
    <s v="Bhubaneswar"/>
    <s v="Office Supplies"/>
    <s v="Envelope"/>
    <s v="Envelope - Office Supplies"/>
    <x v="105"/>
    <n v="3"/>
    <n v="8"/>
    <n v="123.05"/>
    <s v="Returned"/>
    <s v="UPI"/>
    <s v="07-2024"/>
    <x v="1"/>
    <x v="105"/>
    <s v="Profit"/>
    <s v="Low (1-10%)"/>
  </r>
  <r>
    <s v="ODR00107"/>
    <d v="2024-12-06T00:00:00"/>
    <s v="Yuvraj Chauhan"/>
    <x v="0"/>
    <s v="Kolkata"/>
    <s v="Furniture"/>
    <s v="Sofa"/>
    <s v="Sofa - Furniture"/>
    <x v="106"/>
    <n v="8"/>
    <n v="24"/>
    <n v="1510"/>
    <s v="In Transit"/>
    <s v="Credit Card"/>
    <s v="12-2024"/>
    <x v="1"/>
    <x v="106"/>
    <s v="Profit"/>
    <s v="High (&gt;20%)"/>
  </r>
  <r>
    <s v="ODR00108"/>
    <d v="2025-04-17T00:00:00"/>
    <s v="Diya Sharma"/>
    <x v="2"/>
    <s v="Bangalore"/>
    <s v="Technology"/>
    <s v="Tablet"/>
    <s v="Tablet - Technology"/>
    <x v="107"/>
    <n v="10"/>
    <n v="3"/>
    <n v="1412.01"/>
    <s v="In Transit"/>
    <s v="Credit Card"/>
    <s v="04-2025"/>
    <x v="0"/>
    <x v="107"/>
    <s v="Profit"/>
    <s v="Low (1-10%)"/>
  </r>
  <r>
    <s v="ODR00109"/>
    <d v="2024-08-13T00:00:00"/>
    <s v="Meera Joshi"/>
    <x v="1"/>
    <s v="Jaipur"/>
    <s v="Technology"/>
    <s v="Laptop"/>
    <s v="Laptop - Technology"/>
    <x v="108"/>
    <n v="5"/>
    <n v="8"/>
    <n v="372.97"/>
    <s v="Delivered"/>
    <s v="Credit Card"/>
    <s v="08-2024"/>
    <x v="1"/>
    <x v="108"/>
    <s v="Profit"/>
    <s v="Low (1-10%)"/>
  </r>
  <r>
    <s v="ODR00110"/>
    <d v="2024-09-13T00:00:00"/>
    <s v="Arjun Verma"/>
    <x v="2"/>
    <s v="Hyderabad"/>
    <s v="Technology"/>
    <s v="Printer"/>
    <s v="Printer - Technology"/>
    <x v="109"/>
    <n v="6"/>
    <n v="7.0000000000000009"/>
    <n v="1226.27"/>
    <s v="In Transit"/>
    <s v="Credit Card"/>
    <s v="09-2024"/>
    <x v="1"/>
    <x v="109"/>
    <s v="Profit"/>
    <s v="Low (1-10%)"/>
  </r>
  <r>
    <s v="ODR00111"/>
    <d v="2025-02-05T00:00:00"/>
    <s v="Saanvi Iyer"/>
    <x v="3"/>
    <s v="Pune"/>
    <s v="Office Supplies"/>
    <s v="Envelope"/>
    <s v="Envelope - Office Supplies"/>
    <x v="110"/>
    <n v="6"/>
    <n v="2"/>
    <n v="1193.55"/>
    <s v="In Transit"/>
    <s v="Cash"/>
    <s v="02-2025"/>
    <x v="0"/>
    <x v="110"/>
    <s v="Profit"/>
    <s v="Low (1-10%)"/>
  </r>
  <r>
    <s v="ODR00112"/>
    <d v="2024-06-25T00:00:00"/>
    <s v="Tanishq Ghosh"/>
    <x v="3"/>
    <s v="Indore"/>
    <s v="Furniture"/>
    <s v="Sofa"/>
    <s v="Sofa - Furniture"/>
    <x v="111"/>
    <n v="7"/>
    <n v="3"/>
    <n v="266.68"/>
    <s v="Returned"/>
    <s v="Net Banking"/>
    <s v="06-2024"/>
    <x v="1"/>
    <x v="111"/>
    <s v="Profit"/>
    <s v="Low (1-10%)"/>
  </r>
  <r>
    <s v="ODR00113"/>
    <d v="2024-11-27T00:00:00"/>
    <s v="Saanvi Iyer"/>
    <x v="0"/>
    <s v="Bhubaneswar"/>
    <s v="Office Supplies"/>
    <s v="Envelope"/>
    <s v="Envelope - Office Supplies"/>
    <x v="112"/>
    <n v="6"/>
    <n v="17"/>
    <n v="603.82000000000005"/>
    <s v="Delivered"/>
    <s v="Net Banking"/>
    <s v="11-2024"/>
    <x v="1"/>
    <x v="112"/>
    <s v="Profit"/>
    <s v="Mid (11-20%)"/>
  </r>
  <r>
    <s v="ODR00114"/>
    <d v="2024-11-27T00:00:00"/>
    <s v="Saanvi Iyer"/>
    <x v="0"/>
    <s v="Patna"/>
    <s v="Furniture"/>
    <s v="Table"/>
    <s v="Table - Furniture"/>
    <x v="113"/>
    <n v="10"/>
    <n v="27"/>
    <n v="490.28"/>
    <s v="Delivered"/>
    <s v="Net Banking"/>
    <s v="11-2024"/>
    <x v="1"/>
    <x v="113"/>
    <s v="Profit"/>
    <s v="High (&gt;20%)"/>
  </r>
  <r>
    <s v="ODR00115"/>
    <d v="2024-10-24T00:00:00"/>
    <s v="Riya Kapoor"/>
    <x v="0"/>
    <s v="Kolkata"/>
    <s v="Technology"/>
    <s v="Printer"/>
    <s v="Printer - Technology"/>
    <x v="114"/>
    <n v="5"/>
    <n v="29"/>
    <n v="1264.71"/>
    <s v="Delivered"/>
    <s v="UPI"/>
    <s v="10-2024"/>
    <x v="1"/>
    <x v="114"/>
    <s v="Profit"/>
    <s v="High (&gt;20%)"/>
  </r>
  <r>
    <s v="ODR00116"/>
    <d v="2024-07-08T00:00:00"/>
    <s v="Ishaan Mehta"/>
    <x v="3"/>
    <s v="Nagpur"/>
    <s v="Technology"/>
    <s v="Mobile"/>
    <s v="Mobile - Technology"/>
    <x v="115"/>
    <n v="1"/>
    <n v="2"/>
    <n v="298.27"/>
    <s v="In Transit"/>
    <s v="Credit Card"/>
    <s v="07-2024"/>
    <x v="1"/>
    <x v="115"/>
    <s v="Profit"/>
    <s v="Low (1-10%)"/>
  </r>
  <r>
    <s v="ODR00117"/>
    <d v="2025-03-02T00:00:00"/>
    <s v="Anaya Singh"/>
    <x v="0"/>
    <s v="Kolkata"/>
    <s v="Furniture"/>
    <s v="Chair"/>
    <s v="Chair - Furniture"/>
    <x v="116"/>
    <n v="6"/>
    <n v="11"/>
    <n v="334.38"/>
    <s v="Returned"/>
    <s v="Net Banking"/>
    <s v="03-2025"/>
    <x v="0"/>
    <x v="116"/>
    <s v="Profit"/>
    <s v="Mid (11-20%)"/>
  </r>
  <r>
    <s v="ODR00118"/>
    <d v="2024-11-23T00:00:00"/>
    <s v="Kriti Desai"/>
    <x v="0"/>
    <s v="Kolkata"/>
    <s v="Office Supplies"/>
    <s v="Stapler"/>
    <s v="Stapler - Office Supplies"/>
    <x v="117"/>
    <n v="4"/>
    <n v="0"/>
    <n v="90.24"/>
    <s v="Delivered"/>
    <s v="Cash"/>
    <s v="11-2024"/>
    <x v="1"/>
    <x v="117"/>
    <s v="Profit"/>
    <s v="No Discount"/>
  </r>
  <r>
    <s v="ODR00119"/>
    <d v="2025-03-10T00:00:00"/>
    <s v="Aarav Patel"/>
    <x v="0"/>
    <s v="Bhubaneswar"/>
    <s v="Office Supplies"/>
    <s v="Notebook"/>
    <s v="Notebook - Office Supplies"/>
    <x v="118"/>
    <n v="4"/>
    <n v="10"/>
    <n v="90.69"/>
    <s v="In Transit"/>
    <s v="Credit Card"/>
    <s v="03-2025"/>
    <x v="0"/>
    <x v="118"/>
    <s v="Profit"/>
    <s v="Low (1-10%)"/>
  </r>
  <r>
    <s v="ODR00120"/>
    <d v="2025-05-06T00:00:00"/>
    <s v="Yuvraj Chauhan"/>
    <x v="3"/>
    <s v="Mumbai"/>
    <s v="Technology"/>
    <s v="Tablet"/>
    <s v="Tablet - Technology"/>
    <x v="119"/>
    <n v="8"/>
    <n v="6"/>
    <n v="170.82"/>
    <s v="Delivered"/>
    <s v="Credit Card"/>
    <s v="05-2025"/>
    <x v="0"/>
    <x v="119"/>
    <s v="Profit"/>
    <s v="Low (1-10%)"/>
  </r>
  <r>
    <s v="ODR00121"/>
    <d v="2025-04-30T00:00:00"/>
    <s v="Tanishq Ghosh"/>
    <x v="3"/>
    <s v="Ahmedabad"/>
    <s v="Furniture"/>
    <s v="Sofa"/>
    <s v="Sofa - Furniture"/>
    <x v="120"/>
    <n v="2"/>
    <n v="28"/>
    <n v="42.8"/>
    <s v="Delivered"/>
    <s v="UPI"/>
    <s v="04-2025"/>
    <x v="0"/>
    <x v="120"/>
    <s v="Profit"/>
    <s v="High (&gt;20%)"/>
  </r>
  <r>
    <s v="ODR00122"/>
    <d v="2025-04-27T00:00:00"/>
    <s v="Anaya Singh"/>
    <x v="2"/>
    <s v="Chennai"/>
    <s v="Technology"/>
    <s v="Printer"/>
    <s v="Printer - Technology"/>
    <x v="121"/>
    <n v="9"/>
    <n v="30"/>
    <n v="769.54"/>
    <s v="In Transit"/>
    <s v="Net Banking"/>
    <s v="04-2025"/>
    <x v="0"/>
    <x v="121"/>
    <s v="Profit"/>
    <s v="High (&gt;20%)"/>
  </r>
  <r>
    <s v="ODR00123"/>
    <d v="2024-07-02T00:00:00"/>
    <s v="Tanishq Ghosh"/>
    <x v="3"/>
    <s v="Pune"/>
    <s v="Technology"/>
    <s v="Mobile"/>
    <s v="Mobile - Technology"/>
    <x v="122"/>
    <n v="8"/>
    <n v="9"/>
    <n v="111.09"/>
    <s v="Returned"/>
    <s v="Net Banking"/>
    <s v="07-2024"/>
    <x v="1"/>
    <x v="122"/>
    <s v="Profit"/>
    <s v="Low (1-10%)"/>
  </r>
  <r>
    <s v="ODR00124"/>
    <d v="2024-09-11T00:00:00"/>
    <s v="Saanvi Iyer"/>
    <x v="3"/>
    <s v="Ahmedabad"/>
    <s v="Furniture"/>
    <s v="Table"/>
    <s v="Table - Furniture"/>
    <x v="123"/>
    <n v="4"/>
    <n v="4"/>
    <n v="1083.0999999999999"/>
    <s v="Delivered"/>
    <s v="Credit Card"/>
    <s v="09-2024"/>
    <x v="1"/>
    <x v="123"/>
    <s v="Profit"/>
    <s v="Low (1-10%)"/>
  </r>
  <r>
    <s v="ODR00125"/>
    <d v="2024-12-07T00:00:00"/>
    <s v="Vivaan Shah"/>
    <x v="0"/>
    <s v="Bhubaneswar"/>
    <s v="Furniture"/>
    <s v="Chair"/>
    <s v="Chair - Furniture"/>
    <x v="124"/>
    <n v="8"/>
    <n v="26"/>
    <n v="423.72"/>
    <s v="Returned"/>
    <s v="UPI"/>
    <s v="12-2024"/>
    <x v="1"/>
    <x v="124"/>
    <s v="Profit"/>
    <s v="High (&gt;20%)"/>
  </r>
  <r>
    <s v="ODR00126"/>
    <d v="2024-06-12T00:00:00"/>
    <s v="Arjun Verma"/>
    <x v="1"/>
    <s v="Delhi"/>
    <s v="Furniture"/>
    <s v="Chair"/>
    <s v="Chair - Furniture"/>
    <x v="125"/>
    <n v="1"/>
    <n v="26"/>
    <n v="114.02"/>
    <s v="In Transit"/>
    <s v="Credit Card"/>
    <s v="06-2024"/>
    <x v="1"/>
    <x v="125"/>
    <s v="Profit"/>
    <s v="High (&gt;20%)"/>
  </r>
  <r>
    <s v="ODR00127"/>
    <d v="2025-02-26T00:00:00"/>
    <s v="Kriti Desai"/>
    <x v="3"/>
    <s v="Nagpur"/>
    <s v="Furniture"/>
    <s v="Cupboard"/>
    <s v="Cupboard - Furniture"/>
    <x v="126"/>
    <n v="4"/>
    <n v="25"/>
    <n v="854.53"/>
    <s v="Returned"/>
    <s v="UPI"/>
    <s v="02-2025"/>
    <x v="0"/>
    <x v="126"/>
    <s v="Profit"/>
    <s v="High (&gt;20%)"/>
  </r>
  <r>
    <s v="ODR00128"/>
    <d v="2024-07-22T00:00:00"/>
    <s v="Diya Sharma"/>
    <x v="2"/>
    <s v="Bangalore"/>
    <s v="Furniture"/>
    <s v="Sofa"/>
    <s v="Sofa - Furniture"/>
    <x v="127"/>
    <n v="10"/>
    <n v="14"/>
    <n v="2378.5100000000002"/>
    <s v="Returned"/>
    <s v="UPI"/>
    <s v="07-2024"/>
    <x v="1"/>
    <x v="127"/>
    <s v="Profit"/>
    <s v="Mid (11-20%)"/>
  </r>
  <r>
    <s v="ODR00129"/>
    <d v="2025-01-09T00:00:00"/>
    <s v="Tanishq Ghosh"/>
    <x v="1"/>
    <s v="Chandigarh"/>
    <s v="Furniture"/>
    <s v="Chair"/>
    <s v="Chair - Furniture"/>
    <x v="128"/>
    <n v="6"/>
    <n v="21"/>
    <n v="758.29"/>
    <s v="Delivered"/>
    <s v="Cash"/>
    <s v="01-2025"/>
    <x v="0"/>
    <x v="128"/>
    <s v="Profit"/>
    <s v="High (&gt;20%)"/>
  </r>
  <r>
    <s v="ODR00130"/>
    <d v="2024-12-22T00:00:00"/>
    <s v="Yuvraj Chauhan"/>
    <x v="0"/>
    <s v="Patna"/>
    <s v="Technology"/>
    <s v="Tablet"/>
    <s v="Tablet - Technology"/>
    <x v="129"/>
    <n v="8"/>
    <n v="12"/>
    <n v="2716.89"/>
    <s v="Delivered"/>
    <s v="Credit Card"/>
    <s v="12-2024"/>
    <x v="1"/>
    <x v="129"/>
    <s v="Profit"/>
    <s v="Mid (11-20%)"/>
  </r>
  <r>
    <s v="ODR00131"/>
    <d v="2024-12-08T00:00:00"/>
    <s v="Arjun Verma"/>
    <x v="1"/>
    <s v="Jaipur"/>
    <s v="Furniture"/>
    <s v="Sofa"/>
    <s v="Sofa - Furniture"/>
    <x v="130"/>
    <n v="2"/>
    <n v="25"/>
    <n v="365.63"/>
    <s v="In Transit"/>
    <s v="Net Banking"/>
    <s v="12-2024"/>
    <x v="1"/>
    <x v="130"/>
    <s v="Profit"/>
    <s v="High (&gt;20%)"/>
  </r>
  <r>
    <s v="ODR00132"/>
    <d v="2024-09-29T00:00:00"/>
    <s v="Riya Kapoor"/>
    <x v="3"/>
    <s v="Pune"/>
    <s v="Office Supplies"/>
    <s v="Notebook"/>
    <s v="Notebook - Office Supplies"/>
    <x v="131"/>
    <n v="10"/>
    <n v="24"/>
    <n v="1486.94"/>
    <s v="Returned"/>
    <s v="Credit Card"/>
    <s v="09-2024"/>
    <x v="1"/>
    <x v="131"/>
    <s v="Profit"/>
    <s v="High (&gt;20%)"/>
  </r>
  <r>
    <s v="ODR00133"/>
    <d v="2025-04-04T00:00:00"/>
    <s v="Sneha Reddy"/>
    <x v="3"/>
    <s v="Indore"/>
    <s v="Office Supplies"/>
    <s v="Notebook"/>
    <s v="Notebook - Office Supplies"/>
    <x v="132"/>
    <n v="6"/>
    <n v="6"/>
    <n v="1499.91"/>
    <s v="Returned"/>
    <s v="Credit Card"/>
    <s v="04-2025"/>
    <x v="0"/>
    <x v="132"/>
    <s v="Profit"/>
    <s v="Low (1-10%)"/>
  </r>
  <r>
    <s v="ODR00134"/>
    <d v="2024-09-16T00:00:00"/>
    <s v="Riya Kapoor"/>
    <x v="3"/>
    <s v="Mumbai"/>
    <s v="Technology"/>
    <s v="Printer"/>
    <s v="Printer - Technology"/>
    <x v="133"/>
    <n v="7"/>
    <n v="5"/>
    <n v="961.58"/>
    <s v="In Transit"/>
    <s v="Net Banking"/>
    <s v="09-2024"/>
    <x v="1"/>
    <x v="133"/>
    <s v="Profit"/>
    <s v="Low (1-10%)"/>
  </r>
  <r>
    <s v="ODR00135"/>
    <d v="2024-08-10T00:00:00"/>
    <s v="Vivaan Shah"/>
    <x v="3"/>
    <s v="Indore"/>
    <s v="Technology"/>
    <s v="Tablet"/>
    <s v="Tablet - Technology"/>
    <x v="134"/>
    <n v="3"/>
    <n v="2"/>
    <n v="261.05"/>
    <s v="Returned"/>
    <s v="Cash"/>
    <s v="08-2024"/>
    <x v="1"/>
    <x v="134"/>
    <s v="Profit"/>
    <s v="Low (1-10%)"/>
  </r>
  <r>
    <s v="ODR00136"/>
    <d v="2024-09-01T00:00:00"/>
    <s v="Meera Joshi"/>
    <x v="0"/>
    <s v="Bhubaneswar"/>
    <s v="Technology"/>
    <s v="Mobile"/>
    <s v="Mobile - Technology"/>
    <x v="135"/>
    <n v="3"/>
    <n v="20"/>
    <n v="198.33"/>
    <s v="Delivered"/>
    <s v="Net Banking"/>
    <s v="09-2024"/>
    <x v="1"/>
    <x v="135"/>
    <s v="Profit"/>
    <s v="Mid (11-20%)"/>
  </r>
  <r>
    <s v="ODR00137"/>
    <d v="2024-12-20T00:00:00"/>
    <s v="Ishaan Mehta"/>
    <x v="1"/>
    <s v="Delhi"/>
    <s v="Office Supplies"/>
    <s v="Pen"/>
    <s v="Pen - Office Supplies"/>
    <x v="136"/>
    <n v="6"/>
    <n v="8"/>
    <n v="435.13"/>
    <s v="In Transit"/>
    <s v="UPI"/>
    <s v="12-2024"/>
    <x v="1"/>
    <x v="136"/>
    <s v="Profit"/>
    <s v="Low (1-10%)"/>
  </r>
  <r>
    <s v="ODR00138"/>
    <d v="2024-10-15T00:00:00"/>
    <s v="Arjun Verma"/>
    <x v="1"/>
    <s v="Jaipur"/>
    <s v="Furniture"/>
    <s v="Table"/>
    <s v="Table - Furniture"/>
    <x v="137"/>
    <n v="4"/>
    <n v="30"/>
    <n v="548.38"/>
    <s v="Delivered"/>
    <s v="Credit Card"/>
    <s v="10-2024"/>
    <x v="1"/>
    <x v="137"/>
    <s v="Profit"/>
    <s v="High (&gt;20%)"/>
  </r>
  <r>
    <s v="ODR00139"/>
    <d v="2024-11-26T00:00:00"/>
    <s v="Arjun Verma"/>
    <x v="0"/>
    <s v="Kolkata"/>
    <s v="Technology"/>
    <s v="Tablet"/>
    <s v="Tablet - Technology"/>
    <x v="138"/>
    <n v="3"/>
    <n v="29"/>
    <n v="26.51"/>
    <s v="Returned"/>
    <s v="Credit Card"/>
    <s v="11-2024"/>
    <x v="1"/>
    <x v="138"/>
    <s v="Profit"/>
    <s v="High (&gt;20%)"/>
  </r>
  <r>
    <s v="ODR00140"/>
    <d v="2025-01-28T00:00:00"/>
    <s v="Kriti Desai"/>
    <x v="3"/>
    <s v="Ahmedabad"/>
    <s v="Technology"/>
    <s v="Laptop"/>
    <s v="Laptop - Technology"/>
    <x v="139"/>
    <n v="1"/>
    <n v="28"/>
    <n v="124.44"/>
    <s v="Returned"/>
    <s v="Credit Card"/>
    <s v="01-2025"/>
    <x v="0"/>
    <x v="139"/>
    <s v="Profit"/>
    <s v="High (&gt;20%)"/>
  </r>
  <r>
    <s v="ODR00141"/>
    <d v="2024-10-31T00:00:00"/>
    <s v="Anaya Singh"/>
    <x v="2"/>
    <s v="Bangalore"/>
    <s v="Technology"/>
    <s v="Printer"/>
    <s v="Printer - Technology"/>
    <x v="140"/>
    <n v="2"/>
    <n v="30"/>
    <n v="64.290000000000006"/>
    <s v="In Transit"/>
    <s v="UPI"/>
    <s v="10-2024"/>
    <x v="1"/>
    <x v="140"/>
    <s v="Profit"/>
    <s v="High (&gt;20%)"/>
  </r>
  <r>
    <s v="ODR00142"/>
    <d v="2025-01-07T00:00:00"/>
    <s v="Sneha Reddy"/>
    <x v="2"/>
    <s v="Bangalore"/>
    <s v="Furniture"/>
    <s v="Table"/>
    <s v="Table - Furniture"/>
    <x v="141"/>
    <n v="9"/>
    <n v="22"/>
    <n v="508.45"/>
    <s v="Delivered"/>
    <s v="UPI"/>
    <s v="01-2025"/>
    <x v="0"/>
    <x v="141"/>
    <s v="Profit"/>
    <s v="High (&gt;20%)"/>
  </r>
  <r>
    <s v="ODR00143"/>
    <d v="2025-01-25T00:00:00"/>
    <s v="Aarav Patel"/>
    <x v="2"/>
    <s v="Bangalore"/>
    <s v="Technology"/>
    <s v="Mobile"/>
    <s v="Mobile - Technology"/>
    <x v="142"/>
    <n v="8"/>
    <n v="21"/>
    <n v="415.54"/>
    <s v="In Transit"/>
    <s v="UPI"/>
    <s v="01-2025"/>
    <x v="0"/>
    <x v="142"/>
    <s v="Profit"/>
    <s v="High (&gt;20%)"/>
  </r>
  <r>
    <s v="ODR00144"/>
    <d v="2024-08-16T00:00:00"/>
    <s v="Aarav Patel"/>
    <x v="2"/>
    <s v="Hyderabad"/>
    <s v="Technology"/>
    <s v="Tablet"/>
    <s v="Tablet - Technology"/>
    <x v="143"/>
    <n v="3"/>
    <n v="9"/>
    <n v="427.21"/>
    <s v="Returned"/>
    <s v="Cash"/>
    <s v="08-2024"/>
    <x v="1"/>
    <x v="143"/>
    <s v="Profit"/>
    <s v="Low (1-10%)"/>
  </r>
  <r>
    <s v="ODR00145"/>
    <d v="2024-11-01T00:00:00"/>
    <s v="Tanishq Ghosh"/>
    <x v="2"/>
    <s v="Bangalore"/>
    <s v="Furniture"/>
    <s v="Table"/>
    <s v="Table - Furniture"/>
    <x v="144"/>
    <n v="4"/>
    <n v="8"/>
    <n v="712.61"/>
    <s v="Returned"/>
    <s v="Cash"/>
    <s v="11-2024"/>
    <x v="1"/>
    <x v="144"/>
    <s v="Profit"/>
    <s v="Low (1-10%)"/>
  </r>
  <r>
    <s v="ODR00146"/>
    <d v="2025-02-02T00:00:00"/>
    <s v="Vivaan Shah"/>
    <x v="0"/>
    <s v="Bhubaneswar"/>
    <s v="Furniture"/>
    <s v="Chair"/>
    <s v="Chair - Furniture"/>
    <x v="145"/>
    <n v="6"/>
    <n v="18"/>
    <n v="1088.03"/>
    <s v="In Transit"/>
    <s v="Cash"/>
    <s v="02-2025"/>
    <x v="0"/>
    <x v="145"/>
    <s v="Profit"/>
    <s v="Mid (11-20%)"/>
  </r>
  <r>
    <s v="ODR00147"/>
    <d v="2024-06-21T00:00:00"/>
    <s v="Ishaan Mehta"/>
    <x v="0"/>
    <s v="Kolkata"/>
    <s v="Furniture"/>
    <s v="Table"/>
    <s v="Table - Furniture"/>
    <x v="146"/>
    <n v="8"/>
    <n v="4"/>
    <n v="426.32"/>
    <s v="In Transit"/>
    <s v="Credit Card"/>
    <s v="06-2024"/>
    <x v="1"/>
    <x v="146"/>
    <s v="Profit"/>
    <s v="Low (1-10%)"/>
  </r>
  <r>
    <s v="ODR00148"/>
    <d v="2025-02-16T00:00:00"/>
    <s v="Kabir Nair"/>
    <x v="0"/>
    <s v="Kolkata"/>
    <s v="Technology"/>
    <s v="Mobile"/>
    <s v="Mobile - Technology"/>
    <x v="147"/>
    <n v="7"/>
    <n v="18"/>
    <n v="1717.82"/>
    <s v="Returned"/>
    <s v="UPI"/>
    <s v="02-2025"/>
    <x v="0"/>
    <x v="147"/>
    <s v="Profit"/>
    <s v="Mid (11-20%)"/>
  </r>
  <r>
    <s v="ODR00149"/>
    <d v="2025-04-09T00:00:00"/>
    <s v="Kriti Desai"/>
    <x v="1"/>
    <s v="Delhi"/>
    <s v="Office Supplies"/>
    <s v="Stapler"/>
    <s v="Stapler - Office Supplies"/>
    <x v="148"/>
    <n v="6"/>
    <n v="16"/>
    <n v="221.69"/>
    <s v="In Transit"/>
    <s v="Net Banking"/>
    <s v="04-2025"/>
    <x v="0"/>
    <x v="148"/>
    <s v="Profit"/>
    <s v="Mid (11-20%)"/>
  </r>
  <r>
    <s v="ODR00150"/>
    <d v="2024-11-06T00:00:00"/>
    <s v="Aarav Patel"/>
    <x v="0"/>
    <s v="Bhubaneswar"/>
    <s v="Office Supplies"/>
    <s v="Notebook"/>
    <s v="Notebook - Office Supplies"/>
    <x v="149"/>
    <n v="3"/>
    <n v="25"/>
    <n v="486.14"/>
    <s v="In Transit"/>
    <s v="UPI"/>
    <s v="11-2024"/>
    <x v="1"/>
    <x v="149"/>
    <s v="Profit"/>
    <s v="High (&gt;20%)"/>
  </r>
  <r>
    <s v="ODR00151"/>
    <d v="2024-09-26T00:00:00"/>
    <s v="Kriti Desai"/>
    <x v="3"/>
    <s v="Nagpur"/>
    <s v="Furniture"/>
    <s v="Sofa"/>
    <s v="Sofa - Furniture"/>
    <x v="150"/>
    <n v="9"/>
    <n v="5"/>
    <n v="406.17"/>
    <s v="In Transit"/>
    <s v="Credit Card"/>
    <s v="09-2024"/>
    <x v="1"/>
    <x v="150"/>
    <s v="Profit"/>
    <s v="Low (1-10%)"/>
  </r>
  <r>
    <s v="ODR00152"/>
    <d v="2024-06-29T00:00:00"/>
    <s v="Saanvi Iyer"/>
    <x v="1"/>
    <s v="Jaipur"/>
    <s v="Technology"/>
    <s v="Mobile"/>
    <s v="Mobile - Technology"/>
    <x v="151"/>
    <n v="3"/>
    <n v="29"/>
    <n v="464.48"/>
    <s v="In Transit"/>
    <s v="Cash"/>
    <s v="06-2024"/>
    <x v="1"/>
    <x v="151"/>
    <s v="Profit"/>
    <s v="High (&gt;20%)"/>
  </r>
  <r>
    <s v="ODR00153"/>
    <d v="2025-03-17T00:00:00"/>
    <s v="Diya Sharma"/>
    <x v="3"/>
    <s v="Mumbai"/>
    <s v="Technology"/>
    <s v="Mobile"/>
    <s v="Mobile - Technology"/>
    <x v="152"/>
    <n v="7"/>
    <n v="9"/>
    <n v="479.18"/>
    <s v="Returned"/>
    <s v="UPI"/>
    <s v="03-2025"/>
    <x v="0"/>
    <x v="152"/>
    <s v="Profit"/>
    <s v="Low (1-10%)"/>
  </r>
  <r>
    <s v="ODR00154"/>
    <d v="2025-01-13T00:00:00"/>
    <s v="Vivaan Shah"/>
    <x v="0"/>
    <s v="Patna"/>
    <s v="Technology"/>
    <s v="Tablet"/>
    <s v="Tablet - Technology"/>
    <x v="153"/>
    <n v="8"/>
    <n v="2"/>
    <n v="2174.37"/>
    <s v="Delivered"/>
    <s v="Net Banking"/>
    <s v="01-2025"/>
    <x v="0"/>
    <x v="153"/>
    <s v="Profit"/>
    <s v="Low (1-10%)"/>
  </r>
  <r>
    <s v="ODR00155"/>
    <d v="2025-05-08T00:00:00"/>
    <s v="Arjun Verma"/>
    <x v="2"/>
    <s v="Chennai"/>
    <s v="Office Supplies"/>
    <s v="Notebook"/>
    <s v="Notebook - Office Supplies"/>
    <x v="154"/>
    <n v="10"/>
    <n v="18"/>
    <n v="1489.68"/>
    <s v="Returned"/>
    <s v="Credit Card"/>
    <s v="05-2025"/>
    <x v="0"/>
    <x v="154"/>
    <s v="Profit"/>
    <s v="Mid (11-20%)"/>
  </r>
  <r>
    <s v="ODR00156"/>
    <d v="2024-11-17T00:00:00"/>
    <s v="Ishaan Mehta"/>
    <x v="0"/>
    <s v="Patna"/>
    <s v="Furniture"/>
    <s v="Sofa"/>
    <s v="Sofa - Furniture"/>
    <x v="155"/>
    <n v="9"/>
    <n v="24"/>
    <n v="911.76"/>
    <s v="Returned"/>
    <s v="Credit Card"/>
    <s v="11-2024"/>
    <x v="1"/>
    <x v="155"/>
    <s v="Profit"/>
    <s v="High (&gt;20%)"/>
  </r>
  <r>
    <s v="ODR00157"/>
    <d v="2024-11-09T00:00:00"/>
    <s v="Riya Kapoor"/>
    <x v="2"/>
    <s v="Hyderabad"/>
    <s v="Furniture"/>
    <s v="Chair"/>
    <s v="Chair - Furniture"/>
    <x v="156"/>
    <n v="2"/>
    <n v="1"/>
    <n v="849"/>
    <s v="Returned"/>
    <s v="Net Banking"/>
    <s v="11-2024"/>
    <x v="1"/>
    <x v="156"/>
    <s v="Profit"/>
    <s v="Low (1-10%)"/>
  </r>
  <r>
    <s v="ODR00158"/>
    <d v="2025-02-16T00:00:00"/>
    <s v="Meera Joshi"/>
    <x v="2"/>
    <s v="Chennai"/>
    <s v="Technology"/>
    <s v="Printer"/>
    <s v="Printer - Technology"/>
    <x v="157"/>
    <n v="7"/>
    <n v="9"/>
    <n v="477.35"/>
    <s v="Delivered"/>
    <s v="UPI"/>
    <s v="02-2025"/>
    <x v="0"/>
    <x v="157"/>
    <s v="Profit"/>
    <s v="Low (1-10%)"/>
  </r>
  <r>
    <s v="ODR00159"/>
    <d v="2025-01-03T00:00:00"/>
    <s v="Yuvraj Chauhan"/>
    <x v="1"/>
    <s v="Jaipur"/>
    <s v="Furniture"/>
    <s v="Chair"/>
    <s v="Chair - Furniture"/>
    <x v="158"/>
    <n v="9"/>
    <n v="0"/>
    <n v="1698.78"/>
    <s v="In Transit"/>
    <s v="Net Banking"/>
    <s v="01-2025"/>
    <x v="0"/>
    <x v="158"/>
    <s v="Profit"/>
    <s v="No Discount"/>
  </r>
  <r>
    <s v="ODR00160"/>
    <d v="2024-10-26T00:00:00"/>
    <s v="Sneha Reddy"/>
    <x v="1"/>
    <s v="Chandigarh"/>
    <s v="Technology"/>
    <s v="Printer"/>
    <s v="Printer - Technology"/>
    <x v="159"/>
    <n v="10"/>
    <n v="1"/>
    <n v="393.79"/>
    <s v="Returned"/>
    <s v="Credit Card"/>
    <s v="10-2024"/>
    <x v="1"/>
    <x v="159"/>
    <s v="Profit"/>
    <s v="Low (1-10%)"/>
  </r>
  <r>
    <s v="ODR00161"/>
    <d v="2025-05-11T00:00:00"/>
    <s v="Kriti Desai"/>
    <x v="2"/>
    <s v="Bangalore"/>
    <s v="Furniture"/>
    <s v="Chair"/>
    <s v="Chair - Furniture"/>
    <x v="160"/>
    <n v="10"/>
    <n v="28"/>
    <n v="183.66"/>
    <s v="In Transit"/>
    <s v="Net Banking"/>
    <s v="05-2025"/>
    <x v="0"/>
    <x v="160"/>
    <s v="Profit"/>
    <s v="High (&gt;20%)"/>
  </r>
  <r>
    <s v="ODR00162"/>
    <d v="2024-09-12T00:00:00"/>
    <s v="Tanishq Ghosh"/>
    <x v="0"/>
    <s v="Kolkata"/>
    <s v="Furniture"/>
    <s v="Table"/>
    <s v="Table - Furniture"/>
    <x v="161"/>
    <n v="8"/>
    <n v="29"/>
    <n v="1195.47"/>
    <s v="Returned"/>
    <s v="Net Banking"/>
    <s v="09-2024"/>
    <x v="1"/>
    <x v="161"/>
    <s v="Profit"/>
    <s v="High (&gt;20%)"/>
  </r>
  <r>
    <s v="ODR00163"/>
    <d v="2024-10-26T00:00:00"/>
    <s v="Yuvraj Chauhan"/>
    <x v="2"/>
    <s v="Chennai"/>
    <s v="Furniture"/>
    <s v="Table"/>
    <s v="Table - Furniture"/>
    <x v="162"/>
    <n v="6"/>
    <n v="15"/>
    <n v="433.48"/>
    <s v="Delivered"/>
    <s v="Credit Card"/>
    <s v="10-2024"/>
    <x v="1"/>
    <x v="162"/>
    <s v="Profit"/>
    <s v="Mid (11-20%)"/>
  </r>
  <r>
    <s v="ODR00164"/>
    <d v="2024-07-21T00:00:00"/>
    <s v="Arjun Verma"/>
    <x v="2"/>
    <s v="Chennai"/>
    <s v="Furniture"/>
    <s v="Cupboard"/>
    <s v="Cupboard - Furniture"/>
    <x v="163"/>
    <n v="7"/>
    <n v="29"/>
    <n v="644.29"/>
    <s v="Delivered"/>
    <s v="Cash"/>
    <s v="07-2024"/>
    <x v="1"/>
    <x v="163"/>
    <s v="Profit"/>
    <s v="High (&gt;20%)"/>
  </r>
  <r>
    <s v="ODR00165"/>
    <d v="2025-03-03T00:00:00"/>
    <s v="Kriti Desai"/>
    <x v="3"/>
    <s v="Pune"/>
    <s v="Furniture"/>
    <s v="Table"/>
    <s v="Table - Furniture"/>
    <x v="164"/>
    <n v="1"/>
    <n v="3"/>
    <n v="345.86"/>
    <s v="Returned"/>
    <s v="Credit Card"/>
    <s v="03-2025"/>
    <x v="0"/>
    <x v="164"/>
    <s v="Profit"/>
    <s v="Low (1-10%)"/>
  </r>
  <r>
    <s v="ODR00166"/>
    <d v="2025-02-19T00:00:00"/>
    <s v="Ishaan Mehta"/>
    <x v="1"/>
    <s v="Chandigarh"/>
    <s v="Technology"/>
    <s v="Tablet"/>
    <s v="Tablet - Technology"/>
    <x v="165"/>
    <n v="10"/>
    <n v="8"/>
    <n v="1678.52"/>
    <s v="In Transit"/>
    <s v="Net Banking"/>
    <s v="02-2025"/>
    <x v="0"/>
    <x v="165"/>
    <s v="Profit"/>
    <s v="Low (1-10%)"/>
  </r>
  <r>
    <s v="ODR00167"/>
    <d v="2024-12-31T00:00:00"/>
    <s v="Saanvi Iyer"/>
    <x v="2"/>
    <s v="Chennai"/>
    <s v="Technology"/>
    <s v="Tablet"/>
    <s v="Tablet - Technology"/>
    <x v="166"/>
    <n v="6"/>
    <n v="30"/>
    <n v="526"/>
    <s v="Returned"/>
    <s v="Net Banking"/>
    <s v="12-2024"/>
    <x v="1"/>
    <x v="166"/>
    <s v="Profit"/>
    <s v="High (&gt;20%)"/>
  </r>
  <r>
    <s v="ODR00168"/>
    <d v="2024-07-09T00:00:00"/>
    <s v="Anaya Singh"/>
    <x v="1"/>
    <s v="Jaipur"/>
    <s v="Office Supplies"/>
    <s v="Pen"/>
    <s v="Pen - Office Supplies"/>
    <x v="167"/>
    <n v="3"/>
    <n v="2"/>
    <n v="748.19"/>
    <s v="In Transit"/>
    <s v="Net Banking"/>
    <s v="07-2024"/>
    <x v="1"/>
    <x v="167"/>
    <s v="Profit"/>
    <s v="Low (1-10%)"/>
  </r>
  <r>
    <s v="ODR00169"/>
    <d v="2025-01-17T00:00:00"/>
    <s v="Meera Joshi"/>
    <x v="1"/>
    <s v="Delhi"/>
    <s v="Office Supplies"/>
    <s v="Pen"/>
    <s v="Pen - Office Supplies"/>
    <x v="168"/>
    <n v="3"/>
    <n v="13"/>
    <n v="231.26"/>
    <s v="Returned"/>
    <s v="Net Banking"/>
    <s v="01-2025"/>
    <x v="0"/>
    <x v="168"/>
    <s v="Profit"/>
    <s v="Mid (11-20%)"/>
  </r>
  <r>
    <s v="ODR00170"/>
    <d v="2024-12-30T00:00:00"/>
    <s v="Tanishq Ghosh"/>
    <x v="0"/>
    <s v="Kolkata"/>
    <s v="Office Supplies"/>
    <s v="Stapler"/>
    <s v="Stapler - Office Supplies"/>
    <x v="169"/>
    <n v="7"/>
    <n v="4"/>
    <n v="494.42"/>
    <s v="Delivered"/>
    <s v="Cash"/>
    <s v="12-2024"/>
    <x v="1"/>
    <x v="169"/>
    <s v="Profit"/>
    <s v="Low (1-10%)"/>
  </r>
  <r>
    <s v="ODR00171"/>
    <d v="2024-08-18T00:00:00"/>
    <s v="Riya Kapoor"/>
    <x v="0"/>
    <s v="Kolkata"/>
    <s v="Furniture"/>
    <s v="Chair"/>
    <s v="Chair - Furniture"/>
    <x v="170"/>
    <n v="9"/>
    <n v="19"/>
    <n v="2441.5"/>
    <s v="Returned"/>
    <s v="Cash"/>
    <s v="08-2024"/>
    <x v="1"/>
    <x v="170"/>
    <s v="Profit"/>
    <s v="Mid (11-20%)"/>
  </r>
  <r>
    <s v="ODR00172"/>
    <d v="2025-03-01T00:00:00"/>
    <s v="Aarav Patel"/>
    <x v="1"/>
    <s v="Chandigarh"/>
    <s v="Technology"/>
    <s v="Printer"/>
    <s v="Printer - Technology"/>
    <x v="171"/>
    <n v="6"/>
    <n v="11"/>
    <n v="1180.01"/>
    <s v="In Transit"/>
    <s v="Credit Card"/>
    <s v="03-2025"/>
    <x v="0"/>
    <x v="171"/>
    <s v="Profit"/>
    <s v="Mid (11-20%)"/>
  </r>
  <r>
    <s v="ODR00173"/>
    <d v="2024-07-03T00:00:00"/>
    <s v="Sneha Reddy"/>
    <x v="0"/>
    <s v="Kolkata"/>
    <s v="Office Supplies"/>
    <s v="Envelope"/>
    <s v="Envelope - Office Supplies"/>
    <x v="172"/>
    <n v="5"/>
    <n v="23"/>
    <n v="660.9"/>
    <s v="In Transit"/>
    <s v="UPI"/>
    <s v="07-2024"/>
    <x v="1"/>
    <x v="172"/>
    <s v="Profit"/>
    <s v="High (&gt;20%)"/>
  </r>
  <r>
    <s v="ODR00174"/>
    <d v="2025-03-26T00:00:00"/>
    <s v="Aarav Patel"/>
    <x v="3"/>
    <s v="Pune"/>
    <s v="Furniture"/>
    <s v="Cupboard"/>
    <s v="Cupboard - Furniture"/>
    <x v="173"/>
    <n v="7"/>
    <n v="14"/>
    <n v="975.88"/>
    <s v="In Transit"/>
    <s v="Credit Card"/>
    <s v="03-2025"/>
    <x v="0"/>
    <x v="173"/>
    <s v="Profit"/>
    <s v="Mid (11-20%)"/>
  </r>
  <r>
    <s v="ODR00175"/>
    <d v="2024-12-19T00:00:00"/>
    <s v="Kabir Nair"/>
    <x v="3"/>
    <s v="Mumbai"/>
    <s v="Office Supplies"/>
    <s v="Notebook"/>
    <s v="Notebook - Office Supplies"/>
    <x v="174"/>
    <n v="2"/>
    <n v="7.0000000000000009"/>
    <n v="282.76"/>
    <s v="In Transit"/>
    <s v="Credit Card"/>
    <s v="12-2024"/>
    <x v="1"/>
    <x v="174"/>
    <s v="Profit"/>
    <s v="Low (1-10%)"/>
  </r>
  <r>
    <s v="ODR00176"/>
    <d v="2024-06-21T00:00:00"/>
    <s v="Meera Joshi"/>
    <x v="1"/>
    <s v="Lucknow"/>
    <s v="Furniture"/>
    <s v="Cupboard"/>
    <s v="Cupboard - Furniture"/>
    <x v="175"/>
    <n v="9"/>
    <n v="5"/>
    <n v="581.4"/>
    <s v="Returned"/>
    <s v="UPI"/>
    <s v="06-2024"/>
    <x v="1"/>
    <x v="175"/>
    <s v="Profit"/>
    <s v="Low (1-10%)"/>
  </r>
  <r>
    <s v="ODR00177"/>
    <d v="2025-01-08T00:00:00"/>
    <s v="Meera Joshi"/>
    <x v="1"/>
    <s v="Delhi"/>
    <s v="Office Supplies"/>
    <s v="Pen"/>
    <s v="Pen - Office Supplies"/>
    <x v="176"/>
    <n v="3"/>
    <n v="10"/>
    <n v="531.04"/>
    <s v="Returned"/>
    <s v="UPI"/>
    <s v="01-2025"/>
    <x v="0"/>
    <x v="176"/>
    <s v="Profit"/>
    <s v="Low (1-10%)"/>
  </r>
  <r>
    <s v="ODR00178"/>
    <d v="2024-10-08T00:00:00"/>
    <s v="Saanvi Iyer"/>
    <x v="1"/>
    <s v="Delhi"/>
    <s v="Furniture"/>
    <s v="Chair"/>
    <s v="Chair - Furniture"/>
    <x v="177"/>
    <n v="7"/>
    <n v="3"/>
    <n v="597.27"/>
    <s v="Delivered"/>
    <s v="UPI"/>
    <s v="10-2024"/>
    <x v="1"/>
    <x v="177"/>
    <s v="Profit"/>
    <s v="Low (1-10%)"/>
  </r>
  <r>
    <s v="ODR00179"/>
    <d v="2024-06-10T00:00:00"/>
    <s v="Tanishq Ghosh"/>
    <x v="2"/>
    <s v="Chennai"/>
    <s v="Furniture"/>
    <s v="Sofa"/>
    <s v="Sofa - Furniture"/>
    <x v="178"/>
    <n v="1"/>
    <n v="6"/>
    <n v="8.2899999999999991"/>
    <s v="Returned"/>
    <s v="Credit Card"/>
    <s v="06-2024"/>
    <x v="1"/>
    <x v="178"/>
    <s v="Profit"/>
    <s v="Low (1-10%)"/>
  </r>
  <r>
    <s v="ODR00180"/>
    <d v="2025-03-19T00:00:00"/>
    <s v="Arjun Verma"/>
    <x v="0"/>
    <s v="Bhubaneswar"/>
    <s v="Technology"/>
    <s v="Printer"/>
    <s v="Printer - Technology"/>
    <x v="179"/>
    <n v="7"/>
    <n v="14"/>
    <n v="259.43"/>
    <s v="Delivered"/>
    <s v="Credit Card"/>
    <s v="03-2025"/>
    <x v="0"/>
    <x v="179"/>
    <s v="Profit"/>
    <s v="Mid (11-20%)"/>
  </r>
  <r>
    <s v="ODR00181"/>
    <d v="2024-06-10T00:00:00"/>
    <s v="Ishaan Mehta"/>
    <x v="3"/>
    <s v="Mumbai"/>
    <s v="Technology"/>
    <s v="Printer"/>
    <s v="Printer - Technology"/>
    <x v="180"/>
    <n v="7"/>
    <n v="12"/>
    <n v="1078.8900000000001"/>
    <s v="In Transit"/>
    <s v="Cash"/>
    <s v="06-2024"/>
    <x v="1"/>
    <x v="180"/>
    <s v="Profit"/>
    <s v="Mid (11-20%)"/>
  </r>
  <r>
    <s v="ODR00182"/>
    <d v="2024-08-13T00:00:00"/>
    <s v="Aarav Patel"/>
    <x v="0"/>
    <s v="Bhubaneswar"/>
    <s v="Furniture"/>
    <s v="Sofa"/>
    <s v="Sofa - Furniture"/>
    <x v="181"/>
    <n v="2"/>
    <n v="16"/>
    <n v="223.22"/>
    <s v="Returned"/>
    <s v="Cash"/>
    <s v="08-2024"/>
    <x v="1"/>
    <x v="181"/>
    <s v="Profit"/>
    <s v="Mid (11-20%)"/>
  </r>
  <r>
    <s v="ODR00183"/>
    <d v="2025-04-01T00:00:00"/>
    <s v="Diya Sharma"/>
    <x v="3"/>
    <s v="Indore"/>
    <s v="Furniture"/>
    <s v="Table"/>
    <s v="Table - Furniture"/>
    <x v="182"/>
    <n v="5"/>
    <n v="7.0000000000000009"/>
    <n v="896.59"/>
    <s v="In Transit"/>
    <s v="Net Banking"/>
    <s v="04-2025"/>
    <x v="0"/>
    <x v="182"/>
    <s v="Profit"/>
    <s v="Low (1-10%)"/>
  </r>
  <r>
    <s v="ODR00184"/>
    <d v="2024-07-02T00:00:00"/>
    <s v="Diya Sharma"/>
    <x v="2"/>
    <s v="Bangalore"/>
    <s v="Technology"/>
    <s v="Printer"/>
    <s v="Printer - Technology"/>
    <x v="183"/>
    <n v="2"/>
    <n v="13"/>
    <n v="376.88"/>
    <s v="Delivered"/>
    <s v="Credit Card"/>
    <s v="07-2024"/>
    <x v="1"/>
    <x v="183"/>
    <s v="Profit"/>
    <s v="Mid (11-20%)"/>
  </r>
  <r>
    <s v="ODR00185"/>
    <d v="2024-10-05T00:00:00"/>
    <s v="Riya Kapoor"/>
    <x v="3"/>
    <s v="Indore"/>
    <s v="Office Supplies"/>
    <s v="Notebook"/>
    <s v="Notebook - Office Supplies"/>
    <x v="184"/>
    <n v="3"/>
    <n v="3"/>
    <n v="520.99"/>
    <s v="Delivered"/>
    <s v="Cash"/>
    <s v="10-2024"/>
    <x v="1"/>
    <x v="184"/>
    <s v="Profit"/>
    <s v="Low (1-10%)"/>
  </r>
  <r>
    <s v="ODR00186"/>
    <d v="2024-12-18T00:00:00"/>
    <s v="Vivaan Shah"/>
    <x v="0"/>
    <s v="Kolkata"/>
    <s v="Office Supplies"/>
    <s v="Pen"/>
    <s v="Pen - Office Supplies"/>
    <x v="185"/>
    <n v="5"/>
    <n v="19"/>
    <n v="124.92"/>
    <s v="In Transit"/>
    <s v="Credit Card"/>
    <s v="12-2024"/>
    <x v="1"/>
    <x v="185"/>
    <s v="Profit"/>
    <s v="Mid (11-20%)"/>
  </r>
  <r>
    <s v="ODR00187"/>
    <d v="2024-07-21T00:00:00"/>
    <s v="Anaya Singh"/>
    <x v="0"/>
    <s v="Bhubaneswar"/>
    <s v="Furniture"/>
    <s v="Table"/>
    <s v="Table - Furniture"/>
    <x v="186"/>
    <n v="9"/>
    <n v="6"/>
    <n v="2658.31"/>
    <s v="Returned"/>
    <s v="Credit Card"/>
    <s v="07-2024"/>
    <x v="1"/>
    <x v="186"/>
    <s v="Profit"/>
    <s v="Low (1-10%)"/>
  </r>
  <r>
    <s v="ODR00188"/>
    <d v="2024-09-05T00:00:00"/>
    <s v="Anaya Singh"/>
    <x v="0"/>
    <s v="Kolkata"/>
    <s v="Office Supplies"/>
    <s v="Envelope"/>
    <s v="Envelope - Office Supplies"/>
    <x v="187"/>
    <n v="10"/>
    <n v="2"/>
    <n v="2260.62"/>
    <s v="Delivered"/>
    <s v="Credit Card"/>
    <s v="09-2024"/>
    <x v="1"/>
    <x v="187"/>
    <s v="Profit"/>
    <s v="Low (1-10%)"/>
  </r>
  <r>
    <s v="ODR00189"/>
    <d v="2024-12-19T00:00:00"/>
    <s v="Tanishq Ghosh"/>
    <x v="1"/>
    <s v="Jaipur"/>
    <s v="Office Supplies"/>
    <s v="Pen"/>
    <s v="Pen - Office Supplies"/>
    <x v="188"/>
    <n v="9"/>
    <n v="12"/>
    <n v="1197.52"/>
    <s v="In Transit"/>
    <s v="Net Banking"/>
    <s v="12-2024"/>
    <x v="1"/>
    <x v="188"/>
    <s v="Profit"/>
    <s v="Mid (11-20%)"/>
  </r>
  <r>
    <s v="ODR00190"/>
    <d v="2025-03-22T00:00:00"/>
    <s v="Saanvi Iyer"/>
    <x v="2"/>
    <s v="Hyderabad"/>
    <s v="Furniture"/>
    <s v="Table"/>
    <s v="Table - Furniture"/>
    <x v="189"/>
    <n v="2"/>
    <n v="3"/>
    <n v="415.14"/>
    <s v="Delivered"/>
    <s v="UPI"/>
    <s v="03-2025"/>
    <x v="0"/>
    <x v="189"/>
    <s v="Profit"/>
    <s v="Low (1-10%)"/>
  </r>
  <r>
    <s v="ODR00191"/>
    <d v="2025-03-22T00:00:00"/>
    <s v="Aarav Patel"/>
    <x v="0"/>
    <s v="Patna"/>
    <s v="Furniture"/>
    <s v="Table"/>
    <s v="Table - Furniture"/>
    <x v="190"/>
    <n v="5"/>
    <n v="3"/>
    <n v="662.36"/>
    <s v="Delivered"/>
    <s v="UPI"/>
    <s v="03-2025"/>
    <x v="0"/>
    <x v="190"/>
    <s v="Profit"/>
    <s v="Low (1-10%)"/>
  </r>
  <r>
    <s v="ODR00192"/>
    <d v="2024-10-30T00:00:00"/>
    <s v="Tanishq Ghosh"/>
    <x v="1"/>
    <s v="Jaipur"/>
    <s v="Furniture"/>
    <s v="Cupboard"/>
    <s v="Cupboard - Furniture"/>
    <x v="191"/>
    <n v="9"/>
    <n v="23"/>
    <n v="2088.23"/>
    <s v="In Transit"/>
    <s v="Cash"/>
    <s v="10-2024"/>
    <x v="1"/>
    <x v="191"/>
    <s v="Profit"/>
    <s v="High (&gt;20%)"/>
  </r>
  <r>
    <s v="ODR00193"/>
    <d v="2024-06-07T00:00:00"/>
    <s v="Arjun Verma"/>
    <x v="2"/>
    <s v="Chennai"/>
    <s v="Furniture"/>
    <s v="Table"/>
    <s v="Table - Furniture"/>
    <x v="192"/>
    <n v="8"/>
    <n v="14"/>
    <n v="273.24"/>
    <s v="Returned"/>
    <s v="Credit Card"/>
    <s v="06-2024"/>
    <x v="1"/>
    <x v="192"/>
    <s v="Profit"/>
    <s v="Mid (11-20%)"/>
  </r>
  <r>
    <s v="ODR00194"/>
    <d v="2025-01-20T00:00:00"/>
    <s v="Yuvraj Chauhan"/>
    <x v="3"/>
    <s v="Nagpur"/>
    <s v="Technology"/>
    <s v="Tablet"/>
    <s v="Tablet - Technology"/>
    <x v="193"/>
    <n v="4"/>
    <n v="9"/>
    <n v="335.5"/>
    <s v="In Transit"/>
    <s v="Cash"/>
    <s v="01-2025"/>
    <x v="0"/>
    <x v="193"/>
    <s v="Profit"/>
    <s v="Low (1-10%)"/>
  </r>
  <r>
    <s v="ODR00195"/>
    <d v="2024-10-09T00:00:00"/>
    <s v="Kabir Nair"/>
    <x v="3"/>
    <s v="Nagpur"/>
    <s v="Office Supplies"/>
    <s v="Envelope"/>
    <s v="Envelope - Office Supplies"/>
    <x v="194"/>
    <n v="10"/>
    <n v="22"/>
    <n v="1844.09"/>
    <s v="Delivered"/>
    <s v="UPI"/>
    <s v="10-2024"/>
    <x v="1"/>
    <x v="194"/>
    <s v="Profit"/>
    <s v="High (&gt;20%)"/>
  </r>
  <r>
    <s v="ODR00196"/>
    <d v="2024-06-30T00:00:00"/>
    <s v="Yuvraj Chauhan"/>
    <x v="2"/>
    <s v="Hyderabad"/>
    <s v="Technology"/>
    <s v="Printer"/>
    <s v="Printer - Technology"/>
    <x v="195"/>
    <n v="2"/>
    <n v="1"/>
    <n v="544.07000000000005"/>
    <s v="Delivered"/>
    <s v="Credit Card"/>
    <s v="06-2024"/>
    <x v="1"/>
    <x v="195"/>
    <s v="Profit"/>
    <s v="Low (1-10%)"/>
  </r>
  <r>
    <s v="ODR00197"/>
    <d v="2024-07-31T00:00:00"/>
    <s v="Vivaan Shah"/>
    <x v="3"/>
    <s v="Pune"/>
    <s v="Furniture"/>
    <s v="Table"/>
    <s v="Table - Furniture"/>
    <x v="196"/>
    <n v="10"/>
    <n v="3"/>
    <n v="2477.79"/>
    <s v="In Transit"/>
    <s v="Cash"/>
    <s v="07-2024"/>
    <x v="1"/>
    <x v="196"/>
    <s v="Profit"/>
    <s v="Low (1-10%)"/>
  </r>
  <r>
    <s v="ODR00198"/>
    <d v="2025-04-23T00:00:00"/>
    <s v="Sneha Reddy"/>
    <x v="0"/>
    <s v="Kolkata"/>
    <s v="Technology"/>
    <s v="Printer"/>
    <s v="Printer - Technology"/>
    <x v="197"/>
    <n v="7"/>
    <n v="16"/>
    <n v="700.63"/>
    <s v="Returned"/>
    <s v="Cash"/>
    <s v="04-2025"/>
    <x v="0"/>
    <x v="197"/>
    <s v="Profit"/>
    <s v="Mid (11-20%)"/>
  </r>
  <r>
    <s v="ODR00199"/>
    <d v="2024-11-06T00:00:00"/>
    <s v="Anaya Singh"/>
    <x v="2"/>
    <s v="Hyderabad"/>
    <s v="Furniture"/>
    <s v="Chair"/>
    <s v="Chair - Furniture"/>
    <x v="198"/>
    <n v="9"/>
    <n v="21"/>
    <n v="1222.27"/>
    <s v="Delivered"/>
    <s v="Credit Card"/>
    <s v="11-2024"/>
    <x v="1"/>
    <x v="198"/>
    <s v="Profit"/>
    <s v="High (&gt;20%)"/>
  </r>
  <r>
    <s v="ODR00200"/>
    <d v="2025-02-17T00:00:00"/>
    <s v="Krishna Das"/>
    <x v="2"/>
    <s v="Bangalore"/>
    <s v="Furniture"/>
    <s v="Cupboard"/>
    <s v="Cupboard - Furniture"/>
    <x v="199"/>
    <n v="2"/>
    <n v="2"/>
    <n v="675.93"/>
    <s v="Delivered"/>
    <s v="Credit Card"/>
    <s v="02-2025"/>
    <x v="0"/>
    <x v="199"/>
    <s v="Profit"/>
    <s v="Low (1-10%)"/>
  </r>
  <r>
    <s v="ODR00201"/>
    <d v="2024-07-26T00:00:00"/>
    <s v="Kriti Desai"/>
    <x v="1"/>
    <s v="Delhi"/>
    <s v="Office Supplies"/>
    <s v="Pen"/>
    <s v="Pen - Office Supplies"/>
    <x v="200"/>
    <n v="4"/>
    <n v="8"/>
    <n v="570.99"/>
    <s v="Delivered"/>
    <s v="UPI"/>
    <s v="07-2024"/>
    <x v="1"/>
    <x v="200"/>
    <s v="Profit"/>
    <s v="Low (1-10%)"/>
  </r>
  <r>
    <s v="ODR00202"/>
    <d v="2024-10-19T00:00:00"/>
    <s v="Aarav Patel"/>
    <x v="0"/>
    <s v="Bhubaneswar"/>
    <s v="Furniture"/>
    <s v="Chair"/>
    <s v="Chair - Furniture"/>
    <x v="201"/>
    <n v="10"/>
    <n v="11"/>
    <n v="1226.0899999999999"/>
    <s v="Delivered"/>
    <s v="Credit Card"/>
    <s v="10-2024"/>
    <x v="1"/>
    <x v="201"/>
    <s v="Profit"/>
    <s v="Mid (11-20%)"/>
  </r>
  <r>
    <s v="ODR00203"/>
    <d v="2025-02-10T00:00:00"/>
    <s v="Kabir Nair"/>
    <x v="3"/>
    <s v="Ahmedabad"/>
    <s v="Furniture"/>
    <s v="Table"/>
    <s v="Table - Furniture"/>
    <x v="202"/>
    <n v="7"/>
    <n v="19"/>
    <n v="1919.48"/>
    <s v="In Transit"/>
    <s v="Net Banking"/>
    <s v="02-2025"/>
    <x v="0"/>
    <x v="202"/>
    <s v="Profit"/>
    <s v="Mid (11-20%)"/>
  </r>
  <r>
    <s v="ODR00204"/>
    <d v="2025-01-31T00:00:00"/>
    <s v="Saanvi Iyer"/>
    <x v="2"/>
    <s v="Chennai"/>
    <s v="Technology"/>
    <s v="Mobile"/>
    <s v="Mobile - Technology"/>
    <x v="203"/>
    <n v="4"/>
    <n v="7.0000000000000009"/>
    <n v="839.31"/>
    <s v="Returned"/>
    <s v="Cash"/>
    <s v="01-2025"/>
    <x v="0"/>
    <x v="203"/>
    <s v="Profit"/>
    <s v="Low (1-10%)"/>
  </r>
  <r>
    <s v="ODR00205"/>
    <d v="2025-02-18T00:00:00"/>
    <s v="Meera Joshi"/>
    <x v="0"/>
    <s v="Bhubaneswar"/>
    <s v="Technology"/>
    <s v="Printer"/>
    <s v="Printer - Technology"/>
    <x v="204"/>
    <n v="10"/>
    <n v="7.0000000000000009"/>
    <n v="1483.08"/>
    <s v="Returned"/>
    <s v="UPI"/>
    <s v="02-2025"/>
    <x v="0"/>
    <x v="204"/>
    <s v="Profit"/>
    <s v="Low (1-10%)"/>
  </r>
  <r>
    <s v="ODR00206"/>
    <d v="2024-06-09T00:00:00"/>
    <s v="Vivaan Shah"/>
    <x v="3"/>
    <s v="Ahmedabad"/>
    <s v="Office Supplies"/>
    <s v="Pen"/>
    <s v="Pen - Office Supplies"/>
    <x v="205"/>
    <n v="1"/>
    <n v="13"/>
    <n v="269.27"/>
    <s v="Delivered"/>
    <s v="Credit Card"/>
    <s v="06-2024"/>
    <x v="1"/>
    <x v="205"/>
    <s v="Profit"/>
    <s v="Mid (11-20%)"/>
  </r>
  <r>
    <s v="ODR00207"/>
    <d v="2025-01-04T00:00:00"/>
    <s v="Aarav Patel"/>
    <x v="1"/>
    <s v="Chandigarh"/>
    <s v="Furniture"/>
    <s v="Table"/>
    <s v="Table - Furniture"/>
    <x v="206"/>
    <n v="8"/>
    <n v="23"/>
    <n v="46.17"/>
    <s v="In Transit"/>
    <s v="Net Banking"/>
    <s v="01-2025"/>
    <x v="0"/>
    <x v="206"/>
    <s v="Profit"/>
    <s v="High (&gt;20%)"/>
  </r>
  <r>
    <s v="ODR00208"/>
    <d v="2024-08-19T00:00:00"/>
    <s v="Tanishq Ghosh"/>
    <x v="0"/>
    <s v="Bhubaneswar"/>
    <s v="Furniture"/>
    <s v="Table"/>
    <s v="Table - Furniture"/>
    <x v="207"/>
    <n v="9"/>
    <n v="19"/>
    <n v="1929.15"/>
    <s v="Returned"/>
    <s v="UPI"/>
    <s v="08-2024"/>
    <x v="1"/>
    <x v="207"/>
    <s v="Profit"/>
    <s v="Mid (11-20%)"/>
  </r>
  <r>
    <s v="ODR00209"/>
    <d v="2025-04-11T00:00:00"/>
    <s v="Krishna Das"/>
    <x v="2"/>
    <s v="Hyderabad"/>
    <s v="Office Supplies"/>
    <s v="Stapler"/>
    <s v="Stapler - Office Supplies"/>
    <x v="208"/>
    <n v="8"/>
    <n v="7.0000000000000009"/>
    <n v="271.33"/>
    <s v="Returned"/>
    <s v="Credit Card"/>
    <s v="04-2025"/>
    <x v="0"/>
    <x v="208"/>
    <s v="Profit"/>
    <s v="Low (1-10%)"/>
  </r>
  <r>
    <s v="ODR00210"/>
    <d v="2024-09-12T00:00:00"/>
    <s v="Diya Sharma"/>
    <x v="0"/>
    <s v="Kolkata"/>
    <s v="Office Supplies"/>
    <s v="Pen"/>
    <s v="Pen - Office Supplies"/>
    <x v="209"/>
    <n v="5"/>
    <n v="23"/>
    <n v="577.97"/>
    <s v="Delivered"/>
    <s v="UPI"/>
    <s v="09-2024"/>
    <x v="1"/>
    <x v="209"/>
    <s v="Profit"/>
    <s v="High (&gt;20%)"/>
  </r>
  <r>
    <s v="ODR00211"/>
    <d v="2024-10-14T00:00:00"/>
    <s v="Diya Sharma"/>
    <x v="1"/>
    <s v="Lucknow"/>
    <s v="Technology"/>
    <s v="Laptop"/>
    <s v="Laptop - Technology"/>
    <x v="210"/>
    <n v="1"/>
    <n v="3"/>
    <n v="49.7"/>
    <s v="Delivered"/>
    <s v="Net Banking"/>
    <s v="10-2024"/>
    <x v="1"/>
    <x v="210"/>
    <s v="Profit"/>
    <s v="Low (1-10%)"/>
  </r>
  <r>
    <s v="ODR00212"/>
    <d v="2025-01-27T00:00:00"/>
    <s v="Yuvraj Chauhan"/>
    <x v="3"/>
    <s v="Ahmedabad"/>
    <s v="Furniture"/>
    <s v="Cupboard"/>
    <s v="Cupboard - Furniture"/>
    <x v="211"/>
    <n v="9"/>
    <n v="22"/>
    <n v="1182.69"/>
    <s v="Returned"/>
    <s v="UPI"/>
    <s v="01-2025"/>
    <x v="0"/>
    <x v="211"/>
    <s v="Profit"/>
    <s v="High (&gt;20%)"/>
  </r>
  <r>
    <s v="ODR00213"/>
    <d v="2024-11-29T00:00:00"/>
    <s v="Sneha Reddy"/>
    <x v="1"/>
    <s v="Delhi"/>
    <s v="Office Supplies"/>
    <s v="Stapler"/>
    <s v="Stapler - Office Supplies"/>
    <x v="212"/>
    <n v="6"/>
    <n v="23"/>
    <n v="1813.34"/>
    <s v="Returned"/>
    <s v="Cash"/>
    <s v="11-2024"/>
    <x v="1"/>
    <x v="212"/>
    <s v="Profit"/>
    <s v="High (&gt;20%)"/>
  </r>
  <r>
    <s v="ODR00214"/>
    <d v="2024-09-23T00:00:00"/>
    <s v="Riya Kapoor"/>
    <x v="0"/>
    <s v="Patna"/>
    <s v="Technology"/>
    <s v="Laptop"/>
    <s v="Laptop - Technology"/>
    <x v="213"/>
    <n v="7"/>
    <n v="16"/>
    <n v="877.73"/>
    <s v="In Transit"/>
    <s v="Cash"/>
    <s v="09-2024"/>
    <x v="1"/>
    <x v="213"/>
    <s v="Profit"/>
    <s v="Mid (11-20%)"/>
  </r>
  <r>
    <s v="ODR00215"/>
    <d v="2024-11-27T00:00:00"/>
    <s v="Krishna Das"/>
    <x v="1"/>
    <s v="Jaipur"/>
    <s v="Office Supplies"/>
    <s v="Notebook"/>
    <s v="Notebook - Office Supplies"/>
    <x v="214"/>
    <n v="5"/>
    <n v="16"/>
    <n v="1235.53"/>
    <s v="Returned"/>
    <s v="Credit Card"/>
    <s v="11-2024"/>
    <x v="1"/>
    <x v="214"/>
    <s v="Profit"/>
    <s v="Mid (11-20%)"/>
  </r>
  <r>
    <s v="ODR00216"/>
    <d v="2024-09-14T00:00:00"/>
    <s v="Saanvi Iyer"/>
    <x v="2"/>
    <s v="Chennai"/>
    <s v="Technology"/>
    <s v="Tablet"/>
    <s v="Tablet - Technology"/>
    <x v="215"/>
    <n v="2"/>
    <n v="18"/>
    <n v="328.18"/>
    <s v="In Transit"/>
    <s v="Net Banking"/>
    <s v="09-2024"/>
    <x v="1"/>
    <x v="215"/>
    <s v="Profit"/>
    <s v="Mid (11-20%)"/>
  </r>
  <r>
    <s v="ODR00217"/>
    <d v="2024-12-03T00:00:00"/>
    <s v="Kabir Nair"/>
    <x v="0"/>
    <s v="Patna"/>
    <s v="Technology"/>
    <s v="Laptop"/>
    <s v="Laptop - Technology"/>
    <x v="216"/>
    <n v="3"/>
    <n v="18"/>
    <n v="301.38"/>
    <s v="Returned"/>
    <s v="Net Banking"/>
    <s v="12-2024"/>
    <x v="1"/>
    <x v="216"/>
    <s v="Profit"/>
    <s v="Mid (11-20%)"/>
  </r>
  <r>
    <s v="ODR00218"/>
    <d v="2024-07-06T00:00:00"/>
    <s v="Arjun Verma"/>
    <x v="1"/>
    <s v="Chandigarh"/>
    <s v="Office Supplies"/>
    <s v="Notebook"/>
    <s v="Notebook - Office Supplies"/>
    <x v="217"/>
    <n v="10"/>
    <n v="27"/>
    <n v="1396.63"/>
    <s v="Delivered"/>
    <s v="Cash"/>
    <s v="07-2024"/>
    <x v="1"/>
    <x v="217"/>
    <s v="Profit"/>
    <s v="High (&gt;20%)"/>
  </r>
  <r>
    <s v="ODR00219"/>
    <d v="2024-06-20T00:00:00"/>
    <s v="Krishna Das"/>
    <x v="0"/>
    <s v="Kolkata"/>
    <s v="Furniture"/>
    <s v="Sofa"/>
    <s v="Sofa - Furniture"/>
    <x v="218"/>
    <n v="3"/>
    <n v="27"/>
    <n v="750.73"/>
    <s v="In Transit"/>
    <s v="Cash"/>
    <s v="06-2024"/>
    <x v="1"/>
    <x v="218"/>
    <s v="Profit"/>
    <s v="High (&gt;20%)"/>
  </r>
  <r>
    <s v="ODR00220"/>
    <d v="2024-11-12T00:00:00"/>
    <s v="Kriti Desai"/>
    <x v="0"/>
    <s v="Bhubaneswar"/>
    <s v="Furniture"/>
    <s v="Cupboard"/>
    <s v="Cupboard - Furniture"/>
    <x v="219"/>
    <n v="8"/>
    <n v="23"/>
    <n v="1136.53"/>
    <s v="Returned"/>
    <s v="Credit Card"/>
    <s v="11-2024"/>
    <x v="1"/>
    <x v="219"/>
    <s v="Profit"/>
    <s v="High (&gt;20%)"/>
  </r>
  <r>
    <s v="ODR00221"/>
    <d v="2024-05-20T00:00:00"/>
    <s v="Meera Joshi"/>
    <x v="3"/>
    <s v="Ahmedabad"/>
    <s v="Furniture"/>
    <s v="Sofa"/>
    <s v="Sofa - Furniture"/>
    <x v="220"/>
    <n v="5"/>
    <n v="3"/>
    <n v="1033.82"/>
    <s v="Returned"/>
    <s v="UPI"/>
    <s v="05-2024"/>
    <x v="1"/>
    <x v="220"/>
    <s v="Profit"/>
    <s v="Low (1-10%)"/>
  </r>
  <r>
    <s v="ODR00222"/>
    <d v="2025-01-07T00:00:00"/>
    <s v="Meera Joshi"/>
    <x v="3"/>
    <s v="Nagpur"/>
    <s v="Furniture"/>
    <s v="Sofa"/>
    <s v="Sofa - Furniture"/>
    <x v="221"/>
    <n v="8"/>
    <n v="10"/>
    <n v="979.43"/>
    <s v="Returned"/>
    <s v="Net Banking"/>
    <s v="01-2025"/>
    <x v="0"/>
    <x v="221"/>
    <s v="Profit"/>
    <s v="Low (1-10%)"/>
  </r>
  <r>
    <s v="ODR00223"/>
    <d v="2025-01-20T00:00:00"/>
    <s v="Ishaan Mehta"/>
    <x v="3"/>
    <s v="Mumbai"/>
    <s v="Office Supplies"/>
    <s v="Envelope"/>
    <s v="Envelope - Office Supplies"/>
    <x v="222"/>
    <n v="10"/>
    <n v="18"/>
    <n v="249.77"/>
    <s v="Delivered"/>
    <s v="Net Banking"/>
    <s v="01-2025"/>
    <x v="0"/>
    <x v="222"/>
    <s v="Profit"/>
    <s v="Mid (11-20%)"/>
  </r>
  <r>
    <s v="ODR00224"/>
    <d v="2025-02-21T00:00:00"/>
    <s v="Tanishq Ghosh"/>
    <x v="1"/>
    <s v="Chandigarh"/>
    <s v="Furniture"/>
    <s v="Chair"/>
    <s v="Chair - Furniture"/>
    <x v="223"/>
    <n v="10"/>
    <n v="12"/>
    <n v="278.29000000000002"/>
    <s v="Returned"/>
    <s v="UPI"/>
    <s v="02-2025"/>
    <x v="0"/>
    <x v="223"/>
    <s v="Profit"/>
    <s v="Mid (11-20%)"/>
  </r>
  <r>
    <s v="ODR00225"/>
    <d v="2025-03-16T00:00:00"/>
    <s v="Anaya Singh"/>
    <x v="3"/>
    <s v="Indore"/>
    <s v="Office Supplies"/>
    <s v="Pen"/>
    <s v="Pen - Office Supplies"/>
    <x v="224"/>
    <n v="2"/>
    <n v="24"/>
    <n v="23.8"/>
    <s v="Returned"/>
    <s v="Credit Card"/>
    <s v="03-2025"/>
    <x v="0"/>
    <x v="224"/>
    <s v="Profit"/>
    <s v="High (&gt;20%)"/>
  </r>
  <r>
    <s v="ODR00226"/>
    <d v="2025-01-24T00:00:00"/>
    <s v="Kabir Nair"/>
    <x v="1"/>
    <s v="Lucknow"/>
    <s v="Technology"/>
    <s v="Printer"/>
    <s v="Printer - Technology"/>
    <x v="225"/>
    <n v="8"/>
    <n v="23"/>
    <n v="1171.74"/>
    <s v="Delivered"/>
    <s v="Cash"/>
    <s v="01-2025"/>
    <x v="0"/>
    <x v="225"/>
    <s v="Profit"/>
    <s v="High (&gt;20%)"/>
  </r>
  <r>
    <s v="ODR00227"/>
    <d v="2024-07-07T00:00:00"/>
    <s v="Saanvi Iyer"/>
    <x v="3"/>
    <s v="Pune"/>
    <s v="Furniture"/>
    <s v="Table"/>
    <s v="Table - Furniture"/>
    <x v="226"/>
    <n v="4"/>
    <n v="13"/>
    <n v="127.81"/>
    <s v="Delivered"/>
    <s v="Net Banking"/>
    <s v="07-2024"/>
    <x v="1"/>
    <x v="226"/>
    <s v="Profit"/>
    <s v="Mid (11-20%)"/>
  </r>
  <r>
    <s v="ODR00228"/>
    <d v="2024-08-22T00:00:00"/>
    <s v="Aarav Patel"/>
    <x v="2"/>
    <s v="Chennai"/>
    <s v="Technology"/>
    <s v="Mobile"/>
    <s v="Mobile - Technology"/>
    <x v="227"/>
    <n v="3"/>
    <n v="30"/>
    <n v="360.89"/>
    <s v="In Transit"/>
    <s v="Net Banking"/>
    <s v="08-2024"/>
    <x v="1"/>
    <x v="227"/>
    <s v="Profit"/>
    <s v="High (&gt;20%)"/>
  </r>
  <r>
    <s v="ODR00229"/>
    <d v="2024-09-14T00:00:00"/>
    <s v="Riya Kapoor"/>
    <x v="3"/>
    <s v="Indore"/>
    <s v="Furniture"/>
    <s v="Table"/>
    <s v="Table - Furniture"/>
    <x v="228"/>
    <n v="7"/>
    <n v="20"/>
    <n v="641.97"/>
    <s v="In Transit"/>
    <s v="Credit Card"/>
    <s v="09-2024"/>
    <x v="1"/>
    <x v="228"/>
    <s v="Profit"/>
    <s v="Mid (11-20%)"/>
  </r>
  <r>
    <s v="ODR00230"/>
    <d v="2025-03-25T00:00:00"/>
    <s v="Aarav Patel"/>
    <x v="2"/>
    <s v="Bangalore"/>
    <s v="Office Supplies"/>
    <s v="Stapler"/>
    <s v="Stapler - Office Supplies"/>
    <x v="229"/>
    <n v="9"/>
    <n v="20"/>
    <n v="288.76"/>
    <s v="Delivered"/>
    <s v="UPI"/>
    <s v="03-2025"/>
    <x v="0"/>
    <x v="229"/>
    <s v="Profit"/>
    <s v="Mid (11-20%)"/>
  </r>
  <r>
    <s v="ODR00231"/>
    <d v="2025-02-09T00:00:00"/>
    <s v="Krishna Das"/>
    <x v="0"/>
    <s v="Bhubaneswar"/>
    <s v="Office Supplies"/>
    <s v="Envelope"/>
    <s v="Envelope - Office Supplies"/>
    <x v="230"/>
    <n v="4"/>
    <n v="25"/>
    <n v="718.97"/>
    <s v="In Transit"/>
    <s v="UPI"/>
    <s v="02-2025"/>
    <x v="0"/>
    <x v="230"/>
    <s v="Profit"/>
    <s v="High (&gt;20%)"/>
  </r>
  <r>
    <s v="ODR00232"/>
    <d v="2024-12-31T00:00:00"/>
    <s v="Sneha Reddy"/>
    <x v="1"/>
    <s v="Lucknow"/>
    <s v="Technology"/>
    <s v="Tablet"/>
    <s v="Tablet - Technology"/>
    <x v="231"/>
    <n v="2"/>
    <n v="20"/>
    <n v="492.27"/>
    <s v="Delivered"/>
    <s v="Credit Card"/>
    <s v="12-2024"/>
    <x v="1"/>
    <x v="231"/>
    <s v="Profit"/>
    <s v="Mid (11-20%)"/>
  </r>
  <r>
    <s v="ODR00233"/>
    <d v="2025-02-11T00:00:00"/>
    <s v="Meera Joshi"/>
    <x v="1"/>
    <s v="Lucknow"/>
    <s v="Technology"/>
    <s v="Laptop"/>
    <s v="Laptop - Technology"/>
    <x v="232"/>
    <n v="8"/>
    <n v="27"/>
    <n v="249.15"/>
    <s v="In Transit"/>
    <s v="Cash"/>
    <s v="02-2025"/>
    <x v="0"/>
    <x v="232"/>
    <s v="Profit"/>
    <s v="High (&gt;20%)"/>
  </r>
  <r>
    <s v="ODR00234"/>
    <d v="2024-05-26T00:00:00"/>
    <s v="Yuvraj Chauhan"/>
    <x v="2"/>
    <s v="Hyderabad"/>
    <s v="Technology"/>
    <s v="Tablet"/>
    <s v="Tablet - Technology"/>
    <x v="233"/>
    <n v="8"/>
    <n v="2"/>
    <n v="651.47"/>
    <s v="Delivered"/>
    <s v="Net Banking"/>
    <s v="05-2024"/>
    <x v="1"/>
    <x v="233"/>
    <s v="Profit"/>
    <s v="Low (1-10%)"/>
  </r>
  <r>
    <s v="ODR00235"/>
    <d v="2024-10-09T00:00:00"/>
    <s v="Saanvi Iyer"/>
    <x v="3"/>
    <s v="Mumbai"/>
    <s v="Office Supplies"/>
    <s v="Pen"/>
    <s v="Pen - Office Supplies"/>
    <x v="234"/>
    <n v="8"/>
    <n v="15"/>
    <n v="1031.06"/>
    <s v="In Transit"/>
    <s v="Credit Card"/>
    <s v="10-2024"/>
    <x v="1"/>
    <x v="234"/>
    <s v="Profit"/>
    <s v="Mid (11-20%)"/>
  </r>
  <r>
    <s v="ODR00236"/>
    <d v="2025-04-26T00:00:00"/>
    <s v="Saanvi Iyer"/>
    <x v="2"/>
    <s v="Hyderabad"/>
    <s v="Technology"/>
    <s v="Mobile"/>
    <s v="Mobile - Technology"/>
    <x v="235"/>
    <n v="8"/>
    <n v="6"/>
    <n v="1874.78"/>
    <s v="In Transit"/>
    <s v="Credit Card"/>
    <s v="04-2025"/>
    <x v="0"/>
    <x v="235"/>
    <s v="Profit"/>
    <s v="Low (1-10%)"/>
  </r>
  <r>
    <s v="ODR00237"/>
    <d v="2024-12-23T00:00:00"/>
    <s v="Ishaan Mehta"/>
    <x v="2"/>
    <s v="Hyderabad"/>
    <s v="Furniture"/>
    <s v="Cupboard"/>
    <s v="Cupboard - Furniture"/>
    <x v="236"/>
    <n v="9"/>
    <n v="19"/>
    <n v="2249.7600000000002"/>
    <s v="Returned"/>
    <s v="Cash"/>
    <s v="12-2024"/>
    <x v="1"/>
    <x v="236"/>
    <s v="Profit"/>
    <s v="Mid (11-20%)"/>
  </r>
  <r>
    <s v="ODR00238"/>
    <d v="2025-01-20T00:00:00"/>
    <s v="Saanvi Iyer"/>
    <x v="2"/>
    <s v="Hyderabad"/>
    <s v="Technology"/>
    <s v="Printer"/>
    <s v="Printer - Technology"/>
    <x v="237"/>
    <n v="5"/>
    <n v="9"/>
    <n v="1054.68"/>
    <s v="Delivered"/>
    <s v="Cash"/>
    <s v="01-2025"/>
    <x v="0"/>
    <x v="237"/>
    <s v="Profit"/>
    <s v="Low (1-10%)"/>
  </r>
  <r>
    <s v="ODR00239"/>
    <d v="2024-12-04T00:00:00"/>
    <s v="Riya Kapoor"/>
    <x v="3"/>
    <s v="Ahmedabad"/>
    <s v="Office Supplies"/>
    <s v="Notebook"/>
    <s v="Notebook - Office Supplies"/>
    <x v="238"/>
    <n v="4"/>
    <n v="30"/>
    <n v="549.95000000000005"/>
    <s v="Delivered"/>
    <s v="Credit Card"/>
    <s v="12-2024"/>
    <x v="1"/>
    <x v="238"/>
    <s v="Profit"/>
    <s v="High (&gt;20%)"/>
  </r>
  <r>
    <s v="ODR00240"/>
    <d v="2024-11-09T00:00:00"/>
    <s v="Krishna Das"/>
    <x v="0"/>
    <s v="Bhubaneswar"/>
    <s v="Office Supplies"/>
    <s v="Pen"/>
    <s v="Pen - Office Supplies"/>
    <x v="239"/>
    <n v="6"/>
    <n v="15"/>
    <n v="1248.94"/>
    <s v="In Transit"/>
    <s v="UPI"/>
    <s v="11-2024"/>
    <x v="1"/>
    <x v="239"/>
    <s v="Profit"/>
    <s v="Mid (11-20%)"/>
  </r>
  <r>
    <s v="ODR00241"/>
    <d v="2025-03-20T00:00:00"/>
    <s v="Diya Sharma"/>
    <x v="1"/>
    <s v="Lucknow"/>
    <s v="Furniture"/>
    <s v="Cupboard"/>
    <s v="Cupboard - Furniture"/>
    <x v="240"/>
    <n v="9"/>
    <n v="7.0000000000000009"/>
    <n v="1287.23"/>
    <s v="Delivered"/>
    <s v="Credit Card"/>
    <s v="03-2025"/>
    <x v="0"/>
    <x v="240"/>
    <s v="Profit"/>
    <s v="Low (1-10%)"/>
  </r>
  <r>
    <s v="ODR00242"/>
    <d v="2024-10-03T00:00:00"/>
    <s v="Arjun Verma"/>
    <x v="2"/>
    <s v="Hyderabad"/>
    <s v="Furniture"/>
    <s v="Table"/>
    <s v="Table - Furniture"/>
    <x v="241"/>
    <n v="10"/>
    <n v="12"/>
    <n v="1404.2"/>
    <s v="Returned"/>
    <s v="Cash"/>
    <s v="10-2024"/>
    <x v="1"/>
    <x v="241"/>
    <s v="Profit"/>
    <s v="Mid (11-20%)"/>
  </r>
  <r>
    <s v="ODR00243"/>
    <d v="2025-01-02T00:00:00"/>
    <s v="Ishaan Mehta"/>
    <x v="0"/>
    <s v="Kolkata"/>
    <s v="Furniture"/>
    <s v="Cupboard"/>
    <s v="Cupboard - Furniture"/>
    <x v="242"/>
    <n v="7"/>
    <n v="27"/>
    <n v="552.78"/>
    <s v="Delivered"/>
    <s v="Net Banking"/>
    <s v="01-2025"/>
    <x v="0"/>
    <x v="242"/>
    <s v="Profit"/>
    <s v="High (&gt;20%)"/>
  </r>
  <r>
    <s v="ODR00244"/>
    <d v="2025-04-14T00:00:00"/>
    <s v="Kriti Desai"/>
    <x v="2"/>
    <s v="Bangalore"/>
    <s v="Furniture"/>
    <s v="Cupboard"/>
    <s v="Cupboard - Furniture"/>
    <x v="243"/>
    <n v="10"/>
    <n v="8"/>
    <n v="810.68"/>
    <s v="Delivered"/>
    <s v="Net Banking"/>
    <s v="04-2025"/>
    <x v="0"/>
    <x v="243"/>
    <s v="Profit"/>
    <s v="Low (1-10%)"/>
  </r>
  <r>
    <s v="ODR00245"/>
    <d v="2025-05-01T00:00:00"/>
    <s v="Saanvi Iyer"/>
    <x v="3"/>
    <s v="Mumbai"/>
    <s v="Technology"/>
    <s v="Laptop"/>
    <s v="Laptop - Technology"/>
    <x v="244"/>
    <n v="2"/>
    <n v="2"/>
    <n v="108.43"/>
    <s v="Delivered"/>
    <s v="Credit Card"/>
    <s v="05-2025"/>
    <x v="0"/>
    <x v="244"/>
    <s v="Profit"/>
    <s v="Low (1-10%)"/>
  </r>
  <r>
    <s v="ODR00246"/>
    <d v="2024-10-27T00:00:00"/>
    <s v="Diya Sharma"/>
    <x v="0"/>
    <s v="Kolkata"/>
    <s v="Furniture"/>
    <s v="Chair"/>
    <s v="Chair - Furniture"/>
    <x v="245"/>
    <n v="8"/>
    <n v="22"/>
    <n v="651.95000000000005"/>
    <s v="Returned"/>
    <s v="Cash"/>
    <s v="10-2024"/>
    <x v="1"/>
    <x v="245"/>
    <s v="Profit"/>
    <s v="High (&gt;20%)"/>
  </r>
  <r>
    <s v="ODR00247"/>
    <d v="2024-06-10T00:00:00"/>
    <s v="Yuvraj Chauhan"/>
    <x v="0"/>
    <s v="Patna"/>
    <s v="Office Supplies"/>
    <s v="Stapler"/>
    <s v="Stapler - Office Supplies"/>
    <x v="246"/>
    <n v="5"/>
    <n v="1"/>
    <n v="965.89"/>
    <s v="Returned"/>
    <s v="Cash"/>
    <s v="06-2024"/>
    <x v="1"/>
    <x v="246"/>
    <s v="Profit"/>
    <s v="Low (1-10%)"/>
  </r>
  <r>
    <s v="ODR00248"/>
    <d v="2025-01-25T00:00:00"/>
    <s v="Kriti Desai"/>
    <x v="1"/>
    <s v="Jaipur"/>
    <s v="Furniture"/>
    <s v="Cupboard"/>
    <s v="Cupboard - Furniture"/>
    <x v="247"/>
    <n v="3"/>
    <n v="21"/>
    <n v="397.8"/>
    <s v="Returned"/>
    <s v="Net Banking"/>
    <s v="01-2025"/>
    <x v="0"/>
    <x v="247"/>
    <s v="Profit"/>
    <s v="High (&gt;20%)"/>
  </r>
  <r>
    <s v="ODR00249"/>
    <d v="2025-04-29T00:00:00"/>
    <s v="Tanishq Ghosh"/>
    <x v="3"/>
    <s v="Ahmedabad"/>
    <s v="Office Supplies"/>
    <s v="Notebook"/>
    <s v="Notebook - Office Supplies"/>
    <x v="248"/>
    <n v="6"/>
    <n v="28"/>
    <n v="781.74"/>
    <s v="Delivered"/>
    <s v="Net Banking"/>
    <s v="04-2025"/>
    <x v="0"/>
    <x v="248"/>
    <s v="Profit"/>
    <s v="High (&gt;20%)"/>
  </r>
  <r>
    <s v="ODR00250"/>
    <d v="2024-06-06T00:00:00"/>
    <s v="Arjun Verma"/>
    <x v="2"/>
    <s v="Hyderabad"/>
    <s v="Office Supplies"/>
    <s v="Envelope"/>
    <s v="Envelope - Office Supplies"/>
    <x v="249"/>
    <n v="10"/>
    <n v="15"/>
    <n v="2590.7800000000002"/>
    <s v="In Transit"/>
    <s v="Net Banking"/>
    <s v="06-2024"/>
    <x v="1"/>
    <x v="249"/>
    <s v="Profit"/>
    <s v="Mid (11-20%)"/>
  </r>
  <r>
    <s v="ODR00251"/>
    <d v="2025-01-01T00:00:00"/>
    <s v="Saanvi Iyer"/>
    <x v="2"/>
    <s v="Hyderabad"/>
    <s v="Technology"/>
    <s v="Mobile"/>
    <s v="Mobile - Technology"/>
    <x v="250"/>
    <n v="5"/>
    <n v="19"/>
    <n v="1195.8499999999999"/>
    <s v="Returned"/>
    <s v="Net Banking"/>
    <s v="01-2025"/>
    <x v="0"/>
    <x v="250"/>
    <s v="Profit"/>
    <s v="Mid (11-20%)"/>
  </r>
  <r>
    <s v="ODR00252"/>
    <d v="2024-05-18T00:00:00"/>
    <s v="Yuvraj Chauhan"/>
    <x v="1"/>
    <s v="Delhi"/>
    <s v="Furniture"/>
    <s v="Table"/>
    <s v="Table - Furniture"/>
    <x v="251"/>
    <n v="8"/>
    <n v="28"/>
    <n v="572.64"/>
    <s v="Delivered"/>
    <s v="Cash"/>
    <s v="05-2024"/>
    <x v="1"/>
    <x v="251"/>
    <s v="Profit"/>
    <s v="High (&gt;20%)"/>
  </r>
  <r>
    <s v="ODR00253"/>
    <d v="2024-08-07T00:00:00"/>
    <s v="Riya Kapoor"/>
    <x v="3"/>
    <s v="Nagpur"/>
    <s v="Office Supplies"/>
    <s v="Stapler"/>
    <s v="Stapler - Office Supplies"/>
    <x v="252"/>
    <n v="6"/>
    <n v="1"/>
    <n v="1180.47"/>
    <s v="Returned"/>
    <s v="Net Banking"/>
    <s v="08-2024"/>
    <x v="1"/>
    <x v="252"/>
    <s v="Profit"/>
    <s v="Low (1-10%)"/>
  </r>
  <r>
    <s v="ODR00254"/>
    <d v="2024-09-01T00:00:00"/>
    <s v="Yuvraj Chauhan"/>
    <x v="2"/>
    <s v="Hyderabad"/>
    <s v="Furniture"/>
    <s v="Sofa"/>
    <s v="Sofa - Furniture"/>
    <x v="253"/>
    <n v="3"/>
    <n v="14"/>
    <n v="439.61"/>
    <s v="Delivered"/>
    <s v="Net Banking"/>
    <s v="09-2024"/>
    <x v="1"/>
    <x v="253"/>
    <s v="Profit"/>
    <s v="Mid (11-20%)"/>
  </r>
  <r>
    <s v="ODR00255"/>
    <d v="2025-03-06T00:00:00"/>
    <s v="Anaya Singh"/>
    <x v="2"/>
    <s v="Bangalore"/>
    <s v="Furniture"/>
    <s v="Sofa"/>
    <s v="Sofa - Furniture"/>
    <x v="254"/>
    <n v="9"/>
    <n v="6"/>
    <n v="1371.34"/>
    <s v="Returned"/>
    <s v="Net Banking"/>
    <s v="03-2025"/>
    <x v="0"/>
    <x v="254"/>
    <s v="Profit"/>
    <s v="Low (1-10%)"/>
  </r>
  <r>
    <s v="ODR00256"/>
    <d v="2024-10-08T00:00:00"/>
    <s v="Ishaan Mehta"/>
    <x v="2"/>
    <s v="Chennai"/>
    <s v="Furniture"/>
    <s v="Table"/>
    <s v="Table - Furniture"/>
    <x v="255"/>
    <n v="2"/>
    <n v="24"/>
    <n v="189.55"/>
    <s v="Delivered"/>
    <s v="Cash"/>
    <s v="10-2024"/>
    <x v="1"/>
    <x v="255"/>
    <s v="Profit"/>
    <s v="High (&gt;20%)"/>
  </r>
  <r>
    <s v="ODR00257"/>
    <d v="2025-05-01T00:00:00"/>
    <s v="Anaya Singh"/>
    <x v="2"/>
    <s v="Bangalore"/>
    <s v="Furniture"/>
    <s v="Table"/>
    <s v="Table - Furniture"/>
    <x v="256"/>
    <n v="10"/>
    <n v="2"/>
    <n v="344.83"/>
    <s v="Delivered"/>
    <s v="Net Banking"/>
    <s v="05-2025"/>
    <x v="0"/>
    <x v="256"/>
    <s v="Profit"/>
    <s v="Low (1-10%)"/>
  </r>
  <r>
    <s v="ODR00258"/>
    <d v="2025-03-17T00:00:00"/>
    <s v="Diya Sharma"/>
    <x v="2"/>
    <s v="Hyderabad"/>
    <s v="Office Supplies"/>
    <s v="Pen"/>
    <s v="Pen - Office Supplies"/>
    <x v="257"/>
    <n v="8"/>
    <n v="28"/>
    <n v="818.19"/>
    <s v="In Transit"/>
    <s v="Net Banking"/>
    <s v="03-2025"/>
    <x v="0"/>
    <x v="257"/>
    <s v="Profit"/>
    <s v="High (&gt;20%)"/>
  </r>
  <r>
    <s v="ODR00259"/>
    <d v="2024-06-27T00:00:00"/>
    <s v="Sneha Reddy"/>
    <x v="1"/>
    <s v="Jaipur"/>
    <s v="Furniture"/>
    <s v="Sofa"/>
    <s v="Sofa - Furniture"/>
    <x v="258"/>
    <n v="4"/>
    <n v="1"/>
    <n v="52.23"/>
    <s v="Returned"/>
    <s v="UPI"/>
    <s v="06-2024"/>
    <x v="1"/>
    <x v="258"/>
    <s v="Profit"/>
    <s v="Low (1-10%)"/>
  </r>
  <r>
    <s v="ODR00260"/>
    <d v="2024-08-04T00:00:00"/>
    <s v="Diya Sharma"/>
    <x v="0"/>
    <s v="Bhubaneswar"/>
    <s v="Technology"/>
    <s v="Mobile"/>
    <s v="Mobile - Technology"/>
    <x v="259"/>
    <n v="4"/>
    <n v="27"/>
    <n v="755.07"/>
    <s v="Returned"/>
    <s v="UPI"/>
    <s v="08-2024"/>
    <x v="1"/>
    <x v="259"/>
    <s v="Profit"/>
    <s v="High (&gt;20%)"/>
  </r>
  <r>
    <s v="ODR00261"/>
    <d v="2025-02-26T00:00:00"/>
    <s v="Kriti Desai"/>
    <x v="0"/>
    <s v="Patna"/>
    <s v="Technology"/>
    <s v="Mobile"/>
    <s v="Mobile - Technology"/>
    <x v="260"/>
    <n v="1"/>
    <n v="15"/>
    <n v="127.15"/>
    <s v="In Transit"/>
    <s v="UPI"/>
    <s v="02-2025"/>
    <x v="0"/>
    <x v="260"/>
    <s v="Profit"/>
    <s v="Mid (11-20%)"/>
  </r>
  <r>
    <s v="ODR00262"/>
    <d v="2024-08-06T00:00:00"/>
    <s v="Diya Sharma"/>
    <x v="3"/>
    <s v="Indore"/>
    <s v="Furniture"/>
    <s v="Table"/>
    <s v="Table - Furniture"/>
    <x v="261"/>
    <n v="10"/>
    <n v="5"/>
    <n v="2087.16"/>
    <s v="Returned"/>
    <s v="UPI"/>
    <s v="08-2024"/>
    <x v="1"/>
    <x v="261"/>
    <s v="Profit"/>
    <s v="Low (1-10%)"/>
  </r>
  <r>
    <s v="ODR00263"/>
    <d v="2024-10-16T00:00:00"/>
    <s v="Yuvraj Chauhan"/>
    <x v="2"/>
    <s v="Chennai"/>
    <s v="Furniture"/>
    <s v="Chair"/>
    <s v="Chair - Furniture"/>
    <x v="262"/>
    <n v="5"/>
    <n v="29"/>
    <n v="332.29"/>
    <s v="In Transit"/>
    <s v="Credit Card"/>
    <s v="10-2024"/>
    <x v="1"/>
    <x v="262"/>
    <s v="Profit"/>
    <s v="High (&gt;20%)"/>
  </r>
  <r>
    <s v="ODR00264"/>
    <d v="2024-07-24T00:00:00"/>
    <s v="Aarav Patel"/>
    <x v="1"/>
    <s v="Jaipur"/>
    <s v="Technology"/>
    <s v="Tablet"/>
    <s v="Tablet - Technology"/>
    <x v="263"/>
    <n v="4"/>
    <n v="15"/>
    <n v="298.97000000000003"/>
    <s v="Delivered"/>
    <s v="Cash"/>
    <s v="07-2024"/>
    <x v="1"/>
    <x v="263"/>
    <s v="Profit"/>
    <s v="Mid (11-20%)"/>
  </r>
  <r>
    <s v="ODR00265"/>
    <d v="2025-04-16T00:00:00"/>
    <s v="Vivaan Shah"/>
    <x v="1"/>
    <s v="Chandigarh"/>
    <s v="Office Supplies"/>
    <s v="Pen"/>
    <s v="Pen - Office Supplies"/>
    <x v="264"/>
    <n v="10"/>
    <n v="2"/>
    <n v="1067.6199999999999"/>
    <s v="In Transit"/>
    <s v="Credit Card"/>
    <s v="04-2025"/>
    <x v="0"/>
    <x v="264"/>
    <s v="Profit"/>
    <s v="Low (1-10%)"/>
  </r>
  <r>
    <s v="ODR00266"/>
    <d v="2024-07-26T00:00:00"/>
    <s v="Riya Kapoor"/>
    <x v="1"/>
    <s v="Delhi"/>
    <s v="Office Supplies"/>
    <s v="Pen"/>
    <s v="Pen - Office Supplies"/>
    <x v="265"/>
    <n v="1"/>
    <n v="9"/>
    <n v="156.77000000000001"/>
    <s v="In Transit"/>
    <s v="UPI"/>
    <s v="07-2024"/>
    <x v="1"/>
    <x v="265"/>
    <s v="Profit"/>
    <s v="Low (1-10%)"/>
  </r>
  <r>
    <s v="ODR00267"/>
    <d v="2025-05-03T00:00:00"/>
    <s v="Krishna Das"/>
    <x v="1"/>
    <s v="Lucknow"/>
    <s v="Technology"/>
    <s v="Printer"/>
    <s v="Printer - Technology"/>
    <x v="266"/>
    <n v="3"/>
    <n v="24"/>
    <n v="108.13"/>
    <s v="Returned"/>
    <s v="Cash"/>
    <s v="05-2025"/>
    <x v="0"/>
    <x v="266"/>
    <s v="Profit"/>
    <s v="High (&gt;20%)"/>
  </r>
  <r>
    <s v="ODR00268"/>
    <d v="2025-04-28T00:00:00"/>
    <s v="Arjun Verma"/>
    <x v="3"/>
    <s v="Nagpur"/>
    <s v="Furniture"/>
    <s v="Cupboard"/>
    <s v="Cupboard - Furniture"/>
    <x v="267"/>
    <n v="10"/>
    <n v="10"/>
    <n v="203.39"/>
    <s v="Returned"/>
    <s v="Credit Card"/>
    <s v="04-2025"/>
    <x v="0"/>
    <x v="267"/>
    <s v="Profit"/>
    <s v="Low (1-10%)"/>
  </r>
  <r>
    <s v="ODR00269"/>
    <d v="2025-04-03T00:00:00"/>
    <s v="Meera Joshi"/>
    <x v="2"/>
    <s v="Hyderabad"/>
    <s v="Technology"/>
    <s v="Mobile"/>
    <s v="Mobile - Technology"/>
    <x v="268"/>
    <n v="8"/>
    <n v="7.0000000000000009"/>
    <n v="3074.62"/>
    <s v="Returned"/>
    <s v="Net Banking"/>
    <s v="04-2025"/>
    <x v="0"/>
    <x v="268"/>
    <s v="Profit"/>
    <s v="Low (1-10%)"/>
  </r>
  <r>
    <s v="ODR00270"/>
    <d v="2025-02-16T00:00:00"/>
    <s v="Saanvi Iyer"/>
    <x v="3"/>
    <s v="Indore"/>
    <s v="Office Supplies"/>
    <s v="Stapler"/>
    <s v="Stapler - Office Supplies"/>
    <x v="269"/>
    <n v="2"/>
    <n v="24"/>
    <n v="98.47"/>
    <s v="Returned"/>
    <s v="Net Banking"/>
    <s v="02-2025"/>
    <x v="0"/>
    <x v="269"/>
    <s v="Profit"/>
    <s v="High (&gt;20%)"/>
  </r>
  <r>
    <s v="ODR00271"/>
    <d v="2025-01-26T00:00:00"/>
    <s v="Saanvi Iyer"/>
    <x v="3"/>
    <s v="Indore"/>
    <s v="Furniture"/>
    <s v="Table"/>
    <s v="Table - Furniture"/>
    <x v="270"/>
    <n v="10"/>
    <n v="12"/>
    <n v="1336.04"/>
    <s v="In Transit"/>
    <s v="Net Banking"/>
    <s v="01-2025"/>
    <x v="0"/>
    <x v="270"/>
    <s v="Profit"/>
    <s v="Mid (11-20%)"/>
  </r>
  <r>
    <s v="ODR00272"/>
    <d v="2024-06-30T00:00:00"/>
    <s v="Kabir Nair"/>
    <x v="3"/>
    <s v="Indore"/>
    <s v="Technology"/>
    <s v="Laptop"/>
    <s v="Laptop - Technology"/>
    <x v="271"/>
    <n v="9"/>
    <n v="30"/>
    <n v="803.26"/>
    <s v="Returned"/>
    <s v="Cash"/>
    <s v="06-2024"/>
    <x v="1"/>
    <x v="271"/>
    <s v="Profit"/>
    <s v="High (&gt;20%)"/>
  </r>
  <r>
    <s v="ODR00273"/>
    <d v="2024-12-14T00:00:00"/>
    <s v="Vivaan Shah"/>
    <x v="1"/>
    <s v="Chandigarh"/>
    <s v="Office Supplies"/>
    <s v="Pen"/>
    <s v="Pen - Office Supplies"/>
    <x v="272"/>
    <n v="10"/>
    <n v="24"/>
    <n v="128.87"/>
    <s v="Delivered"/>
    <s v="Cash"/>
    <s v="12-2024"/>
    <x v="1"/>
    <x v="272"/>
    <s v="Profit"/>
    <s v="High (&gt;20%)"/>
  </r>
  <r>
    <s v="ODR00274"/>
    <d v="2024-09-14T00:00:00"/>
    <s v="Ishaan Mehta"/>
    <x v="0"/>
    <s v="Patna"/>
    <s v="Furniture"/>
    <s v="Table"/>
    <s v="Table - Furniture"/>
    <x v="273"/>
    <n v="4"/>
    <n v="2"/>
    <n v="908.73"/>
    <s v="Returned"/>
    <s v="UPI"/>
    <s v="09-2024"/>
    <x v="1"/>
    <x v="273"/>
    <s v="Profit"/>
    <s v="Low (1-10%)"/>
  </r>
  <r>
    <s v="ODR00275"/>
    <d v="2024-07-02T00:00:00"/>
    <s v="Tanishq Ghosh"/>
    <x v="0"/>
    <s v="Kolkata"/>
    <s v="Technology"/>
    <s v="Tablet"/>
    <s v="Tablet - Technology"/>
    <x v="274"/>
    <n v="6"/>
    <n v="27"/>
    <n v="361.41"/>
    <s v="In Transit"/>
    <s v="Cash"/>
    <s v="07-2024"/>
    <x v="1"/>
    <x v="274"/>
    <s v="Profit"/>
    <s v="High (&gt;20%)"/>
  </r>
  <r>
    <s v="ODR00276"/>
    <d v="2024-05-24T00:00:00"/>
    <s v="Kriti Desai"/>
    <x v="2"/>
    <s v="Chennai"/>
    <s v="Furniture"/>
    <s v="Sofa"/>
    <s v="Sofa - Furniture"/>
    <x v="275"/>
    <n v="7"/>
    <n v="9"/>
    <n v="2097.65"/>
    <s v="Delivered"/>
    <s v="UPI"/>
    <s v="05-2024"/>
    <x v="1"/>
    <x v="275"/>
    <s v="Profit"/>
    <s v="Low (1-10%)"/>
  </r>
  <r>
    <s v="ODR00277"/>
    <d v="2024-08-02T00:00:00"/>
    <s v="Kriti Desai"/>
    <x v="1"/>
    <s v="Chandigarh"/>
    <s v="Furniture"/>
    <s v="Sofa"/>
    <s v="Sofa - Furniture"/>
    <x v="276"/>
    <n v="4"/>
    <n v="19"/>
    <n v="507.66"/>
    <s v="Returned"/>
    <s v="Net Banking"/>
    <s v="08-2024"/>
    <x v="1"/>
    <x v="276"/>
    <s v="Profit"/>
    <s v="Mid (11-20%)"/>
  </r>
  <r>
    <s v="ODR00278"/>
    <d v="2024-10-09T00:00:00"/>
    <s v="Ishaan Mehta"/>
    <x v="1"/>
    <s v="Jaipur"/>
    <s v="Furniture"/>
    <s v="Table"/>
    <s v="Table - Furniture"/>
    <x v="277"/>
    <n v="2"/>
    <n v="0"/>
    <n v="94.75"/>
    <s v="Returned"/>
    <s v="Credit Card"/>
    <s v="10-2024"/>
    <x v="1"/>
    <x v="277"/>
    <s v="Profit"/>
    <s v="No Discount"/>
  </r>
  <r>
    <s v="ODR00279"/>
    <d v="2025-04-20T00:00:00"/>
    <s v="Riya Kapoor"/>
    <x v="1"/>
    <s v="Chandigarh"/>
    <s v="Office Supplies"/>
    <s v="Notebook"/>
    <s v="Notebook - Office Supplies"/>
    <x v="278"/>
    <n v="1"/>
    <n v="12"/>
    <n v="275.02999999999997"/>
    <s v="Delivered"/>
    <s v="UPI"/>
    <s v="04-2025"/>
    <x v="0"/>
    <x v="278"/>
    <s v="Profit"/>
    <s v="Mid (11-20%)"/>
  </r>
  <r>
    <s v="ODR00280"/>
    <d v="2025-03-13T00:00:00"/>
    <s v="Vivaan Shah"/>
    <x v="2"/>
    <s v="Bangalore"/>
    <s v="Office Supplies"/>
    <s v="Envelope"/>
    <s v="Envelope - Office Supplies"/>
    <x v="279"/>
    <n v="10"/>
    <n v="19"/>
    <n v="2363.31"/>
    <s v="Delivered"/>
    <s v="Net Banking"/>
    <s v="03-2025"/>
    <x v="0"/>
    <x v="279"/>
    <s v="Profit"/>
    <s v="Mid (11-20%)"/>
  </r>
  <r>
    <s v="ODR00281"/>
    <d v="2024-07-21T00:00:00"/>
    <s v="Yuvraj Chauhan"/>
    <x v="2"/>
    <s v="Hyderabad"/>
    <s v="Technology"/>
    <s v="Mobile"/>
    <s v="Mobile - Technology"/>
    <x v="280"/>
    <n v="6"/>
    <n v="22"/>
    <n v="631.66"/>
    <s v="Delivered"/>
    <s v="Net Banking"/>
    <s v="07-2024"/>
    <x v="1"/>
    <x v="280"/>
    <s v="Profit"/>
    <s v="High (&gt;20%)"/>
  </r>
  <r>
    <s v="ODR00282"/>
    <d v="2024-11-13T00:00:00"/>
    <s v="Arjun Verma"/>
    <x v="0"/>
    <s v="Bhubaneswar"/>
    <s v="Office Supplies"/>
    <s v="Pen"/>
    <s v="Pen - Office Supplies"/>
    <x v="281"/>
    <n v="6"/>
    <n v="19"/>
    <n v="486.97"/>
    <s v="Returned"/>
    <s v="UPI"/>
    <s v="11-2024"/>
    <x v="1"/>
    <x v="281"/>
    <s v="Profit"/>
    <s v="Mid (11-20%)"/>
  </r>
  <r>
    <s v="ODR00283"/>
    <d v="2024-08-10T00:00:00"/>
    <s v="Anaya Singh"/>
    <x v="2"/>
    <s v="Chennai"/>
    <s v="Technology"/>
    <s v="Mobile"/>
    <s v="Mobile - Technology"/>
    <x v="282"/>
    <n v="2"/>
    <n v="13"/>
    <n v="438.25"/>
    <s v="In Transit"/>
    <s v="Net Banking"/>
    <s v="08-2024"/>
    <x v="1"/>
    <x v="282"/>
    <s v="Profit"/>
    <s v="Mid (11-20%)"/>
  </r>
  <r>
    <s v="ODR00284"/>
    <d v="2024-05-20T00:00:00"/>
    <s v="Krishna Das"/>
    <x v="0"/>
    <s v="Kolkata"/>
    <s v="Technology"/>
    <s v="Tablet"/>
    <s v="Tablet - Technology"/>
    <x v="283"/>
    <n v="2"/>
    <n v="12"/>
    <n v="722.87"/>
    <s v="In Transit"/>
    <s v="UPI"/>
    <s v="05-2024"/>
    <x v="1"/>
    <x v="283"/>
    <s v="Profit"/>
    <s v="Mid (11-20%)"/>
  </r>
  <r>
    <s v="ODR00285"/>
    <d v="2024-06-18T00:00:00"/>
    <s v="Diya Sharma"/>
    <x v="0"/>
    <s v="Kolkata"/>
    <s v="Furniture"/>
    <s v="Table"/>
    <s v="Table - Furniture"/>
    <x v="284"/>
    <n v="9"/>
    <n v="1"/>
    <n v="807.7"/>
    <s v="Delivered"/>
    <s v="Credit Card"/>
    <s v="06-2024"/>
    <x v="1"/>
    <x v="284"/>
    <s v="Profit"/>
    <s v="Low (1-10%)"/>
  </r>
  <r>
    <s v="ODR00286"/>
    <d v="2025-01-15T00:00:00"/>
    <s v="Arjun Verma"/>
    <x v="1"/>
    <s v="Lucknow"/>
    <s v="Office Supplies"/>
    <s v="Notebook"/>
    <s v="Notebook - Office Supplies"/>
    <x v="285"/>
    <n v="4"/>
    <n v="8"/>
    <n v="593.76"/>
    <s v="Delivered"/>
    <s v="Cash"/>
    <s v="01-2025"/>
    <x v="0"/>
    <x v="285"/>
    <s v="Profit"/>
    <s v="Low (1-10%)"/>
  </r>
  <r>
    <s v="ODR00287"/>
    <d v="2024-09-04T00:00:00"/>
    <s v="Diya Sharma"/>
    <x v="2"/>
    <s v="Bangalore"/>
    <s v="Furniture"/>
    <s v="Chair"/>
    <s v="Chair - Furniture"/>
    <x v="286"/>
    <n v="9"/>
    <n v="8"/>
    <n v="509.97"/>
    <s v="Delivered"/>
    <s v="Credit Card"/>
    <s v="09-2024"/>
    <x v="1"/>
    <x v="286"/>
    <s v="Profit"/>
    <s v="Low (1-10%)"/>
  </r>
  <r>
    <s v="ODR00288"/>
    <d v="2025-04-07T00:00:00"/>
    <s v="Kriti Desai"/>
    <x v="3"/>
    <s v="Ahmedabad"/>
    <s v="Office Supplies"/>
    <s v="Notebook"/>
    <s v="Notebook - Office Supplies"/>
    <x v="287"/>
    <n v="3"/>
    <n v="5"/>
    <n v="845.87"/>
    <s v="Delivered"/>
    <s v="Credit Card"/>
    <s v="04-2025"/>
    <x v="0"/>
    <x v="287"/>
    <s v="Profit"/>
    <s v="Low (1-10%)"/>
  </r>
  <r>
    <s v="ODR00289"/>
    <d v="2025-03-08T00:00:00"/>
    <s v="Kriti Desai"/>
    <x v="0"/>
    <s v="Bhubaneswar"/>
    <s v="Technology"/>
    <s v="Printer"/>
    <s v="Printer - Technology"/>
    <x v="288"/>
    <n v="9"/>
    <n v="12"/>
    <n v="273.68"/>
    <s v="Delivered"/>
    <s v="Net Banking"/>
    <s v="03-2025"/>
    <x v="0"/>
    <x v="288"/>
    <s v="Profit"/>
    <s v="Mid (11-20%)"/>
  </r>
  <r>
    <s v="ODR00290"/>
    <d v="2025-04-01T00:00:00"/>
    <s v="Diya Sharma"/>
    <x v="1"/>
    <s v="Jaipur"/>
    <s v="Office Supplies"/>
    <s v="Notebook"/>
    <s v="Notebook - Office Supplies"/>
    <x v="289"/>
    <n v="2"/>
    <n v="5"/>
    <n v="417.01"/>
    <s v="Delivered"/>
    <s v="Net Banking"/>
    <s v="04-2025"/>
    <x v="0"/>
    <x v="289"/>
    <s v="Profit"/>
    <s v="Low (1-10%)"/>
  </r>
  <r>
    <s v="ODR00291"/>
    <d v="2025-03-22T00:00:00"/>
    <s v="Kabir Nair"/>
    <x v="1"/>
    <s v="Chandigarh"/>
    <s v="Furniture"/>
    <s v="Sofa"/>
    <s v="Sofa - Furniture"/>
    <x v="290"/>
    <n v="7"/>
    <n v="17"/>
    <n v="1006.99"/>
    <s v="In Transit"/>
    <s v="Cash"/>
    <s v="03-2025"/>
    <x v="0"/>
    <x v="290"/>
    <s v="Profit"/>
    <s v="Mid (11-20%)"/>
  </r>
  <r>
    <s v="ODR00292"/>
    <d v="2025-04-02T00:00:00"/>
    <s v="Saanvi Iyer"/>
    <x v="1"/>
    <s v="Delhi"/>
    <s v="Furniture"/>
    <s v="Sofa"/>
    <s v="Sofa - Furniture"/>
    <x v="291"/>
    <n v="8"/>
    <n v="5"/>
    <n v="1934.32"/>
    <s v="In Transit"/>
    <s v="Net Banking"/>
    <s v="04-2025"/>
    <x v="0"/>
    <x v="291"/>
    <s v="Profit"/>
    <s v="Low (1-10%)"/>
  </r>
  <r>
    <s v="ODR00293"/>
    <d v="2024-06-03T00:00:00"/>
    <s v="Krishna Das"/>
    <x v="3"/>
    <s v="Mumbai"/>
    <s v="Office Supplies"/>
    <s v="Pen"/>
    <s v="Pen - Office Supplies"/>
    <x v="292"/>
    <n v="6"/>
    <n v="27"/>
    <n v="295.01"/>
    <s v="Delivered"/>
    <s v="Credit Card"/>
    <s v="06-2024"/>
    <x v="1"/>
    <x v="292"/>
    <s v="Profit"/>
    <s v="High (&gt;20%)"/>
  </r>
  <r>
    <s v="ODR00294"/>
    <d v="2024-12-05T00:00:00"/>
    <s v="Anaya Singh"/>
    <x v="2"/>
    <s v="Chennai"/>
    <s v="Office Supplies"/>
    <s v="Pen"/>
    <s v="Pen - Office Supplies"/>
    <x v="293"/>
    <n v="7"/>
    <n v="27"/>
    <n v="968.94"/>
    <s v="In Transit"/>
    <s v="Credit Card"/>
    <s v="12-2024"/>
    <x v="1"/>
    <x v="293"/>
    <s v="Profit"/>
    <s v="High (&gt;20%)"/>
  </r>
  <r>
    <s v="ODR00295"/>
    <d v="2024-07-02T00:00:00"/>
    <s v="Diya Sharma"/>
    <x v="1"/>
    <s v="Delhi"/>
    <s v="Furniture"/>
    <s v="Sofa"/>
    <s v="Sofa - Furniture"/>
    <x v="294"/>
    <n v="1"/>
    <n v="2"/>
    <n v="265.82"/>
    <s v="In Transit"/>
    <s v="Net Banking"/>
    <s v="07-2024"/>
    <x v="1"/>
    <x v="294"/>
    <s v="Profit"/>
    <s v="Low (1-10%)"/>
  </r>
  <r>
    <s v="ODR00296"/>
    <d v="2025-04-11T00:00:00"/>
    <s v="Vivaan Shah"/>
    <x v="3"/>
    <s v="Ahmedabad"/>
    <s v="Furniture"/>
    <s v="Cupboard"/>
    <s v="Cupboard - Furniture"/>
    <x v="295"/>
    <n v="6"/>
    <n v="2"/>
    <n v="289.39"/>
    <s v="Delivered"/>
    <s v="Cash"/>
    <s v="04-2025"/>
    <x v="0"/>
    <x v="295"/>
    <s v="Profit"/>
    <s v="Low (1-10%)"/>
  </r>
  <r>
    <s v="ODR00297"/>
    <d v="2024-12-07T00:00:00"/>
    <s v="Kriti Desai"/>
    <x v="1"/>
    <s v="Lucknow"/>
    <s v="Technology"/>
    <s v="Laptop"/>
    <s v="Laptop - Technology"/>
    <x v="296"/>
    <n v="8"/>
    <n v="5"/>
    <n v="899.79"/>
    <s v="Returned"/>
    <s v="Credit Card"/>
    <s v="12-2024"/>
    <x v="1"/>
    <x v="296"/>
    <s v="Profit"/>
    <s v="Low (1-10%)"/>
  </r>
  <r>
    <s v="ODR00298"/>
    <d v="2024-12-12T00:00:00"/>
    <s v="Kabir Nair"/>
    <x v="3"/>
    <s v="Ahmedabad"/>
    <s v="Furniture"/>
    <s v="Cupboard"/>
    <s v="Cupboard - Furniture"/>
    <x v="297"/>
    <n v="8"/>
    <n v="1"/>
    <n v="1750.48"/>
    <s v="Delivered"/>
    <s v="Net Banking"/>
    <s v="12-2024"/>
    <x v="1"/>
    <x v="297"/>
    <s v="Profit"/>
    <s v="Low (1-10%)"/>
  </r>
  <r>
    <s v="ODR00299"/>
    <d v="2024-07-14T00:00:00"/>
    <s v="Anaya Singh"/>
    <x v="3"/>
    <s v="Mumbai"/>
    <s v="Furniture"/>
    <s v="Sofa"/>
    <s v="Sofa - Furniture"/>
    <x v="298"/>
    <n v="10"/>
    <n v="27"/>
    <n v="922.36"/>
    <s v="Returned"/>
    <s v="UPI"/>
    <s v="07-2024"/>
    <x v="1"/>
    <x v="298"/>
    <s v="Profit"/>
    <s v="High (&gt;20%)"/>
  </r>
  <r>
    <s v="ODR00300"/>
    <d v="2024-07-17T00:00:00"/>
    <s v="Krishna Das"/>
    <x v="3"/>
    <s v="Mumbai"/>
    <s v="Office Supplies"/>
    <s v="Pen"/>
    <s v="Pen - Office Supplies"/>
    <x v="299"/>
    <n v="6"/>
    <n v="21"/>
    <n v="981.6"/>
    <s v="Delivered"/>
    <s v="UPI"/>
    <s v="07-2024"/>
    <x v="1"/>
    <x v="299"/>
    <s v="Profit"/>
    <s v="High (&gt;20%)"/>
  </r>
  <r>
    <s v="ODR00301"/>
    <d v="2024-07-11T00:00:00"/>
    <s v="Vivaan Shah"/>
    <x v="2"/>
    <s v="Hyderabad"/>
    <s v="Office Supplies"/>
    <s v="Stapler"/>
    <s v="Stapler - Office Supplies"/>
    <x v="300"/>
    <n v="7"/>
    <n v="8"/>
    <n v="1136.17"/>
    <s v="In Transit"/>
    <s v="Net Banking"/>
    <s v="07-2024"/>
    <x v="1"/>
    <x v="300"/>
    <s v="Profit"/>
    <s v="Low (1-10%)"/>
  </r>
  <r>
    <s v="ODR00302"/>
    <d v="2025-04-24T00:00:00"/>
    <s v="Yuvraj Chauhan"/>
    <x v="2"/>
    <s v="Hyderabad"/>
    <s v="Furniture"/>
    <s v="Cupboard"/>
    <s v="Cupboard - Furniture"/>
    <x v="301"/>
    <n v="4"/>
    <n v="22"/>
    <n v="450.58"/>
    <s v="Delivered"/>
    <s v="Credit Card"/>
    <s v="04-2025"/>
    <x v="0"/>
    <x v="301"/>
    <s v="Profit"/>
    <s v="High (&gt;20%)"/>
  </r>
  <r>
    <s v="ODR00303"/>
    <d v="2025-03-29T00:00:00"/>
    <s v="Sneha Reddy"/>
    <x v="2"/>
    <s v="Bangalore"/>
    <s v="Office Supplies"/>
    <s v="Stapler"/>
    <s v="Stapler - Office Supplies"/>
    <x v="302"/>
    <n v="4"/>
    <n v="26"/>
    <n v="174.5"/>
    <s v="Delivered"/>
    <s v="Net Banking"/>
    <s v="03-2025"/>
    <x v="0"/>
    <x v="302"/>
    <s v="Profit"/>
    <s v="High (&gt;20%)"/>
  </r>
  <r>
    <s v="ODR00304"/>
    <d v="2024-06-13T00:00:00"/>
    <s v="Sneha Reddy"/>
    <x v="1"/>
    <s v="Jaipur"/>
    <s v="Office Supplies"/>
    <s v="Stapler"/>
    <s v="Stapler - Office Supplies"/>
    <x v="303"/>
    <n v="2"/>
    <n v="16"/>
    <n v="165.3"/>
    <s v="In Transit"/>
    <s v="Cash"/>
    <s v="06-2024"/>
    <x v="1"/>
    <x v="303"/>
    <s v="Profit"/>
    <s v="Mid (11-20%)"/>
  </r>
  <r>
    <s v="ODR00305"/>
    <d v="2024-09-24T00:00:00"/>
    <s v="Vivaan Shah"/>
    <x v="2"/>
    <s v="Chennai"/>
    <s v="Furniture"/>
    <s v="Chair"/>
    <s v="Chair - Furniture"/>
    <x v="304"/>
    <n v="10"/>
    <n v="13"/>
    <n v="955.4"/>
    <s v="Delivered"/>
    <s v="UPI"/>
    <s v="09-2024"/>
    <x v="1"/>
    <x v="304"/>
    <s v="Profit"/>
    <s v="Mid (11-20%)"/>
  </r>
  <r>
    <s v="ODR00306"/>
    <d v="2024-09-11T00:00:00"/>
    <s v="Vivaan Shah"/>
    <x v="3"/>
    <s v="Nagpur"/>
    <s v="Office Supplies"/>
    <s v="Envelope"/>
    <s v="Envelope - Office Supplies"/>
    <x v="305"/>
    <n v="5"/>
    <n v="29"/>
    <n v="285.45"/>
    <s v="In Transit"/>
    <s v="Credit Card"/>
    <s v="09-2024"/>
    <x v="1"/>
    <x v="305"/>
    <s v="Profit"/>
    <s v="High (&gt;20%)"/>
  </r>
  <r>
    <s v="ODR00307"/>
    <d v="2025-04-07T00:00:00"/>
    <s v="Ishaan Mehta"/>
    <x v="2"/>
    <s v="Bangalore"/>
    <s v="Technology"/>
    <s v="Printer"/>
    <s v="Printer - Technology"/>
    <x v="306"/>
    <n v="3"/>
    <n v="8"/>
    <n v="804.34"/>
    <s v="In Transit"/>
    <s v="Credit Card"/>
    <s v="04-2025"/>
    <x v="0"/>
    <x v="306"/>
    <s v="Profit"/>
    <s v="Low (1-10%)"/>
  </r>
  <r>
    <s v="ODR00308"/>
    <d v="2024-09-27T00:00:00"/>
    <s v="Sneha Reddy"/>
    <x v="1"/>
    <s v="Jaipur"/>
    <s v="Furniture"/>
    <s v="Table"/>
    <s v="Table - Furniture"/>
    <x v="307"/>
    <n v="9"/>
    <n v="4"/>
    <n v="365.97"/>
    <s v="In Transit"/>
    <s v="UPI"/>
    <s v="09-2024"/>
    <x v="1"/>
    <x v="307"/>
    <s v="Profit"/>
    <s v="Low (1-10%)"/>
  </r>
  <r>
    <s v="ODR00309"/>
    <d v="2025-02-17T00:00:00"/>
    <s v="Arjun Verma"/>
    <x v="0"/>
    <s v="Kolkata"/>
    <s v="Furniture"/>
    <s v="Sofa"/>
    <s v="Sofa - Furniture"/>
    <x v="308"/>
    <n v="6"/>
    <n v="30"/>
    <n v="345.2"/>
    <s v="Returned"/>
    <s v="Cash"/>
    <s v="02-2025"/>
    <x v="0"/>
    <x v="308"/>
    <s v="Profit"/>
    <s v="High (&gt;20%)"/>
  </r>
  <r>
    <s v="ODR00310"/>
    <d v="2024-12-24T00:00:00"/>
    <s v="Aarav Patel"/>
    <x v="0"/>
    <s v="Kolkata"/>
    <s v="Technology"/>
    <s v="Mobile"/>
    <s v="Mobile - Technology"/>
    <x v="309"/>
    <n v="5"/>
    <n v="28"/>
    <n v="574.04999999999995"/>
    <s v="Returned"/>
    <s v="Cash"/>
    <s v="12-2024"/>
    <x v="1"/>
    <x v="309"/>
    <s v="Profit"/>
    <s v="High (&gt;20%)"/>
  </r>
  <r>
    <s v="ODR00311"/>
    <d v="2025-04-30T00:00:00"/>
    <s v="Saanvi Iyer"/>
    <x v="1"/>
    <s v="Jaipur"/>
    <s v="Technology"/>
    <s v="Laptop"/>
    <s v="Laptop - Technology"/>
    <x v="310"/>
    <n v="8"/>
    <n v="15"/>
    <n v="405.89"/>
    <s v="In Transit"/>
    <s v="Cash"/>
    <s v="04-2025"/>
    <x v="0"/>
    <x v="310"/>
    <s v="Profit"/>
    <s v="Mid (11-20%)"/>
  </r>
  <r>
    <s v="ODR00312"/>
    <d v="2025-01-04T00:00:00"/>
    <s v="Tanishq Ghosh"/>
    <x v="0"/>
    <s v="Kolkata"/>
    <s v="Technology"/>
    <s v="Tablet"/>
    <s v="Tablet - Technology"/>
    <x v="311"/>
    <n v="10"/>
    <n v="27"/>
    <n v="907.33"/>
    <s v="Returned"/>
    <s v="Cash"/>
    <s v="01-2025"/>
    <x v="0"/>
    <x v="311"/>
    <s v="Profit"/>
    <s v="High (&gt;20%)"/>
  </r>
  <r>
    <s v="ODR00313"/>
    <d v="2024-11-02T00:00:00"/>
    <s v="Diya Sharma"/>
    <x v="2"/>
    <s v="Chennai"/>
    <s v="Technology"/>
    <s v="Laptop"/>
    <s v="Laptop - Technology"/>
    <x v="312"/>
    <n v="3"/>
    <n v="7.0000000000000009"/>
    <n v="634.03"/>
    <s v="In Transit"/>
    <s v="UPI"/>
    <s v="11-2024"/>
    <x v="1"/>
    <x v="312"/>
    <s v="Profit"/>
    <s v="Low (1-10%)"/>
  </r>
  <r>
    <s v="ODR00314"/>
    <d v="2025-03-13T00:00:00"/>
    <s v="Diya Sharma"/>
    <x v="2"/>
    <s v="Bangalore"/>
    <s v="Technology"/>
    <s v="Tablet"/>
    <s v="Tablet - Technology"/>
    <x v="313"/>
    <n v="4"/>
    <n v="8"/>
    <n v="249.99"/>
    <s v="Returned"/>
    <s v="UPI"/>
    <s v="03-2025"/>
    <x v="0"/>
    <x v="313"/>
    <s v="Profit"/>
    <s v="Low (1-10%)"/>
  </r>
  <r>
    <s v="ODR00315"/>
    <d v="2025-04-26T00:00:00"/>
    <s v="Yuvraj Chauhan"/>
    <x v="0"/>
    <s v="Bhubaneswar"/>
    <s v="Office Supplies"/>
    <s v="Pen"/>
    <s v="Pen - Office Supplies"/>
    <x v="314"/>
    <n v="3"/>
    <n v="25"/>
    <n v="56.97"/>
    <s v="In Transit"/>
    <s v="Credit Card"/>
    <s v="04-2025"/>
    <x v="0"/>
    <x v="314"/>
    <s v="Profit"/>
    <s v="High (&gt;20%)"/>
  </r>
  <r>
    <s v="ODR00316"/>
    <d v="2025-04-10T00:00:00"/>
    <s v="Meera Joshi"/>
    <x v="0"/>
    <s v="Bhubaneswar"/>
    <s v="Office Supplies"/>
    <s v="Envelope"/>
    <s v="Envelope - Office Supplies"/>
    <x v="315"/>
    <n v="6"/>
    <n v="1"/>
    <n v="1955.03"/>
    <s v="In Transit"/>
    <s v="UPI"/>
    <s v="04-2025"/>
    <x v="0"/>
    <x v="315"/>
    <s v="Profit"/>
    <s v="Low (1-10%)"/>
  </r>
  <r>
    <s v="ODR00317"/>
    <d v="2024-08-27T00:00:00"/>
    <s v="Sneha Reddy"/>
    <x v="2"/>
    <s v="Hyderabad"/>
    <s v="Furniture"/>
    <s v="Chair"/>
    <s v="Chair - Furniture"/>
    <x v="316"/>
    <n v="1"/>
    <n v="14"/>
    <n v="304.38"/>
    <s v="Delivered"/>
    <s v="Credit Card"/>
    <s v="08-2024"/>
    <x v="1"/>
    <x v="316"/>
    <s v="Profit"/>
    <s v="Mid (11-20%)"/>
  </r>
  <r>
    <s v="ODR00318"/>
    <d v="2024-11-11T00:00:00"/>
    <s v="Kabir Nair"/>
    <x v="2"/>
    <s v="Hyderabad"/>
    <s v="Furniture"/>
    <s v="Sofa"/>
    <s v="Sofa - Furniture"/>
    <x v="317"/>
    <n v="2"/>
    <n v="25"/>
    <n v="216.22"/>
    <s v="In Transit"/>
    <s v="UPI"/>
    <s v="11-2024"/>
    <x v="1"/>
    <x v="317"/>
    <s v="Profit"/>
    <s v="High (&gt;20%)"/>
  </r>
  <r>
    <s v="ODR00319"/>
    <d v="2024-05-31T00:00:00"/>
    <s v="Ishaan Mehta"/>
    <x v="2"/>
    <s v="Chennai"/>
    <s v="Technology"/>
    <s v="Printer"/>
    <s v="Printer - Technology"/>
    <x v="318"/>
    <n v="1"/>
    <n v="21"/>
    <n v="63.65"/>
    <s v="Returned"/>
    <s v="Credit Card"/>
    <s v="05-2024"/>
    <x v="1"/>
    <x v="318"/>
    <s v="Profit"/>
    <s v="High (&gt;20%)"/>
  </r>
  <r>
    <s v="ODR00320"/>
    <d v="2025-03-07T00:00:00"/>
    <s v="Krishna Das"/>
    <x v="1"/>
    <s v="Delhi"/>
    <s v="Technology"/>
    <s v="Laptop"/>
    <s v="Laptop - Technology"/>
    <x v="319"/>
    <n v="2"/>
    <n v="1"/>
    <n v="66.47"/>
    <s v="Delivered"/>
    <s v="Net Banking"/>
    <s v="03-2025"/>
    <x v="0"/>
    <x v="319"/>
    <s v="Profit"/>
    <s v="Low (1-10%)"/>
  </r>
  <r>
    <s v="ODR00321"/>
    <d v="2025-01-10T00:00:00"/>
    <s v="Ishaan Mehta"/>
    <x v="1"/>
    <s v="Delhi"/>
    <s v="Office Supplies"/>
    <s v="Envelope"/>
    <s v="Envelope - Office Supplies"/>
    <x v="320"/>
    <n v="4"/>
    <n v="24"/>
    <n v="249.27"/>
    <s v="Delivered"/>
    <s v="Credit Card"/>
    <s v="01-2025"/>
    <x v="0"/>
    <x v="320"/>
    <s v="Profit"/>
    <s v="High (&gt;20%)"/>
  </r>
  <r>
    <s v="ODR00322"/>
    <d v="2024-08-29T00:00:00"/>
    <s v="Ishaan Mehta"/>
    <x v="0"/>
    <s v="Patna"/>
    <s v="Furniture"/>
    <s v="Table"/>
    <s v="Table - Furniture"/>
    <x v="321"/>
    <n v="3"/>
    <n v="12"/>
    <n v="165.94"/>
    <s v="Returned"/>
    <s v="UPI"/>
    <s v="08-2024"/>
    <x v="1"/>
    <x v="321"/>
    <s v="Profit"/>
    <s v="Mid (11-20%)"/>
  </r>
  <r>
    <s v="ODR00323"/>
    <d v="2024-07-21T00:00:00"/>
    <s v="Tanishq Ghosh"/>
    <x v="3"/>
    <s v="Ahmedabad"/>
    <s v="Furniture"/>
    <s v="Sofa"/>
    <s v="Sofa - Furniture"/>
    <x v="322"/>
    <n v="2"/>
    <n v="16"/>
    <n v="614.72"/>
    <s v="Delivered"/>
    <s v="Net Banking"/>
    <s v="07-2024"/>
    <x v="1"/>
    <x v="322"/>
    <s v="Profit"/>
    <s v="Mid (11-20%)"/>
  </r>
  <r>
    <s v="ODR00324"/>
    <d v="2025-02-12T00:00:00"/>
    <s v="Ishaan Mehta"/>
    <x v="3"/>
    <s v="Nagpur"/>
    <s v="Furniture"/>
    <s v="Cupboard"/>
    <s v="Cupboard - Furniture"/>
    <x v="323"/>
    <n v="2"/>
    <n v="14"/>
    <n v="157.79"/>
    <s v="In Transit"/>
    <s v="Credit Card"/>
    <s v="02-2025"/>
    <x v="0"/>
    <x v="323"/>
    <s v="Profit"/>
    <s v="Mid (11-20%)"/>
  </r>
  <r>
    <s v="ODR00325"/>
    <d v="2024-06-20T00:00:00"/>
    <s v="Kabir Nair"/>
    <x v="1"/>
    <s v="Lucknow"/>
    <s v="Technology"/>
    <s v="Printer"/>
    <s v="Printer - Technology"/>
    <x v="324"/>
    <n v="2"/>
    <n v="8"/>
    <n v="435.9"/>
    <s v="In Transit"/>
    <s v="Net Banking"/>
    <s v="06-2024"/>
    <x v="1"/>
    <x v="324"/>
    <s v="Profit"/>
    <s v="Low (1-10%)"/>
  </r>
  <r>
    <s v="ODR00326"/>
    <d v="2024-10-02T00:00:00"/>
    <s v="Tanishq Ghosh"/>
    <x v="3"/>
    <s v="Indore"/>
    <s v="Furniture"/>
    <s v="Sofa"/>
    <s v="Sofa - Furniture"/>
    <x v="325"/>
    <n v="8"/>
    <n v="0"/>
    <n v="1936.97"/>
    <s v="Returned"/>
    <s v="UPI"/>
    <s v="10-2024"/>
    <x v="1"/>
    <x v="325"/>
    <s v="Profit"/>
    <s v="No Discount"/>
  </r>
  <r>
    <s v="ODR00327"/>
    <d v="2024-10-24T00:00:00"/>
    <s v="Meera Joshi"/>
    <x v="3"/>
    <s v="Indore"/>
    <s v="Technology"/>
    <s v="Laptop"/>
    <s v="Laptop - Technology"/>
    <x v="326"/>
    <n v="5"/>
    <n v="5"/>
    <n v="1924.11"/>
    <s v="Returned"/>
    <s v="Cash"/>
    <s v="10-2024"/>
    <x v="1"/>
    <x v="326"/>
    <s v="Profit"/>
    <s v="Low (1-10%)"/>
  </r>
  <r>
    <s v="ODR00328"/>
    <d v="2024-07-17T00:00:00"/>
    <s v="Saanvi Iyer"/>
    <x v="1"/>
    <s v="Lucknow"/>
    <s v="Technology"/>
    <s v="Laptop"/>
    <s v="Laptop - Technology"/>
    <x v="327"/>
    <n v="10"/>
    <n v="18"/>
    <n v="706.01"/>
    <s v="Returned"/>
    <s v="Net Banking"/>
    <s v="07-2024"/>
    <x v="1"/>
    <x v="327"/>
    <s v="Profit"/>
    <s v="Mid (11-20%)"/>
  </r>
  <r>
    <s v="ODR00329"/>
    <d v="2025-03-09T00:00:00"/>
    <s v="Ishaan Mehta"/>
    <x v="3"/>
    <s v="Nagpur"/>
    <s v="Furniture"/>
    <s v="Sofa"/>
    <s v="Sofa - Furniture"/>
    <x v="328"/>
    <n v="4"/>
    <n v="20"/>
    <n v="375.05"/>
    <s v="Returned"/>
    <s v="Net Banking"/>
    <s v="03-2025"/>
    <x v="0"/>
    <x v="328"/>
    <s v="Profit"/>
    <s v="Mid (11-20%)"/>
  </r>
  <r>
    <s v="ODR00330"/>
    <d v="2024-06-23T00:00:00"/>
    <s v="Yuvraj Chauhan"/>
    <x v="1"/>
    <s v="Lucknow"/>
    <s v="Furniture"/>
    <s v="Chair"/>
    <s v="Chair - Furniture"/>
    <x v="329"/>
    <n v="1"/>
    <n v="1"/>
    <n v="212.27"/>
    <s v="Returned"/>
    <s v="Net Banking"/>
    <s v="06-2024"/>
    <x v="1"/>
    <x v="329"/>
    <s v="Profit"/>
    <s v="Low (1-10%)"/>
  </r>
  <r>
    <s v="ODR00331"/>
    <d v="2024-12-02T00:00:00"/>
    <s v="Riya Kapoor"/>
    <x v="0"/>
    <s v="Bhubaneswar"/>
    <s v="Technology"/>
    <s v="Tablet"/>
    <s v="Tablet - Technology"/>
    <x v="330"/>
    <n v="2"/>
    <n v="13"/>
    <n v="360.59"/>
    <s v="Returned"/>
    <s v="Credit Card"/>
    <s v="12-2024"/>
    <x v="1"/>
    <x v="330"/>
    <s v="Profit"/>
    <s v="Mid (11-20%)"/>
  </r>
  <r>
    <s v="ODR00332"/>
    <d v="2024-10-23T00:00:00"/>
    <s v="Vivaan Shah"/>
    <x v="2"/>
    <s v="Bangalore"/>
    <s v="Office Supplies"/>
    <s v="Notebook"/>
    <s v="Notebook - Office Supplies"/>
    <x v="331"/>
    <n v="7"/>
    <n v="5"/>
    <n v="1534.65"/>
    <s v="In Transit"/>
    <s v="Cash"/>
    <s v="10-2024"/>
    <x v="1"/>
    <x v="331"/>
    <s v="Profit"/>
    <s v="Low (1-10%)"/>
  </r>
  <r>
    <s v="ODR00333"/>
    <d v="2025-05-07T00:00:00"/>
    <s v="Diya Sharma"/>
    <x v="0"/>
    <s v="Bhubaneswar"/>
    <s v="Furniture"/>
    <s v="Cupboard"/>
    <s v="Cupboard - Furniture"/>
    <x v="332"/>
    <n v="2"/>
    <n v="0"/>
    <n v="208.11"/>
    <s v="In Transit"/>
    <s v="UPI"/>
    <s v="05-2025"/>
    <x v="0"/>
    <x v="332"/>
    <s v="Profit"/>
    <s v="No Discount"/>
  </r>
  <r>
    <s v="ODR00334"/>
    <d v="2024-07-24T00:00:00"/>
    <s v="Kabir Nair"/>
    <x v="1"/>
    <s v="Chandigarh"/>
    <s v="Technology"/>
    <s v="Mobile"/>
    <s v="Mobile - Technology"/>
    <x v="333"/>
    <n v="5"/>
    <n v="5"/>
    <n v="669.55"/>
    <s v="In Transit"/>
    <s v="UPI"/>
    <s v="07-2024"/>
    <x v="1"/>
    <x v="333"/>
    <s v="Profit"/>
    <s v="Low (1-10%)"/>
  </r>
  <r>
    <s v="ODR00335"/>
    <d v="2024-05-27T00:00:00"/>
    <s v="Diya Sharma"/>
    <x v="2"/>
    <s v="Hyderabad"/>
    <s v="Technology"/>
    <s v="Laptop"/>
    <s v="Laptop - Technology"/>
    <x v="334"/>
    <n v="8"/>
    <n v="17"/>
    <n v="516.16999999999996"/>
    <s v="Delivered"/>
    <s v="Cash"/>
    <s v="05-2024"/>
    <x v="1"/>
    <x v="334"/>
    <s v="Profit"/>
    <s v="Mid (11-20%)"/>
  </r>
  <r>
    <s v="ODR00336"/>
    <d v="2024-09-12T00:00:00"/>
    <s v="Vivaan Shah"/>
    <x v="1"/>
    <s v="Lucknow"/>
    <s v="Office Supplies"/>
    <s v="Envelope"/>
    <s v="Envelope - Office Supplies"/>
    <x v="335"/>
    <n v="4"/>
    <n v="10"/>
    <n v="148.22999999999999"/>
    <s v="Delivered"/>
    <s v="Credit Card"/>
    <s v="09-2024"/>
    <x v="1"/>
    <x v="335"/>
    <s v="Profit"/>
    <s v="Low (1-10%)"/>
  </r>
  <r>
    <s v="ODR00337"/>
    <d v="2025-01-15T00:00:00"/>
    <s v="Tanishq Ghosh"/>
    <x v="3"/>
    <s v="Pune"/>
    <s v="Office Supplies"/>
    <s v="Stapler"/>
    <s v="Stapler - Office Supplies"/>
    <x v="336"/>
    <n v="10"/>
    <n v="17"/>
    <n v="832.98"/>
    <s v="In Transit"/>
    <s v="Credit Card"/>
    <s v="01-2025"/>
    <x v="0"/>
    <x v="336"/>
    <s v="Profit"/>
    <s v="Mid (11-20%)"/>
  </r>
  <r>
    <s v="ODR00338"/>
    <d v="2025-04-22T00:00:00"/>
    <s v="Saanvi Iyer"/>
    <x v="0"/>
    <s v="Kolkata"/>
    <s v="Technology"/>
    <s v="Printer"/>
    <s v="Printer - Technology"/>
    <x v="337"/>
    <n v="5"/>
    <n v="10"/>
    <n v="1450.17"/>
    <s v="Returned"/>
    <s v="Cash"/>
    <s v="04-2025"/>
    <x v="0"/>
    <x v="337"/>
    <s v="Profit"/>
    <s v="Low (1-10%)"/>
  </r>
  <r>
    <s v="ODR00339"/>
    <d v="2025-04-28T00:00:00"/>
    <s v="Diya Sharma"/>
    <x v="3"/>
    <s v="Nagpur"/>
    <s v="Office Supplies"/>
    <s v="Envelope"/>
    <s v="Envelope - Office Supplies"/>
    <x v="338"/>
    <n v="8"/>
    <n v="25"/>
    <n v="146.33000000000001"/>
    <s v="Returned"/>
    <s v="Net Banking"/>
    <s v="04-2025"/>
    <x v="0"/>
    <x v="338"/>
    <s v="Profit"/>
    <s v="High (&gt;20%)"/>
  </r>
  <r>
    <s v="ODR00340"/>
    <d v="2024-06-28T00:00:00"/>
    <s v="Diya Sharma"/>
    <x v="3"/>
    <s v="Indore"/>
    <s v="Office Supplies"/>
    <s v="Stapler"/>
    <s v="Stapler - Office Supplies"/>
    <x v="339"/>
    <n v="6"/>
    <n v="8"/>
    <n v="257.32"/>
    <s v="In Transit"/>
    <s v="Cash"/>
    <s v="06-2024"/>
    <x v="1"/>
    <x v="339"/>
    <s v="Profit"/>
    <s v="Low (1-10%)"/>
  </r>
  <r>
    <s v="ODR00341"/>
    <d v="2025-05-03T00:00:00"/>
    <s v="Anaya Singh"/>
    <x v="0"/>
    <s v="Bhubaneswar"/>
    <s v="Technology"/>
    <s v="Laptop"/>
    <s v="Laptop - Technology"/>
    <x v="340"/>
    <n v="3"/>
    <n v="16"/>
    <n v="454.36"/>
    <s v="In Transit"/>
    <s v="Credit Card"/>
    <s v="05-2025"/>
    <x v="0"/>
    <x v="340"/>
    <s v="Profit"/>
    <s v="Mid (11-20%)"/>
  </r>
  <r>
    <s v="ODR00342"/>
    <d v="2024-10-12T00:00:00"/>
    <s v="Vivaan Shah"/>
    <x v="2"/>
    <s v="Chennai"/>
    <s v="Office Supplies"/>
    <s v="Notebook"/>
    <s v="Notebook - Office Supplies"/>
    <x v="341"/>
    <n v="4"/>
    <n v="9"/>
    <n v="317.91000000000003"/>
    <s v="Returned"/>
    <s v="Credit Card"/>
    <s v="10-2024"/>
    <x v="1"/>
    <x v="341"/>
    <s v="Profit"/>
    <s v="Low (1-10%)"/>
  </r>
  <r>
    <s v="ODR00343"/>
    <d v="2024-08-02T00:00:00"/>
    <s v="Vivaan Shah"/>
    <x v="1"/>
    <s v="Jaipur"/>
    <s v="Furniture"/>
    <s v="Sofa"/>
    <s v="Sofa - Furniture"/>
    <x v="342"/>
    <n v="1"/>
    <n v="19"/>
    <n v="203.27"/>
    <s v="Returned"/>
    <s v="UPI"/>
    <s v="08-2024"/>
    <x v="1"/>
    <x v="342"/>
    <s v="Profit"/>
    <s v="Mid (11-20%)"/>
  </r>
  <r>
    <s v="ODR00344"/>
    <d v="2024-07-05T00:00:00"/>
    <s v="Ishaan Mehta"/>
    <x v="0"/>
    <s v="Patna"/>
    <s v="Office Supplies"/>
    <s v="Stapler"/>
    <s v="Stapler - Office Supplies"/>
    <x v="343"/>
    <n v="6"/>
    <n v="3"/>
    <n v="430.26"/>
    <s v="In Transit"/>
    <s v="Cash"/>
    <s v="07-2024"/>
    <x v="1"/>
    <x v="343"/>
    <s v="Profit"/>
    <s v="Low (1-10%)"/>
  </r>
  <r>
    <s v="ODR00345"/>
    <d v="2024-09-19T00:00:00"/>
    <s v="Diya Sharma"/>
    <x v="1"/>
    <s v="Jaipur"/>
    <s v="Furniture"/>
    <s v="Sofa"/>
    <s v="Sofa - Furniture"/>
    <x v="344"/>
    <n v="8"/>
    <n v="7.0000000000000009"/>
    <n v="541.91"/>
    <s v="In Transit"/>
    <s v="Cash"/>
    <s v="09-2024"/>
    <x v="1"/>
    <x v="344"/>
    <s v="Profit"/>
    <s v="Low (1-10%)"/>
  </r>
  <r>
    <s v="ODR00346"/>
    <d v="2024-12-14T00:00:00"/>
    <s v="Kriti Desai"/>
    <x v="1"/>
    <s v="Lucknow"/>
    <s v="Technology"/>
    <s v="Tablet"/>
    <s v="Tablet - Technology"/>
    <x v="345"/>
    <n v="3"/>
    <n v="25"/>
    <n v="572.72"/>
    <s v="Delivered"/>
    <s v="Credit Card"/>
    <s v="12-2024"/>
    <x v="1"/>
    <x v="345"/>
    <s v="Profit"/>
    <s v="High (&gt;20%)"/>
  </r>
  <r>
    <s v="ODR00347"/>
    <d v="2024-08-30T00:00:00"/>
    <s v="Aarav Patel"/>
    <x v="0"/>
    <s v="Patna"/>
    <s v="Technology"/>
    <s v="Printer"/>
    <s v="Printer - Technology"/>
    <x v="346"/>
    <n v="5"/>
    <n v="8"/>
    <n v="243.51"/>
    <s v="Delivered"/>
    <s v="Net Banking"/>
    <s v="08-2024"/>
    <x v="1"/>
    <x v="346"/>
    <s v="Profit"/>
    <s v="Low (1-10%)"/>
  </r>
  <r>
    <s v="ODR00348"/>
    <d v="2025-05-04T00:00:00"/>
    <s v="Kriti Desai"/>
    <x v="1"/>
    <s v="Lucknow"/>
    <s v="Office Supplies"/>
    <s v="Envelope"/>
    <s v="Envelope - Office Supplies"/>
    <x v="347"/>
    <n v="4"/>
    <n v="0"/>
    <n v="686.94"/>
    <s v="Delivered"/>
    <s v="UPI"/>
    <s v="05-2025"/>
    <x v="0"/>
    <x v="347"/>
    <s v="Profit"/>
    <s v="No Discount"/>
  </r>
  <r>
    <s v="ODR00349"/>
    <d v="2024-10-04T00:00:00"/>
    <s v="Diya Sharma"/>
    <x v="2"/>
    <s v="Hyderabad"/>
    <s v="Technology"/>
    <s v="Mobile"/>
    <s v="Mobile - Technology"/>
    <x v="348"/>
    <n v="8"/>
    <n v="3"/>
    <n v="2315.37"/>
    <s v="Returned"/>
    <s v="Credit Card"/>
    <s v="10-2024"/>
    <x v="1"/>
    <x v="348"/>
    <s v="Profit"/>
    <s v="Low (1-10%)"/>
  </r>
  <r>
    <s v="ODR00350"/>
    <d v="2024-12-20T00:00:00"/>
    <s v="Aarav Patel"/>
    <x v="1"/>
    <s v="Delhi"/>
    <s v="Office Supplies"/>
    <s v="Notebook"/>
    <s v="Notebook - Office Supplies"/>
    <x v="349"/>
    <n v="1"/>
    <n v="4"/>
    <n v="358.53"/>
    <s v="Returned"/>
    <s v="Credit Card"/>
    <s v="12-2024"/>
    <x v="1"/>
    <x v="349"/>
    <s v="Profit"/>
    <s v="Low (1-10%)"/>
  </r>
  <r>
    <s v="ODR00351"/>
    <d v="2025-04-10T00:00:00"/>
    <s v="Riya Kapoor"/>
    <x v="1"/>
    <s v="Delhi"/>
    <s v="Technology"/>
    <s v="Tablet"/>
    <s v="Tablet - Technology"/>
    <x v="350"/>
    <n v="3"/>
    <n v="2"/>
    <n v="346.29"/>
    <s v="Delivered"/>
    <s v="UPI"/>
    <s v="04-2025"/>
    <x v="0"/>
    <x v="350"/>
    <s v="Profit"/>
    <s v="Low (1-10%)"/>
  </r>
  <r>
    <s v="ODR00352"/>
    <d v="2024-11-20T00:00:00"/>
    <s v="Anaya Singh"/>
    <x v="3"/>
    <s v="Mumbai"/>
    <s v="Furniture"/>
    <s v="Cupboard"/>
    <s v="Cupboard - Furniture"/>
    <x v="351"/>
    <n v="9"/>
    <n v="26"/>
    <n v="2293.2800000000002"/>
    <s v="Delivered"/>
    <s v="Cash"/>
    <s v="11-2024"/>
    <x v="1"/>
    <x v="351"/>
    <s v="Profit"/>
    <s v="High (&gt;20%)"/>
  </r>
  <r>
    <s v="ODR00353"/>
    <d v="2025-05-07T00:00:00"/>
    <s v="Tanishq Ghosh"/>
    <x v="2"/>
    <s v="Hyderabad"/>
    <s v="Furniture"/>
    <s v="Cupboard"/>
    <s v="Cupboard - Furniture"/>
    <x v="352"/>
    <n v="5"/>
    <n v="11"/>
    <n v="241.79"/>
    <s v="In Transit"/>
    <s v="Cash"/>
    <s v="05-2025"/>
    <x v="0"/>
    <x v="352"/>
    <s v="Profit"/>
    <s v="Mid (11-20%)"/>
  </r>
  <r>
    <s v="ODR00354"/>
    <d v="2024-10-17T00:00:00"/>
    <s v="Saanvi Iyer"/>
    <x v="2"/>
    <s v="Bangalore"/>
    <s v="Furniture"/>
    <s v="Sofa"/>
    <s v="Sofa - Furniture"/>
    <x v="353"/>
    <n v="3"/>
    <n v="19"/>
    <n v="81.53"/>
    <s v="In Transit"/>
    <s v="Cash"/>
    <s v="10-2024"/>
    <x v="1"/>
    <x v="353"/>
    <s v="Profit"/>
    <s v="Mid (11-20%)"/>
  </r>
  <r>
    <s v="ODR00355"/>
    <d v="2024-06-04T00:00:00"/>
    <s v="Tanishq Ghosh"/>
    <x v="3"/>
    <s v="Indore"/>
    <s v="Office Supplies"/>
    <s v="Notebook"/>
    <s v="Notebook - Office Supplies"/>
    <x v="354"/>
    <n v="2"/>
    <n v="5"/>
    <n v="95.89"/>
    <s v="Returned"/>
    <s v="Credit Card"/>
    <s v="06-2024"/>
    <x v="1"/>
    <x v="354"/>
    <s v="Profit"/>
    <s v="Low (1-10%)"/>
  </r>
  <r>
    <s v="ODR00356"/>
    <d v="2024-10-02T00:00:00"/>
    <s v="Kabir Nair"/>
    <x v="3"/>
    <s v="Ahmedabad"/>
    <s v="Technology"/>
    <s v="Mobile"/>
    <s v="Mobile - Technology"/>
    <x v="355"/>
    <n v="2"/>
    <n v="2"/>
    <n v="82.34"/>
    <s v="Delivered"/>
    <s v="Credit Card"/>
    <s v="10-2024"/>
    <x v="1"/>
    <x v="355"/>
    <s v="Profit"/>
    <s v="Low (1-10%)"/>
  </r>
  <r>
    <s v="ODR00357"/>
    <d v="2024-07-16T00:00:00"/>
    <s v="Anaya Singh"/>
    <x v="2"/>
    <s v="Hyderabad"/>
    <s v="Office Supplies"/>
    <s v="Notebook"/>
    <s v="Notebook - Office Supplies"/>
    <x v="356"/>
    <n v="1"/>
    <n v="15"/>
    <n v="25.78"/>
    <s v="In Transit"/>
    <s v="Net Banking"/>
    <s v="07-2024"/>
    <x v="1"/>
    <x v="356"/>
    <s v="Profit"/>
    <s v="Mid (11-20%)"/>
  </r>
  <r>
    <s v="ODR00358"/>
    <d v="2024-06-08T00:00:00"/>
    <s v="Diya Sharma"/>
    <x v="1"/>
    <s v="Jaipur"/>
    <s v="Furniture"/>
    <s v="Cupboard"/>
    <s v="Cupboard - Furniture"/>
    <x v="357"/>
    <n v="3"/>
    <n v="6"/>
    <n v="612.36"/>
    <s v="Returned"/>
    <s v="Credit Card"/>
    <s v="06-2024"/>
    <x v="1"/>
    <x v="357"/>
    <s v="Profit"/>
    <s v="Low (1-10%)"/>
  </r>
  <r>
    <s v="ODR00359"/>
    <d v="2024-07-29T00:00:00"/>
    <s v="Sneha Reddy"/>
    <x v="3"/>
    <s v="Pune"/>
    <s v="Office Supplies"/>
    <s v="Notebook"/>
    <s v="Notebook - Office Supplies"/>
    <x v="358"/>
    <n v="1"/>
    <n v="23"/>
    <n v="75.63"/>
    <s v="In Transit"/>
    <s v="Credit Card"/>
    <s v="07-2024"/>
    <x v="1"/>
    <x v="358"/>
    <s v="Profit"/>
    <s v="High (&gt;20%)"/>
  </r>
  <r>
    <s v="ODR00360"/>
    <d v="2024-12-24T00:00:00"/>
    <s v="Arjun Verma"/>
    <x v="1"/>
    <s v="Lucknow"/>
    <s v="Technology"/>
    <s v="Printer"/>
    <s v="Printer - Technology"/>
    <x v="359"/>
    <n v="5"/>
    <n v="22"/>
    <n v="94.95"/>
    <s v="Delivered"/>
    <s v="UPI"/>
    <s v="12-2024"/>
    <x v="1"/>
    <x v="359"/>
    <s v="Profit"/>
    <s v="High (&gt;20%)"/>
  </r>
  <r>
    <s v="ODR00361"/>
    <d v="2024-08-09T00:00:00"/>
    <s v="Aarav Patel"/>
    <x v="0"/>
    <s v="Kolkata"/>
    <s v="Technology"/>
    <s v="Laptop"/>
    <s v="Laptop - Technology"/>
    <x v="360"/>
    <n v="9"/>
    <n v="13"/>
    <n v="970.58"/>
    <s v="Returned"/>
    <s v="Net Banking"/>
    <s v="08-2024"/>
    <x v="1"/>
    <x v="360"/>
    <s v="Profit"/>
    <s v="Mid (11-20%)"/>
  </r>
  <r>
    <s v="ODR00362"/>
    <d v="2025-03-26T00:00:00"/>
    <s v="Ishaan Mehta"/>
    <x v="0"/>
    <s v="Patna"/>
    <s v="Furniture"/>
    <s v="Table"/>
    <s v="Table - Furniture"/>
    <x v="361"/>
    <n v="2"/>
    <n v="13"/>
    <n v="130.99"/>
    <s v="Delivered"/>
    <s v="Credit Card"/>
    <s v="03-2025"/>
    <x v="0"/>
    <x v="361"/>
    <s v="Profit"/>
    <s v="Mid (11-20%)"/>
  </r>
  <r>
    <s v="ODR00363"/>
    <d v="2024-12-30T00:00:00"/>
    <s v="Aarav Patel"/>
    <x v="1"/>
    <s v="Chandigarh"/>
    <s v="Furniture"/>
    <s v="Chair"/>
    <s v="Chair - Furniture"/>
    <x v="362"/>
    <n v="9"/>
    <n v="14"/>
    <n v="1979.25"/>
    <s v="Delivered"/>
    <s v="Cash"/>
    <s v="12-2024"/>
    <x v="1"/>
    <x v="362"/>
    <s v="Profit"/>
    <s v="Mid (11-20%)"/>
  </r>
  <r>
    <s v="ODR00364"/>
    <d v="2024-08-28T00:00:00"/>
    <s v="Aarav Patel"/>
    <x v="2"/>
    <s v="Bangalore"/>
    <s v="Technology"/>
    <s v="Tablet"/>
    <s v="Tablet - Technology"/>
    <x v="363"/>
    <n v="2"/>
    <n v="23"/>
    <n v="229.71"/>
    <s v="In Transit"/>
    <s v="Cash"/>
    <s v="08-2024"/>
    <x v="1"/>
    <x v="363"/>
    <s v="Profit"/>
    <s v="High (&gt;20%)"/>
  </r>
  <r>
    <s v="ODR00365"/>
    <d v="2024-12-03T00:00:00"/>
    <s v="Kriti Desai"/>
    <x v="1"/>
    <s v="Jaipur"/>
    <s v="Technology"/>
    <s v="Tablet"/>
    <s v="Tablet - Technology"/>
    <x v="364"/>
    <n v="1"/>
    <n v="14"/>
    <n v="201.27"/>
    <s v="Delivered"/>
    <s v="UPI"/>
    <s v="12-2024"/>
    <x v="1"/>
    <x v="364"/>
    <s v="Profit"/>
    <s v="Mid (11-20%)"/>
  </r>
  <r>
    <s v="ODR00366"/>
    <d v="2024-09-08T00:00:00"/>
    <s v="Vivaan Shah"/>
    <x v="1"/>
    <s v="Chandigarh"/>
    <s v="Office Supplies"/>
    <s v="Stapler"/>
    <s v="Stapler - Office Supplies"/>
    <x v="365"/>
    <n v="4"/>
    <n v="7.0000000000000009"/>
    <n v="537.89"/>
    <s v="Delivered"/>
    <s v="Cash"/>
    <s v="09-2024"/>
    <x v="1"/>
    <x v="365"/>
    <s v="Profit"/>
    <s v="Low (1-10%)"/>
  </r>
  <r>
    <s v="ODR00367"/>
    <d v="2024-11-19T00:00:00"/>
    <s v="Sneha Reddy"/>
    <x v="0"/>
    <s v="Bhubaneswar"/>
    <s v="Technology"/>
    <s v="Tablet"/>
    <s v="Tablet - Technology"/>
    <x v="366"/>
    <n v="5"/>
    <n v="7.0000000000000009"/>
    <n v="264.56"/>
    <s v="Returned"/>
    <s v="Credit Card"/>
    <s v="11-2024"/>
    <x v="1"/>
    <x v="366"/>
    <s v="Profit"/>
    <s v="Low (1-10%)"/>
  </r>
  <r>
    <s v="ODR00368"/>
    <d v="2024-10-12T00:00:00"/>
    <s v="Anaya Singh"/>
    <x v="3"/>
    <s v="Indore"/>
    <s v="Technology"/>
    <s v="Laptop"/>
    <s v="Laptop - Technology"/>
    <x v="367"/>
    <n v="4"/>
    <n v="9"/>
    <n v="243.86"/>
    <s v="Delivered"/>
    <s v="UPI"/>
    <s v="10-2024"/>
    <x v="1"/>
    <x v="367"/>
    <s v="Profit"/>
    <s v="Low (1-10%)"/>
  </r>
  <r>
    <s v="ODR00369"/>
    <d v="2025-02-09T00:00:00"/>
    <s v="Sneha Reddy"/>
    <x v="0"/>
    <s v="Kolkata"/>
    <s v="Office Supplies"/>
    <s v="Pen"/>
    <s v="Pen - Office Supplies"/>
    <x v="368"/>
    <n v="6"/>
    <n v="8"/>
    <n v="1157.21"/>
    <s v="Delivered"/>
    <s v="Credit Card"/>
    <s v="02-2025"/>
    <x v="0"/>
    <x v="368"/>
    <s v="Profit"/>
    <s v="Low (1-10%)"/>
  </r>
  <r>
    <s v="ODR00370"/>
    <d v="2024-07-06T00:00:00"/>
    <s v="Krishna Das"/>
    <x v="2"/>
    <s v="Bangalore"/>
    <s v="Office Supplies"/>
    <s v="Pen"/>
    <s v="Pen - Office Supplies"/>
    <x v="369"/>
    <n v="10"/>
    <n v="13"/>
    <n v="2512.92"/>
    <s v="Returned"/>
    <s v="Net Banking"/>
    <s v="07-2024"/>
    <x v="1"/>
    <x v="369"/>
    <s v="Profit"/>
    <s v="Mid (11-20%)"/>
  </r>
  <r>
    <s v="ODR00371"/>
    <d v="2024-09-19T00:00:00"/>
    <s v="Kriti Desai"/>
    <x v="1"/>
    <s v="Delhi"/>
    <s v="Office Supplies"/>
    <s v="Stapler"/>
    <s v="Stapler - Office Supplies"/>
    <x v="370"/>
    <n v="3"/>
    <n v="5"/>
    <n v="412.87"/>
    <s v="Returned"/>
    <s v="Cash"/>
    <s v="09-2024"/>
    <x v="1"/>
    <x v="370"/>
    <s v="Profit"/>
    <s v="Low (1-10%)"/>
  </r>
  <r>
    <s v="ODR00372"/>
    <d v="2024-12-25T00:00:00"/>
    <s v="Krishna Das"/>
    <x v="3"/>
    <s v="Indore"/>
    <s v="Office Supplies"/>
    <s v="Notebook"/>
    <s v="Notebook - Office Supplies"/>
    <x v="371"/>
    <n v="8"/>
    <n v="18"/>
    <n v="2538.7800000000002"/>
    <s v="In Transit"/>
    <s v="UPI"/>
    <s v="12-2024"/>
    <x v="1"/>
    <x v="371"/>
    <s v="Profit"/>
    <s v="Mid (11-20%)"/>
  </r>
  <r>
    <s v="ODR00373"/>
    <d v="2024-10-15T00:00:00"/>
    <s v="Sneha Reddy"/>
    <x v="2"/>
    <s v="Bangalore"/>
    <s v="Furniture"/>
    <s v="Table"/>
    <s v="Table - Furniture"/>
    <x v="372"/>
    <n v="2"/>
    <n v="22"/>
    <n v="150.24"/>
    <s v="In Transit"/>
    <s v="Credit Card"/>
    <s v="10-2024"/>
    <x v="1"/>
    <x v="372"/>
    <s v="Profit"/>
    <s v="High (&gt;20%)"/>
  </r>
  <r>
    <s v="ODR00374"/>
    <d v="2025-04-14T00:00:00"/>
    <s v="Saanvi Iyer"/>
    <x v="1"/>
    <s v="Chandigarh"/>
    <s v="Office Supplies"/>
    <s v="Notebook"/>
    <s v="Notebook - Office Supplies"/>
    <x v="373"/>
    <n v="8"/>
    <n v="16"/>
    <n v="103.34"/>
    <s v="Returned"/>
    <s v="Net Banking"/>
    <s v="04-2025"/>
    <x v="0"/>
    <x v="373"/>
    <s v="Profit"/>
    <s v="Mid (11-20%)"/>
  </r>
  <r>
    <s v="ODR00375"/>
    <d v="2025-03-24T00:00:00"/>
    <s v="Saanvi Iyer"/>
    <x v="1"/>
    <s v="Lucknow"/>
    <s v="Furniture"/>
    <s v="Chair"/>
    <s v="Chair - Furniture"/>
    <x v="374"/>
    <n v="7"/>
    <n v="7.0000000000000009"/>
    <n v="1366.4"/>
    <s v="In Transit"/>
    <s v="Net Banking"/>
    <s v="03-2025"/>
    <x v="0"/>
    <x v="374"/>
    <s v="Profit"/>
    <s v="Low (1-10%)"/>
  </r>
  <r>
    <s v="ODR00376"/>
    <d v="2024-12-31T00:00:00"/>
    <s v="Anaya Singh"/>
    <x v="1"/>
    <s v="Jaipur"/>
    <s v="Office Supplies"/>
    <s v="Envelope"/>
    <s v="Envelope - Office Supplies"/>
    <x v="375"/>
    <n v="4"/>
    <n v="25"/>
    <n v="279.85000000000002"/>
    <s v="Returned"/>
    <s v="Net Banking"/>
    <s v="12-2024"/>
    <x v="1"/>
    <x v="375"/>
    <s v="Profit"/>
    <s v="High (&gt;20%)"/>
  </r>
  <r>
    <s v="ODR00377"/>
    <d v="2025-01-31T00:00:00"/>
    <s v="Sneha Reddy"/>
    <x v="1"/>
    <s v="Lucknow"/>
    <s v="Furniture"/>
    <s v="Chair"/>
    <s v="Chair - Furniture"/>
    <x v="376"/>
    <n v="2"/>
    <n v="21"/>
    <n v="623.16999999999996"/>
    <s v="In Transit"/>
    <s v="UPI"/>
    <s v="01-2025"/>
    <x v="0"/>
    <x v="376"/>
    <s v="Profit"/>
    <s v="High (&gt;20%)"/>
  </r>
  <r>
    <s v="ODR00378"/>
    <d v="2025-02-03T00:00:00"/>
    <s v="Ishaan Mehta"/>
    <x v="1"/>
    <s v="Chandigarh"/>
    <s v="Technology"/>
    <s v="Mobile"/>
    <s v="Mobile - Technology"/>
    <x v="377"/>
    <n v="9"/>
    <n v="1"/>
    <n v="794.37"/>
    <s v="Delivered"/>
    <s v="Credit Card"/>
    <s v="02-2025"/>
    <x v="0"/>
    <x v="377"/>
    <s v="Profit"/>
    <s v="Low (1-10%)"/>
  </r>
  <r>
    <s v="ODR00379"/>
    <d v="2024-11-22T00:00:00"/>
    <s v="Yuvraj Chauhan"/>
    <x v="0"/>
    <s v="Kolkata"/>
    <s v="Office Supplies"/>
    <s v="Pen"/>
    <s v="Pen - Office Supplies"/>
    <x v="378"/>
    <n v="10"/>
    <n v="7.0000000000000009"/>
    <n v="1421.7"/>
    <s v="In Transit"/>
    <s v="UPI"/>
    <s v="11-2024"/>
    <x v="1"/>
    <x v="378"/>
    <s v="Profit"/>
    <s v="Low (1-10%)"/>
  </r>
  <r>
    <s v="ODR00380"/>
    <d v="2024-07-18T00:00:00"/>
    <s v="Saanvi Iyer"/>
    <x v="1"/>
    <s v="Delhi"/>
    <s v="Furniture"/>
    <s v="Cupboard"/>
    <s v="Cupboard - Furniture"/>
    <x v="379"/>
    <n v="5"/>
    <n v="16"/>
    <n v="812.1"/>
    <s v="In Transit"/>
    <s v="Cash"/>
    <s v="07-2024"/>
    <x v="1"/>
    <x v="379"/>
    <s v="Profit"/>
    <s v="Mid (11-20%)"/>
  </r>
  <r>
    <s v="ODR00381"/>
    <d v="2025-01-11T00:00:00"/>
    <s v="Kriti Desai"/>
    <x v="1"/>
    <s v="Delhi"/>
    <s v="Office Supplies"/>
    <s v="Notebook"/>
    <s v="Notebook - Office Supplies"/>
    <x v="380"/>
    <n v="1"/>
    <n v="0"/>
    <n v="40.72"/>
    <s v="Returned"/>
    <s v="Credit Card"/>
    <s v="01-2025"/>
    <x v="0"/>
    <x v="380"/>
    <s v="Profit"/>
    <s v="No Discount"/>
  </r>
  <r>
    <s v="ODR00382"/>
    <d v="2024-08-19T00:00:00"/>
    <s v="Saanvi Iyer"/>
    <x v="3"/>
    <s v="Pune"/>
    <s v="Furniture"/>
    <s v="Table"/>
    <s v="Table - Furniture"/>
    <x v="381"/>
    <n v="9"/>
    <n v="17"/>
    <n v="501.71"/>
    <s v="Delivered"/>
    <s v="Cash"/>
    <s v="08-2024"/>
    <x v="1"/>
    <x v="381"/>
    <s v="Profit"/>
    <s v="Mid (11-20%)"/>
  </r>
  <r>
    <s v="ODR00383"/>
    <d v="2024-05-20T00:00:00"/>
    <s v="Aarav Patel"/>
    <x v="3"/>
    <s v="Ahmedabad"/>
    <s v="Technology"/>
    <s v="Printer"/>
    <s v="Printer - Technology"/>
    <x v="382"/>
    <n v="9"/>
    <n v="2"/>
    <n v="908.57"/>
    <s v="Delivered"/>
    <s v="Cash"/>
    <s v="05-2024"/>
    <x v="1"/>
    <x v="382"/>
    <s v="Profit"/>
    <s v="Low (1-10%)"/>
  </r>
  <r>
    <s v="ODR00384"/>
    <d v="2024-09-24T00:00:00"/>
    <s v="Sneha Reddy"/>
    <x v="3"/>
    <s v="Nagpur"/>
    <s v="Technology"/>
    <s v="Printer"/>
    <s v="Printer - Technology"/>
    <x v="383"/>
    <n v="6"/>
    <n v="29"/>
    <n v="392.98"/>
    <s v="Delivered"/>
    <s v="UPI"/>
    <s v="09-2024"/>
    <x v="1"/>
    <x v="383"/>
    <s v="Profit"/>
    <s v="High (&gt;20%)"/>
  </r>
  <r>
    <s v="ODR00385"/>
    <d v="2025-02-20T00:00:00"/>
    <s v="Vivaan Shah"/>
    <x v="3"/>
    <s v="Nagpur"/>
    <s v="Office Supplies"/>
    <s v="Pen"/>
    <s v="Pen - Office Supplies"/>
    <x v="384"/>
    <n v="1"/>
    <n v="1"/>
    <n v="187"/>
    <s v="In Transit"/>
    <s v="UPI"/>
    <s v="02-2025"/>
    <x v="0"/>
    <x v="384"/>
    <s v="Profit"/>
    <s v="Low (1-10%)"/>
  </r>
  <r>
    <s v="ODR00386"/>
    <d v="2025-04-28T00:00:00"/>
    <s v="Ishaan Mehta"/>
    <x v="3"/>
    <s v="Indore"/>
    <s v="Office Supplies"/>
    <s v="Pen"/>
    <s v="Pen - Office Supplies"/>
    <x v="385"/>
    <n v="6"/>
    <n v="29"/>
    <n v="516.24"/>
    <s v="Returned"/>
    <s v="Net Banking"/>
    <s v="04-2025"/>
    <x v="0"/>
    <x v="385"/>
    <s v="Profit"/>
    <s v="High (&gt;20%)"/>
  </r>
  <r>
    <s v="ODR00387"/>
    <d v="2024-12-19T00:00:00"/>
    <s v="Vivaan Shah"/>
    <x v="0"/>
    <s v="Patna"/>
    <s v="Furniture"/>
    <s v="Cupboard"/>
    <s v="Cupboard - Furniture"/>
    <x v="386"/>
    <n v="9"/>
    <n v="19"/>
    <n v="586.13"/>
    <s v="Returned"/>
    <s v="Cash"/>
    <s v="12-2024"/>
    <x v="1"/>
    <x v="386"/>
    <s v="Profit"/>
    <s v="Mid (11-20%)"/>
  </r>
  <r>
    <s v="ODR00388"/>
    <d v="2024-06-29T00:00:00"/>
    <s v="Ishaan Mehta"/>
    <x v="0"/>
    <s v="Bhubaneswar"/>
    <s v="Technology"/>
    <s v="Tablet"/>
    <s v="Tablet - Technology"/>
    <x v="387"/>
    <n v="2"/>
    <n v="28"/>
    <n v="505.06"/>
    <s v="Returned"/>
    <s v="Net Banking"/>
    <s v="06-2024"/>
    <x v="1"/>
    <x v="387"/>
    <s v="Profit"/>
    <s v="High (&gt;20%)"/>
  </r>
  <r>
    <s v="ODR00389"/>
    <d v="2025-04-28T00:00:00"/>
    <s v="Meera Joshi"/>
    <x v="1"/>
    <s v="Jaipur"/>
    <s v="Technology"/>
    <s v="Tablet"/>
    <s v="Tablet - Technology"/>
    <x v="388"/>
    <n v="1"/>
    <n v="16"/>
    <n v="288.45999999999998"/>
    <s v="Delivered"/>
    <s v="Cash"/>
    <s v="04-2025"/>
    <x v="0"/>
    <x v="388"/>
    <s v="Profit"/>
    <s v="Mid (11-20%)"/>
  </r>
  <r>
    <s v="ODR00390"/>
    <d v="2025-02-24T00:00:00"/>
    <s v="Saanvi Iyer"/>
    <x v="1"/>
    <s v="Chandigarh"/>
    <s v="Technology"/>
    <s v="Mobile"/>
    <s v="Mobile - Technology"/>
    <x v="389"/>
    <n v="1"/>
    <n v="3"/>
    <n v="150.25"/>
    <s v="In Transit"/>
    <s v="Cash"/>
    <s v="02-2025"/>
    <x v="0"/>
    <x v="389"/>
    <s v="Profit"/>
    <s v="Low (1-10%)"/>
  </r>
  <r>
    <s v="ODR00391"/>
    <d v="2025-04-15T00:00:00"/>
    <s v="Aarav Patel"/>
    <x v="2"/>
    <s v="Hyderabad"/>
    <s v="Technology"/>
    <s v="Mobile"/>
    <s v="Mobile - Technology"/>
    <x v="390"/>
    <n v="8"/>
    <n v="20"/>
    <n v="430.15"/>
    <s v="Delivered"/>
    <s v="UPI"/>
    <s v="04-2025"/>
    <x v="0"/>
    <x v="390"/>
    <s v="Profit"/>
    <s v="Mid (11-20%)"/>
  </r>
  <r>
    <s v="ODR00392"/>
    <d v="2024-12-02T00:00:00"/>
    <s v="Saanvi Iyer"/>
    <x v="0"/>
    <s v="Bhubaneswar"/>
    <s v="Furniture"/>
    <s v="Chair"/>
    <s v="Chair - Furniture"/>
    <x v="391"/>
    <n v="10"/>
    <n v="25"/>
    <n v="498"/>
    <s v="Returned"/>
    <s v="Credit Card"/>
    <s v="12-2024"/>
    <x v="1"/>
    <x v="391"/>
    <s v="Profit"/>
    <s v="High (&gt;20%)"/>
  </r>
  <r>
    <s v="ODR00393"/>
    <d v="2024-11-17T00:00:00"/>
    <s v="Anaya Singh"/>
    <x v="1"/>
    <s v="Lucknow"/>
    <s v="Office Supplies"/>
    <s v="Stapler"/>
    <s v="Stapler - Office Supplies"/>
    <x v="392"/>
    <n v="3"/>
    <n v="21"/>
    <n v="140.82"/>
    <s v="Returned"/>
    <s v="Credit Card"/>
    <s v="11-2024"/>
    <x v="1"/>
    <x v="392"/>
    <s v="Profit"/>
    <s v="High (&gt;20%)"/>
  </r>
  <r>
    <s v="ODR00394"/>
    <d v="2024-12-16T00:00:00"/>
    <s v="Aarav Patel"/>
    <x v="2"/>
    <s v="Bangalore"/>
    <s v="Furniture"/>
    <s v="Chair"/>
    <s v="Chair - Furniture"/>
    <x v="393"/>
    <n v="6"/>
    <n v="1"/>
    <n v="260.64999999999998"/>
    <s v="In Transit"/>
    <s v="Credit Card"/>
    <s v="12-2024"/>
    <x v="1"/>
    <x v="393"/>
    <s v="Profit"/>
    <s v="Low (1-10%)"/>
  </r>
  <r>
    <s v="ODR00395"/>
    <d v="2025-04-11T00:00:00"/>
    <s v="Vivaan Shah"/>
    <x v="0"/>
    <s v="Kolkata"/>
    <s v="Furniture"/>
    <s v="Table"/>
    <s v="Table - Furniture"/>
    <x v="394"/>
    <n v="7"/>
    <n v="16"/>
    <n v="895.38"/>
    <s v="In Transit"/>
    <s v="Net Banking"/>
    <s v="04-2025"/>
    <x v="0"/>
    <x v="394"/>
    <s v="Profit"/>
    <s v="Mid (11-20%)"/>
  </r>
  <r>
    <s v="ODR00396"/>
    <d v="2025-01-10T00:00:00"/>
    <s v="Riya Kapoor"/>
    <x v="3"/>
    <s v="Pune"/>
    <s v="Furniture"/>
    <s v="Sofa"/>
    <s v="Sofa - Furniture"/>
    <x v="395"/>
    <n v="10"/>
    <n v="6"/>
    <n v="4044.33"/>
    <s v="Delivered"/>
    <s v="UPI"/>
    <s v="01-2025"/>
    <x v="0"/>
    <x v="395"/>
    <s v="Profit"/>
    <s v="Low (1-10%)"/>
  </r>
  <r>
    <s v="ODR00397"/>
    <d v="2024-08-28T00:00:00"/>
    <s v="Kriti Desai"/>
    <x v="0"/>
    <s v="Patna"/>
    <s v="Furniture"/>
    <s v="Sofa"/>
    <s v="Sofa - Furniture"/>
    <x v="396"/>
    <n v="4"/>
    <n v="29"/>
    <n v="337.83"/>
    <s v="Delivered"/>
    <s v="Credit Card"/>
    <s v="08-2024"/>
    <x v="1"/>
    <x v="396"/>
    <s v="Profit"/>
    <s v="High (&gt;20%)"/>
  </r>
  <r>
    <s v="ODR00398"/>
    <d v="2025-03-27T00:00:00"/>
    <s v="Anaya Singh"/>
    <x v="2"/>
    <s v="Chennai"/>
    <s v="Office Supplies"/>
    <s v="Stapler"/>
    <s v="Stapler - Office Supplies"/>
    <x v="397"/>
    <n v="2"/>
    <n v="9"/>
    <n v="142.44999999999999"/>
    <s v="In Transit"/>
    <s v="Cash"/>
    <s v="03-2025"/>
    <x v="0"/>
    <x v="397"/>
    <s v="Profit"/>
    <s v="Low (1-10%)"/>
  </r>
  <r>
    <s v="ODR00399"/>
    <d v="2024-08-26T00:00:00"/>
    <s v="Sneha Reddy"/>
    <x v="1"/>
    <s v="Chandigarh"/>
    <s v="Furniture"/>
    <s v="Table"/>
    <s v="Table - Furniture"/>
    <x v="398"/>
    <n v="8"/>
    <n v="29"/>
    <n v="515.53"/>
    <s v="In Transit"/>
    <s v="Credit Card"/>
    <s v="08-2024"/>
    <x v="1"/>
    <x v="398"/>
    <s v="Profit"/>
    <s v="High (&gt;20%)"/>
  </r>
  <r>
    <s v="ODR00400"/>
    <d v="2025-03-10T00:00:00"/>
    <s v="Kabir Nair"/>
    <x v="1"/>
    <s v="Delhi"/>
    <s v="Technology"/>
    <s v="Printer"/>
    <s v="Printer - Technology"/>
    <x v="399"/>
    <n v="1"/>
    <n v="1"/>
    <n v="99.43"/>
    <s v="Returned"/>
    <s v="UPI"/>
    <s v="03-2025"/>
    <x v="0"/>
    <x v="399"/>
    <s v="Profit"/>
    <s v="Low (1-10%)"/>
  </r>
  <r>
    <s v="ODR00401"/>
    <d v="2025-04-02T00:00:00"/>
    <s v="Ishaan Mehta"/>
    <x v="3"/>
    <s v="Indore"/>
    <s v="Office Supplies"/>
    <s v="Envelope"/>
    <s v="Envelope - Office Supplies"/>
    <x v="400"/>
    <n v="2"/>
    <n v="8"/>
    <n v="85.88"/>
    <s v="In Transit"/>
    <s v="Net Banking"/>
    <s v="04-2025"/>
    <x v="0"/>
    <x v="400"/>
    <s v="Profit"/>
    <s v="Low (1-10%)"/>
  </r>
  <r>
    <s v="ODR00402"/>
    <d v="2024-07-10T00:00:00"/>
    <s v="Riya Kapoor"/>
    <x v="3"/>
    <s v="Nagpur"/>
    <s v="Furniture"/>
    <s v="Sofa"/>
    <s v="Sofa - Furniture"/>
    <x v="401"/>
    <n v="7"/>
    <n v="27"/>
    <n v="378.63"/>
    <s v="Returned"/>
    <s v="Credit Card"/>
    <s v="07-2024"/>
    <x v="1"/>
    <x v="401"/>
    <s v="Profit"/>
    <s v="High (&gt;20%)"/>
  </r>
  <r>
    <s v="ODR00403"/>
    <d v="2024-09-07T00:00:00"/>
    <s v="Vivaan Shah"/>
    <x v="0"/>
    <s v="Patna"/>
    <s v="Furniture"/>
    <s v="Sofa"/>
    <s v="Sofa - Furniture"/>
    <x v="402"/>
    <n v="1"/>
    <n v="30"/>
    <n v="70.05"/>
    <s v="Returned"/>
    <s v="Credit Card"/>
    <s v="09-2024"/>
    <x v="1"/>
    <x v="402"/>
    <s v="Profit"/>
    <s v="High (&gt;20%)"/>
  </r>
  <r>
    <s v="ODR00404"/>
    <d v="2024-10-19T00:00:00"/>
    <s v="Tanishq Ghosh"/>
    <x v="3"/>
    <s v="Mumbai"/>
    <s v="Office Supplies"/>
    <s v="Envelope"/>
    <s v="Envelope - Office Supplies"/>
    <x v="403"/>
    <n v="3"/>
    <n v="27"/>
    <n v="178.68"/>
    <s v="Returned"/>
    <s v="Cash"/>
    <s v="10-2024"/>
    <x v="1"/>
    <x v="403"/>
    <s v="Profit"/>
    <s v="High (&gt;20%)"/>
  </r>
  <r>
    <s v="ODR00405"/>
    <d v="2024-11-27T00:00:00"/>
    <s v="Saanvi Iyer"/>
    <x v="2"/>
    <s v="Bangalore"/>
    <s v="Office Supplies"/>
    <s v="Notebook"/>
    <s v="Notebook - Office Supplies"/>
    <x v="404"/>
    <n v="5"/>
    <n v="16"/>
    <n v="347.94"/>
    <s v="Returned"/>
    <s v="Credit Card"/>
    <s v="11-2024"/>
    <x v="1"/>
    <x v="404"/>
    <s v="Profit"/>
    <s v="Mid (11-20%)"/>
  </r>
  <r>
    <s v="ODR00406"/>
    <d v="2025-02-26T00:00:00"/>
    <s v="Arjun Verma"/>
    <x v="1"/>
    <s v="Jaipur"/>
    <s v="Technology"/>
    <s v="Mobile"/>
    <s v="Mobile - Technology"/>
    <x v="405"/>
    <n v="10"/>
    <n v="5"/>
    <n v="3530.67"/>
    <s v="In Transit"/>
    <s v="UPI"/>
    <s v="02-2025"/>
    <x v="0"/>
    <x v="405"/>
    <s v="Profit"/>
    <s v="Low (1-10%)"/>
  </r>
  <r>
    <s v="ODR00407"/>
    <d v="2024-09-28T00:00:00"/>
    <s v="Diya Sharma"/>
    <x v="0"/>
    <s v="Bhubaneswar"/>
    <s v="Technology"/>
    <s v="Printer"/>
    <s v="Printer - Technology"/>
    <x v="406"/>
    <n v="3"/>
    <n v="19"/>
    <n v="291.51"/>
    <s v="In Transit"/>
    <s v="Credit Card"/>
    <s v="09-2024"/>
    <x v="1"/>
    <x v="406"/>
    <s v="Profit"/>
    <s v="Mid (11-20%)"/>
  </r>
  <r>
    <s v="ODR00408"/>
    <d v="2024-11-12T00:00:00"/>
    <s v="Sneha Reddy"/>
    <x v="2"/>
    <s v="Bangalore"/>
    <s v="Furniture"/>
    <s v="Sofa"/>
    <s v="Sofa - Furniture"/>
    <x v="407"/>
    <n v="2"/>
    <n v="21"/>
    <n v="128.82"/>
    <s v="Returned"/>
    <s v="Cash"/>
    <s v="11-2024"/>
    <x v="1"/>
    <x v="407"/>
    <s v="Profit"/>
    <s v="High (&gt;20%)"/>
  </r>
  <r>
    <s v="ODR00409"/>
    <d v="2025-01-14T00:00:00"/>
    <s v="Vivaan Shah"/>
    <x v="1"/>
    <s v="Lucknow"/>
    <s v="Office Supplies"/>
    <s v="Notebook"/>
    <s v="Notebook - Office Supplies"/>
    <x v="408"/>
    <n v="8"/>
    <n v="2"/>
    <n v="624.34"/>
    <s v="Delivered"/>
    <s v="Cash"/>
    <s v="01-2025"/>
    <x v="0"/>
    <x v="408"/>
    <s v="Profit"/>
    <s v="Low (1-10%)"/>
  </r>
  <r>
    <s v="ODR00410"/>
    <d v="2024-12-10T00:00:00"/>
    <s v="Krishna Das"/>
    <x v="3"/>
    <s v="Mumbai"/>
    <s v="Technology"/>
    <s v="Tablet"/>
    <s v="Tablet - Technology"/>
    <x v="409"/>
    <n v="6"/>
    <n v="25"/>
    <n v="1262.75"/>
    <s v="In Transit"/>
    <s v="Net Banking"/>
    <s v="12-2024"/>
    <x v="1"/>
    <x v="409"/>
    <s v="Profit"/>
    <s v="High (&gt;20%)"/>
  </r>
  <r>
    <s v="ODR00411"/>
    <d v="2024-08-23T00:00:00"/>
    <s v="Vivaan Shah"/>
    <x v="3"/>
    <s v="Pune"/>
    <s v="Technology"/>
    <s v="Laptop"/>
    <s v="Laptop - Technology"/>
    <x v="410"/>
    <n v="9"/>
    <n v="5"/>
    <n v="1155.9000000000001"/>
    <s v="Delivered"/>
    <s v="Credit Card"/>
    <s v="08-2024"/>
    <x v="1"/>
    <x v="410"/>
    <s v="Profit"/>
    <s v="Low (1-10%)"/>
  </r>
  <r>
    <s v="ODR00412"/>
    <d v="2024-10-15T00:00:00"/>
    <s v="Diya Sharma"/>
    <x v="2"/>
    <s v="Chennai"/>
    <s v="Technology"/>
    <s v="Mobile"/>
    <s v="Mobile - Technology"/>
    <x v="411"/>
    <n v="9"/>
    <n v="5"/>
    <n v="461.08"/>
    <s v="In Transit"/>
    <s v="Credit Card"/>
    <s v="10-2024"/>
    <x v="1"/>
    <x v="411"/>
    <s v="Profit"/>
    <s v="Low (1-10%)"/>
  </r>
  <r>
    <s v="ODR00413"/>
    <d v="2024-09-19T00:00:00"/>
    <s v="Krishna Das"/>
    <x v="1"/>
    <s v="Lucknow"/>
    <s v="Technology"/>
    <s v="Mobile"/>
    <s v="Mobile - Technology"/>
    <x v="412"/>
    <n v="1"/>
    <n v="21"/>
    <n v="78.58"/>
    <s v="In Transit"/>
    <s v="Credit Card"/>
    <s v="09-2024"/>
    <x v="1"/>
    <x v="412"/>
    <s v="Profit"/>
    <s v="High (&gt;20%)"/>
  </r>
  <r>
    <s v="ODR00414"/>
    <d v="2025-04-08T00:00:00"/>
    <s v="Saanvi Iyer"/>
    <x v="1"/>
    <s v="Chandigarh"/>
    <s v="Furniture"/>
    <s v="Cupboard"/>
    <s v="Cupboard - Furniture"/>
    <x v="413"/>
    <n v="7"/>
    <n v="6"/>
    <n v="411.71"/>
    <s v="Returned"/>
    <s v="UPI"/>
    <s v="04-2025"/>
    <x v="0"/>
    <x v="413"/>
    <s v="Profit"/>
    <s v="Low (1-10%)"/>
  </r>
  <r>
    <s v="ODR00415"/>
    <d v="2025-04-30T00:00:00"/>
    <s v="Saanvi Iyer"/>
    <x v="3"/>
    <s v="Ahmedabad"/>
    <s v="Office Supplies"/>
    <s v="Stapler"/>
    <s v="Stapler - Office Supplies"/>
    <x v="414"/>
    <n v="4"/>
    <n v="2"/>
    <n v="393.77"/>
    <s v="Returned"/>
    <s v="Credit Card"/>
    <s v="04-2025"/>
    <x v="0"/>
    <x v="414"/>
    <s v="Profit"/>
    <s v="Low (1-10%)"/>
  </r>
  <r>
    <s v="ODR00416"/>
    <d v="2024-10-05T00:00:00"/>
    <s v="Yuvraj Chauhan"/>
    <x v="0"/>
    <s v="Patna"/>
    <s v="Furniture"/>
    <s v="Cupboard"/>
    <s v="Cupboard - Furniture"/>
    <x v="415"/>
    <n v="9"/>
    <n v="9"/>
    <n v="963.98"/>
    <s v="In Transit"/>
    <s v="Net Banking"/>
    <s v="10-2024"/>
    <x v="1"/>
    <x v="415"/>
    <s v="Profit"/>
    <s v="Low (1-10%)"/>
  </r>
  <r>
    <s v="ODR00417"/>
    <d v="2024-10-15T00:00:00"/>
    <s v="Saanvi Iyer"/>
    <x v="1"/>
    <s v="Delhi"/>
    <s v="Technology"/>
    <s v="Printer"/>
    <s v="Printer - Technology"/>
    <x v="416"/>
    <n v="4"/>
    <n v="28"/>
    <n v="190.25"/>
    <s v="Delivered"/>
    <s v="UPI"/>
    <s v="10-2024"/>
    <x v="1"/>
    <x v="416"/>
    <s v="Profit"/>
    <s v="High (&gt;20%)"/>
  </r>
  <r>
    <s v="ODR00418"/>
    <d v="2025-01-14T00:00:00"/>
    <s v="Sneha Reddy"/>
    <x v="3"/>
    <s v="Ahmedabad"/>
    <s v="Furniture"/>
    <s v="Sofa"/>
    <s v="Sofa - Furniture"/>
    <x v="417"/>
    <n v="3"/>
    <n v="18"/>
    <n v="104.72"/>
    <s v="Delivered"/>
    <s v="Credit Card"/>
    <s v="01-2025"/>
    <x v="0"/>
    <x v="417"/>
    <s v="Profit"/>
    <s v="Mid (11-20%)"/>
  </r>
  <r>
    <s v="ODR00419"/>
    <d v="2024-08-26T00:00:00"/>
    <s v="Arjun Verma"/>
    <x v="2"/>
    <s v="Bangalore"/>
    <s v="Technology"/>
    <s v="Mobile"/>
    <s v="Mobile - Technology"/>
    <x v="418"/>
    <n v="2"/>
    <n v="17"/>
    <n v="73.59"/>
    <s v="In Transit"/>
    <s v="Cash"/>
    <s v="08-2024"/>
    <x v="1"/>
    <x v="418"/>
    <s v="Profit"/>
    <s v="Mid (11-20%)"/>
  </r>
  <r>
    <s v="ODR00420"/>
    <d v="2024-12-21T00:00:00"/>
    <s v="Krishna Das"/>
    <x v="2"/>
    <s v="Chennai"/>
    <s v="Furniture"/>
    <s v="Chair"/>
    <s v="Chair - Furniture"/>
    <x v="419"/>
    <n v="8"/>
    <n v="9"/>
    <n v="391.28"/>
    <s v="Returned"/>
    <s v="UPI"/>
    <s v="12-2024"/>
    <x v="1"/>
    <x v="419"/>
    <s v="Profit"/>
    <s v="Low (1-10%)"/>
  </r>
  <r>
    <s v="ODR00421"/>
    <d v="2025-01-29T00:00:00"/>
    <s v="Aarav Patel"/>
    <x v="3"/>
    <s v="Nagpur"/>
    <s v="Furniture"/>
    <s v="Sofa"/>
    <s v="Sofa - Furniture"/>
    <x v="420"/>
    <n v="9"/>
    <n v="19"/>
    <n v="1501.59"/>
    <s v="Returned"/>
    <s v="UPI"/>
    <s v="01-2025"/>
    <x v="0"/>
    <x v="420"/>
    <s v="Profit"/>
    <s v="Mid (11-20%)"/>
  </r>
  <r>
    <s v="ODR00422"/>
    <d v="2024-09-20T00:00:00"/>
    <s v="Krishna Das"/>
    <x v="0"/>
    <s v="Kolkata"/>
    <s v="Technology"/>
    <s v="Tablet"/>
    <s v="Tablet - Technology"/>
    <x v="421"/>
    <n v="5"/>
    <n v="21"/>
    <n v="56.32"/>
    <s v="Returned"/>
    <s v="Net Banking"/>
    <s v="09-2024"/>
    <x v="1"/>
    <x v="421"/>
    <s v="Profit"/>
    <s v="High (&gt;20%)"/>
  </r>
  <r>
    <s v="ODR00423"/>
    <d v="2024-05-22T00:00:00"/>
    <s v="Krishna Das"/>
    <x v="0"/>
    <s v="Bhubaneswar"/>
    <s v="Technology"/>
    <s v="Printer"/>
    <s v="Printer - Technology"/>
    <x v="422"/>
    <n v="9"/>
    <n v="27"/>
    <n v="695.6"/>
    <s v="Returned"/>
    <s v="Cash"/>
    <s v="05-2024"/>
    <x v="1"/>
    <x v="422"/>
    <s v="Profit"/>
    <s v="High (&gt;20%)"/>
  </r>
  <r>
    <s v="ODR00424"/>
    <d v="2024-06-16T00:00:00"/>
    <s v="Ishaan Mehta"/>
    <x v="0"/>
    <s v="Patna"/>
    <s v="Furniture"/>
    <s v="Table"/>
    <s v="Table - Furniture"/>
    <x v="423"/>
    <n v="3"/>
    <n v="20"/>
    <n v="107.92"/>
    <s v="Returned"/>
    <s v="Net Banking"/>
    <s v="06-2024"/>
    <x v="1"/>
    <x v="423"/>
    <s v="Profit"/>
    <s v="Mid (11-20%)"/>
  </r>
  <r>
    <s v="ODR00425"/>
    <d v="2024-09-19T00:00:00"/>
    <s v="Anaya Singh"/>
    <x v="1"/>
    <s v="Chandigarh"/>
    <s v="Office Supplies"/>
    <s v="Pen"/>
    <s v="Pen - Office Supplies"/>
    <x v="424"/>
    <n v="10"/>
    <n v="9"/>
    <n v="612.22"/>
    <s v="Delivered"/>
    <s v="Net Banking"/>
    <s v="09-2024"/>
    <x v="1"/>
    <x v="424"/>
    <s v="Profit"/>
    <s v="Low (1-10%)"/>
  </r>
  <r>
    <s v="ODR00426"/>
    <d v="2024-08-13T00:00:00"/>
    <s v="Sneha Reddy"/>
    <x v="2"/>
    <s v="Chennai"/>
    <s v="Furniture"/>
    <s v="Cupboard"/>
    <s v="Cupboard - Furniture"/>
    <x v="425"/>
    <n v="8"/>
    <n v="6"/>
    <n v="372.79"/>
    <s v="In Transit"/>
    <s v="Cash"/>
    <s v="08-2024"/>
    <x v="1"/>
    <x v="425"/>
    <s v="Profit"/>
    <s v="Low (1-10%)"/>
  </r>
  <r>
    <s v="ODR00427"/>
    <d v="2025-01-15T00:00:00"/>
    <s v="Diya Sharma"/>
    <x v="3"/>
    <s v="Nagpur"/>
    <s v="Furniture"/>
    <s v="Sofa"/>
    <s v="Sofa - Furniture"/>
    <x v="426"/>
    <n v="8"/>
    <n v="23"/>
    <n v="1507.94"/>
    <s v="Returned"/>
    <s v="Cash"/>
    <s v="01-2025"/>
    <x v="0"/>
    <x v="426"/>
    <s v="Profit"/>
    <s v="High (&gt;20%)"/>
  </r>
  <r>
    <s v="ODR00428"/>
    <d v="2025-01-07T00:00:00"/>
    <s v="Diya Sharma"/>
    <x v="3"/>
    <s v="Mumbai"/>
    <s v="Office Supplies"/>
    <s v="Envelope"/>
    <s v="Envelope - Office Supplies"/>
    <x v="427"/>
    <n v="4"/>
    <n v="27"/>
    <n v="295.5"/>
    <s v="Delivered"/>
    <s v="Cash"/>
    <s v="01-2025"/>
    <x v="0"/>
    <x v="427"/>
    <s v="Profit"/>
    <s v="High (&gt;20%)"/>
  </r>
  <r>
    <s v="ODR00429"/>
    <d v="2024-08-11T00:00:00"/>
    <s v="Yuvraj Chauhan"/>
    <x v="2"/>
    <s v="Bangalore"/>
    <s v="Technology"/>
    <s v="Tablet"/>
    <s v="Tablet - Technology"/>
    <x v="428"/>
    <n v="1"/>
    <n v="26"/>
    <n v="215.71"/>
    <s v="Delivered"/>
    <s v="Credit Card"/>
    <s v="08-2024"/>
    <x v="1"/>
    <x v="428"/>
    <s v="Profit"/>
    <s v="High (&gt;20%)"/>
  </r>
  <r>
    <s v="ODR00430"/>
    <d v="2024-07-11T00:00:00"/>
    <s v="Ishaan Mehta"/>
    <x v="3"/>
    <s v="Ahmedabad"/>
    <s v="Office Supplies"/>
    <s v="Envelope"/>
    <s v="Envelope - Office Supplies"/>
    <x v="429"/>
    <n v="3"/>
    <n v="10"/>
    <n v="1257.33"/>
    <s v="Delivered"/>
    <s v="Credit Card"/>
    <s v="07-2024"/>
    <x v="1"/>
    <x v="429"/>
    <s v="Profit"/>
    <s v="Low (1-10%)"/>
  </r>
  <r>
    <s v="ODR00431"/>
    <d v="2024-12-01T00:00:00"/>
    <s v="Arjun Verma"/>
    <x v="2"/>
    <s v="Chennai"/>
    <s v="Technology"/>
    <s v="Laptop"/>
    <s v="Laptop - Technology"/>
    <x v="430"/>
    <n v="7"/>
    <n v="29"/>
    <n v="439.12"/>
    <s v="In Transit"/>
    <s v="Cash"/>
    <s v="12-2024"/>
    <x v="1"/>
    <x v="430"/>
    <s v="Profit"/>
    <s v="High (&gt;20%)"/>
  </r>
  <r>
    <s v="ODR00432"/>
    <d v="2024-08-07T00:00:00"/>
    <s v="Kabir Nair"/>
    <x v="3"/>
    <s v="Mumbai"/>
    <s v="Technology"/>
    <s v="Laptop"/>
    <s v="Laptop - Technology"/>
    <x v="431"/>
    <n v="2"/>
    <n v="15"/>
    <n v="112.01"/>
    <s v="Delivered"/>
    <s v="UPI"/>
    <s v="08-2024"/>
    <x v="1"/>
    <x v="431"/>
    <s v="Profit"/>
    <s v="Mid (11-20%)"/>
  </r>
  <r>
    <s v="ODR00433"/>
    <d v="2024-05-20T00:00:00"/>
    <s v="Meera Joshi"/>
    <x v="0"/>
    <s v="Patna"/>
    <s v="Technology"/>
    <s v="Tablet"/>
    <s v="Tablet - Technology"/>
    <x v="432"/>
    <n v="10"/>
    <n v="19"/>
    <n v="3056.75"/>
    <s v="In Transit"/>
    <s v="UPI"/>
    <s v="05-2024"/>
    <x v="1"/>
    <x v="432"/>
    <s v="Profit"/>
    <s v="Mid (11-20%)"/>
  </r>
  <r>
    <s v="ODR00434"/>
    <d v="2025-04-10T00:00:00"/>
    <s v="Sneha Reddy"/>
    <x v="0"/>
    <s v="Bhubaneswar"/>
    <s v="Technology"/>
    <s v="Printer"/>
    <s v="Printer - Technology"/>
    <x v="433"/>
    <n v="9"/>
    <n v="26"/>
    <n v="671.2"/>
    <s v="In Transit"/>
    <s v="UPI"/>
    <s v="04-2025"/>
    <x v="0"/>
    <x v="433"/>
    <s v="Profit"/>
    <s v="High (&gt;20%)"/>
  </r>
  <r>
    <s v="ODR00435"/>
    <d v="2025-04-16T00:00:00"/>
    <s v="Anaya Singh"/>
    <x v="0"/>
    <s v="Bhubaneswar"/>
    <s v="Office Supplies"/>
    <s v="Pen"/>
    <s v="Pen - Office Supplies"/>
    <x v="434"/>
    <n v="5"/>
    <n v="16"/>
    <n v="578.73"/>
    <s v="In Transit"/>
    <s v="Cash"/>
    <s v="04-2025"/>
    <x v="0"/>
    <x v="434"/>
    <s v="Profit"/>
    <s v="Mid (11-20%)"/>
  </r>
  <r>
    <s v="ODR00436"/>
    <d v="2024-11-06T00:00:00"/>
    <s v="Riya Kapoor"/>
    <x v="3"/>
    <s v="Mumbai"/>
    <s v="Furniture"/>
    <s v="Table"/>
    <s v="Table - Furniture"/>
    <x v="435"/>
    <n v="5"/>
    <n v="14"/>
    <n v="947.2"/>
    <s v="In Transit"/>
    <s v="Credit Card"/>
    <s v="11-2024"/>
    <x v="1"/>
    <x v="435"/>
    <s v="Profit"/>
    <s v="Mid (11-20%)"/>
  </r>
  <r>
    <s v="ODR00437"/>
    <d v="2025-04-28T00:00:00"/>
    <s v="Anaya Singh"/>
    <x v="3"/>
    <s v="Indore"/>
    <s v="Furniture"/>
    <s v="Chair"/>
    <s v="Chair - Furniture"/>
    <x v="436"/>
    <n v="3"/>
    <n v="1"/>
    <n v="437.82"/>
    <s v="In Transit"/>
    <s v="Net Banking"/>
    <s v="04-2025"/>
    <x v="0"/>
    <x v="436"/>
    <s v="Profit"/>
    <s v="Low (1-10%)"/>
  </r>
  <r>
    <s v="ODR00438"/>
    <d v="2024-11-07T00:00:00"/>
    <s v="Aarav Patel"/>
    <x v="1"/>
    <s v="Lucknow"/>
    <s v="Office Supplies"/>
    <s v="Envelope"/>
    <s v="Envelope - Office Supplies"/>
    <x v="437"/>
    <n v="4"/>
    <n v="30"/>
    <n v="1319.79"/>
    <s v="In Transit"/>
    <s v="UPI"/>
    <s v="11-2024"/>
    <x v="1"/>
    <x v="437"/>
    <s v="Profit"/>
    <s v="High (&gt;20%)"/>
  </r>
  <r>
    <s v="ODR00439"/>
    <d v="2024-11-10T00:00:00"/>
    <s v="Diya Sharma"/>
    <x v="2"/>
    <s v="Chennai"/>
    <s v="Furniture"/>
    <s v="Table"/>
    <s v="Table - Furniture"/>
    <x v="438"/>
    <n v="8"/>
    <n v="11"/>
    <n v="905.87"/>
    <s v="Returned"/>
    <s v="UPI"/>
    <s v="11-2024"/>
    <x v="1"/>
    <x v="438"/>
    <s v="Profit"/>
    <s v="Mid (11-20%)"/>
  </r>
  <r>
    <s v="ODR00440"/>
    <d v="2025-01-07T00:00:00"/>
    <s v="Kabir Nair"/>
    <x v="3"/>
    <s v="Pune"/>
    <s v="Furniture"/>
    <s v="Sofa"/>
    <s v="Sofa - Furniture"/>
    <x v="439"/>
    <n v="9"/>
    <n v="11"/>
    <n v="1140.8900000000001"/>
    <s v="In Transit"/>
    <s v="Net Banking"/>
    <s v="01-2025"/>
    <x v="0"/>
    <x v="439"/>
    <s v="Profit"/>
    <s v="Mid (11-20%)"/>
  </r>
  <r>
    <s v="ODR00441"/>
    <d v="2025-04-02T00:00:00"/>
    <s v="Kabir Nair"/>
    <x v="2"/>
    <s v="Bangalore"/>
    <s v="Office Supplies"/>
    <s v="Pen"/>
    <s v="Pen - Office Supplies"/>
    <x v="440"/>
    <n v="7"/>
    <n v="13"/>
    <n v="780.24"/>
    <s v="Delivered"/>
    <s v="Credit Card"/>
    <s v="04-2025"/>
    <x v="0"/>
    <x v="440"/>
    <s v="Profit"/>
    <s v="Mid (11-20%)"/>
  </r>
  <r>
    <s v="ODR00442"/>
    <d v="2024-09-13T00:00:00"/>
    <s v="Saanvi Iyer"/>
    <x v="0"/>
    <s v="Bhubaneswar"/>
    <s v="Office Supplies"/>
    <s v="Envelope"/>
    <s v="Envelope - Office Supplies"/>
    <x v="441"/>
    <n v="3"/>
    <n v="8"/>
    <n v="502.76"/>
    <s v="Delivered"/>
    <s v="Cash"/>
    <s v="09-2024"/>
    <x v="1"/>
    <x v="441"/>
    <s v="Profit"/>
    <s v="Low (1-10%)"/>
  </r>
  <r>
    <s v="ODR00443"/>
    <d v="2024-11-07T00:00:00"/>
    <s v="Ishaan Mehta"/>
    <x v="2"/>
    <s v="Chennai"/>
    <s v="Office Supplies"/>
    <s v="Envelope"/>
    <s v="Envelope - Office Supplies"/>
    <x v="442"/>
    <n v="1"/>
    <n v="16"/>
    <n v="53.37"/>
    <s v="Delivered"/>
    <s v="Cash"/>
    <s v="11-2024"/>
    <x v="1"/>
    <x v="442"/>
    <s v="Profit"/>
    <s v="Mid (11-20%)"/>
  </r>
  <r>
    <s v="ODR00444"/>
    <d v="2024-12-24T00:00:00"/>
    <s v="Tanishq Ghosh"/>
    <x v="1"/>
    <s v="Jaipur"/>
    <s v="Furniture"/>
    <s v="Chair"/>
    <s v="Chair - Furniture"/>
    <x v="443"/>
    <n v="9"/>
    <n v="6"/>
    <n v="261.93"/>
    <s v="Delivered"/>
    <s v="UPI"/>
    <s v="12-2024"/>
    <x v="1"/>
    <x v="443"/>
    <s v="Profit"/>
    <s v="Low (1-10%)"/>
  </r>
  <r>
    <s v="ODR00445"/>
    <d v="2025-04-19T00:00:00"/>
    <s v="Saanvi Iyer"/>
    <x v="0"/>
    <s v="Patna"/>
    <s v="Office Supplies"/>
    <s v="Stapler"/>
    <s v="Stapler - Office Supplies"/>
    <x v="444"/>
    <n v="8"/>
    <n v="22"/>
    <n v="211.59"/>
    <s v="Returned"/>
    <s v="Net Banking"/>
    <s v="04-2025"/>
    <x v="0"/>
    <x v="444"/>
    <s v="Profit"/>
    <s v="High (&gt;20%)"/>
  </r>
  <r>
    <s v="ODR00446"/>
    <d v="2024-08-05T00:00:00"/>
    <s v="Meera Joshi"/>
    <x v="1"/>
    <s v="Lucknow"/>
    <s v="Furniture"/>
    <s v="Cupboard"/>
    <s v="Cupboard - Furniture"/>
    <x v="445"/>
    <n v="6"/>
    <n v="13"/>
    <n v="458.29"/>
    <s v="Returned"/>
    <s v="UPI"/>
    <s v="08-2024"/>
    <x v="1"/>
    <x v="445"/>
    <s v="Profit"/>
    <s v="Mid (11-20%)"/>
  </r>
  <r>
    <s v="ODR00447"/>
    <d v="2024-06-02T00:00:00"/>
    <s v="Diya Sharma"/>
    <x v="2"/>
    <s v="Hyderabad"/>
    <s v="Office Supplies"/>
    <s v="Pen"/>
    <s v="Pen - Office Supplies"/>
    <x v="446"/>
    <n v="8"/>
    <n v="3"/>
    <n v="432.33"/>
    <s v="In Transit"/>
    <s v="Credit Card"/>
    <s v="06-2024"/>
    <x v="1"/>
    <x v="446"/>
    <s v="Profit"/>
    <s v="Low (1-10%)"/>
  </r>
  <r>
    <s v="ODR00448"/>
    <d v="2024-11-11T00:00:00"/>
    <s v="Anaya Singh"/>
    <x v="2"/>
    <s v="Chennai"/>
    <s v="Furniture"/>
    <s v="Cupboard"/>
    <s v="Cupboard - Furniture"/>
    <x v="447"/>
    <n v="1"/>
    <n v="17"/>
    <n v="280.70999999999998"/>
    <s v="Delivered"/>
    <s v="Credit Card"/>
    <s v="11-2024"/>
    <x v="1"/>
    <x v="447"/>
    <s v="Profit"/>
    <s v="Mid (11-20%)"/>
  </r>
  <r>
    <s v="ODR00449"/>
    <d v="2024-10-02T00:00:00"/>
    <s v="Arjun Verma"/>
    <x v="1"/>
    <s v="Delhi"/>
    <s v="Technology"/>
    <s v="Printer"/>
    <s v="Printer - Technology"/>
    <x v="448"/>
    <n v="2"/>
    <n v="10"/>
    <n v="107.38"/>
    <s v="Delivered"/>
    <s v="Net Banking"/>
    <s v="10-2024"/>
    <x v="1"/>
    <x v="448"/>
    <s v="Profit"/>
    <s v="Low (1-10%)"/>
  </r>
  <r>
    <s v="ODR00450"/>
    <d v="2025-03-04T00:00:00"/>
    <s v="Anaya Singh"/>
    <x v="2"/>
    <s v="Bangalore"/>
    <s v="Furniture"/>
    <s v="Chair"/>
    <s v="Chair - Furniture"/>
    <x v="449"/>
    <n v="5"/>
    <n v="23"/>
    <n v="824.83"/>
    <s v="Delivered"/>
    <s v="Cash"/>
    <s v="03-2025"/>
    <x v="0"/>
    <x v="449"/>
    <s v="Profit"/>
    <s v="High (&gt;20%)"/>
  </r>
  <r>
    <s v="ODR00451"/>
    <d v="2025-03-02T00:00:00"/>
    <s v="Krishna Das"/>
    <x v="3"/>
    <s v="Mumbai"/>
    <s v="Furniture"/>
    <s v="Sofa"/>
    <s v="Sofa - Furniture"/>
    <x v="450"/>
    <n v="4"/>
    <n v="22"/>
    <n v="410.09"/>
    <s v="Delivered"/>
    <s v="UPI"/>
    <s v="03-2025"/>
    <x v="0"/>
    <x v="450"/>
    <s v="Profit"/>
    <s v="High (&gt;20%)"/>
  </r>
  <r>
    <s v="ODR00452"/>
    <d v="2025-04-06T00:00:00"/>
    <s v="Yuvraj Chauhan"/>
    <x v="1"/>
    <s v="Jaipur"/>
    <s v="Furniture"/>
    <s v="Sofa"/>
    <s v="Sofa - Furniture"/>
    <x v="451"/>
    <n v="4"/>
    <n v="20"/>
    <n v="472.39"/>
    <s v="Returned"/>
    <s v="UPI"/>
    <s v="04-2025"/>
    <x v="0"/>
    <x v="451"/>
    <s v="Profit"/>
    <s v="Mid (11-20%)"/>
  </r>
  <r>
    <s v="ODR00453"/>
    <d v="2024-09-17T00:00:00"/>
    <s v="Ishaan Mehta"/>
    <x v="1"/>
    <s v="Jaipur"/>
    <s v="Technology"/>
    <s v="Mobile"/>
    <s v="Mobile - Technology"/>
    <x v="452"/>
    <n v="4"/>
    <n v="16"/>
    <n v="798.98"/>
    <s v="Returned"/>
    <s v="Net Banking"/>
    <s v="09-2024"/>
    <x v="1"/>
    <x v="452"/>
    <s v="Profit"/>
    <s v="Mid (11-20%)"/>
  </r>
  <r>
    <s v="ODR00454"/>
    <d v="2024-06-27T00:00:00"/>
    <s v="Sneha Reddy"/>
    <x v="2"/>
    <s v="Chennai"/>
    <s v="Furniture"/>
    <s v="Sofa"/>
    <s v="Sofa - Furniture"/>
    <x v="453"/>
    <n v="6"/>
    <n v="29"/>
    <n v="798.1"/>
    <s v="Returned"/>
    <s v="Cash"/>
    <s v="06-2024"/>
    <x v="1"/>
    <x v="453"/>
    <s v="Profit"/>
    <s v="High (&gt;20%)"/>
  </r>
  <r>
    <s v="ODR00455"/>
    <d v="2025-01-10T00:00:00"/>
    <s v="Krishna Das"/>
    <x v="0"/>
    <s v="Patna"/>
    <s v="Furniture"/>
    <s v="Table"/>
    <s v="Table - Furniture"/>
    <x v="454"/>
    <n v="7"/>
    <n v="10"/>
    <n v="2079.86"/>
    <s v="Returned"/>
    <s v="Credit Card"/>
    <s v="01-2025"/>
    <x v="0"/>
    <x v="454"/>
    <s v="Profit"/>
    <s v="Low (1-10%)"/>
  </r>
  <r>
    <s v="ODR00456"/>
    <d v="2025-05-01T00:00:00"/>
    <s v="Kabir Nair"/>
    <x v="1"/>
    <s v="Chandigarh"/>
    <s v="Technology"/>
    <s v="Mobile"/>
    <s v="Mobile - Technology"/>
    <x v="455"/>
    <n v="3"/>
    <n v="6"/>
    <n v="499.06"/>
    <s v="In Transit"/>
    <s v="UPI"/>
    <s v="05-2025"/>
    <x v="0"/>
    <x v="455"/>
    <s v="Profit"/>
    <s v="Low (1-10%)"/>
  </r>
  <r>
    <s v="ODR00457"/>
    <d v="2024-06-06T00:00:00"/>
    <s v="Ishaan Mehta"/>
    <x v="2"/>
    <s v="Bangalore"/>
    <s v="Technology"/>
    <s v="Tablet"/>
    <s v="Tablet - Technology"/>
    <x v="456"/>
    <n v="1"/>
    <n v="15"/>
    <n v="185.71"/>
    <s v="Delivered"/>
    <s v="Net Banking"/>
    <s v="06-2024"/>
    <x v="1"/>
    <x v="456"/>
    <s v="Profit"/>
    <s v="Mid (11-20%)"/>
  </r>
  <r>
    <s v="ODR00458"/>
    <d v="2024-05-14T00:00:00"/>
    <s v="Meera Joshi"/>
    <x v="0"/>
    <s v="Bhubaneswar"/>
    <s v="Furniture"/>
    <s v="Sofa"/>
    <s v="Sofa - Furniture"/>
    <x v="457"/>
    <n v="6"/>
    <n v="13"/>
    <n v="809.53"/>
    <s v="Delivered"/>
    <s v="UPI"/>
    <s v="05-2024"/>
    <x v="1"/>
    <x v="457"/>
    <s v="Profit"/>
    <s v="Mid (11-20%)"/>
  </r>
  <r>
    <s v="ODR00459"/>
    <d v="2024-10-13T00:00:00"/>
    <s v="Saanvi Iyer"/>
    <x v="1"/>
    <s v="Jaipur"/>
    <s v="Furniture"/>
    <s v="Sofa"/>
    <s v="Sofa - Furniture"/>
    <x v="458"/>
    <n v="3"/>
    <n v="2"/>
    <n v="632.73"/>
    <s v="Returned"/>
    <s v="Net Banking"/>
    <s v="10-2024"/>
    <x v="1"/>
    <x v="458"/>
    <s v="Profit"/>
    <s v="Low (1-10%)"/>
  </r>
  <r>
    <s v="ODR00460"/>
    <d v="2024-11-30T00:00:00"/>
    <s v="Meera Joshi"/>
    <x v="3"/>
    <s v="Mumbai"/>
    <s v="Office Supplies"/>
    <s v="Envelope"/>
    <s v="Envelope - Office Supplies"/>
    <x v="459"/>
    <n v="1"/>
    <n v="11"/>
    <n v="226.19"/>
    <s v="Delivered"/>
    <s v="Net Banking"/>
    <s v="11-2024"/>
    <x v="1"/>
    <x v="459"/>
    <s v="Profit"/>
    <s v="Mid (11-20%)"/>
  </r>
  <r>
    <s v="ODR00461"/>
    <d v="2025-04-10T00:00:00"/>
    <s v="Saanvi Iyer"/>
    <x v="3"/>
    <s v="Indore"/>
    <s v="Technology"/>
    <s v="Tablet"/>
    <s v="Tablet - Technology"/>
    <x v="460"/>
    <n v="8"/>
    <n v="21"/>
    <n v="824.02"/>
    <s v="In Transit"/>
    <s v="Credit Card"/>
    <s v="04-2025"/>
    <x v="0"/>
    <x v="460"/>
    <s v="Profit"/>
    <s v="High (&gt;20%)"/>
  </r>
  <r>
    <s v="ODR00462"/>
    <d v="2025-04-18T00:00:00"/>
    <s v="Riya Kapoor"/>
    <x v="3"/>
    <s v="Nagpur"/>
    <s v="Furniture"/>
    <s v="Chair"/>
    <s v="Chair - Furniture"/>
    <x v="461"/>
    <n v="8"/>
    <n v="5"/>
    <n v="942.15"/>
    <s v="Delivered"/>
    <s v="Net Banking"/>
    <s v="04-2025"/>
    <x v="0"/>
    <x v="461"/>
    <s v="Profit"/>
    <s v="Low (1-10%)"/>
  </r>
  <r>
    <s v="ODR00463"/>
    <d v="2024-12-28T00:00:00"/>
    <s v="Meera Joshi"/>
    <x v="1"/>
    <s v="Lucknow"/>
    <s v="Office Supplies"/>
    <s v="Stapler"/>
    <s v="Stapler - Office Supplies"/>
    <x v="462"/>
    <n v="10"/>
    <n v="15"/>
    <n v="3452.88"/>
    <s v="In Transit"/>
    <s v="Credit Card"/>
    <s v="12-2024"/>
    <x v="1"/>
    <x v="462"/>
    <s v="Profit"/>
    <s v="Mid (11-20%)"/>
  </r>
  <r>
    <s v="ODR00464"/>
    <d v="2025-03-14T00:00:00"/>
    <s v="Kabir Nair"/>
    <x v="2"/>
    <s v="Hyderabad"/>
    <s v="Furniture"/>
    <s v="Sofa"/>
    <s v="Sofa - Furniture"/>
    <x v="463"/>
    <n v="1"/>
    <n v="12"/>
    <n v="216.23"/>
    <s v="Returned"/>
    <s v="Cash"/>
    <s v="03-2025"/>
    <x v="0"/>
    <x v="463"/>
    <s v="Profit"/>
    <s v="Mid (11-20%)"/>
  </r>
  <r>
    <s v="ODR00465"/>
    <d v="2025-04-27T00:00:00"/>
    <s v="Meera Joshi"/>
    <x v="1"/>
    <s v="Jaipur"/>
    <s v="Technology"/>
    <s v="Laptop"/>
    <s v="Laptop - Technology"/>
    <x v="464"/>
    <n v="10"/>
    <n v="28"/>
    <n v="287.27"/>
    <s v="Delivered"/>
    <s v="Credit Card"/>
    <s v="04-2025"/>
    <x v="0"/>
    <x v="464"/>
    <s v="Profit"/>
    <s v="High (&gt;20%)"/>
  </r>
  <r>
    <s v="ODR00466"/>
    <d v="2024-10-22T00:00:00"/>
    <s v="Aarav Patel"/>
    <x v="0"/>
    <s v="Bhubaneswar"/>
    <s v="Office Supplies"/>
    <s v="Notebook"/>
    <s v="Notebook - Office Supplies"/>
    <x v="465"/>
    <n v="6"/>
    <n v="3"/>
    <n v="863.68"/>
    <s v="Delivered"/>
    <s v="UPI"/>
    <s v="10-2024"/>
    <x v="1"/>
    <x v="465"/>
    <s v="Profit"/>
    <s v="Low (1-10%)"/>
  </r>
  <r>
    <s v="ODR00467"/>
    <d v="2025-02-19T00:00:00"/>
    <s v="Meera Joshi"/>
    <x v="1"/>
    <s v="Chandigarh"/>
    <s v="Furniture"/>
    <s v="Chair"/>
    <s v="Chair - Furniture"/>
    <x v="466"/>
    <n v="7"/>
    <n v="0"/>
    <n v="304.52"/>
    <s v="Returned"/>
    <s v="Cash"/>
    <s v="02-2025"/>
    <x v="0"/>
    <x v="466"/>
    <s v="Profit"/>
    <s v="No Discount"/>
  </r>
  <r>
    <s v="ODR00468"/>
    <d v="2025-04-23T00:00:00"/>
    <s v="Kriti Desai"/>
    <x v="0"/>
    <s v="Patna"/>
    <s v="Technology"/>
    <s v="Laptop"/>
    <s v="Laptop - Technology"/>
    <x v="467"/>
    <n v="9"/>
    <n v="16"/>
    <n v="102.41"/>
    <s v="Returned"/>
    <s v="UPI"/>
    <s v="04-2025"/>
    <x v="0"/>
    <x v="467"/>
    <s v="Profit"/>
    <s v="Mid (11-20%)"/>
  </r>
  <r>
    <s v="ODR00469"/>
    <d v="2024-11-15T00:00:00"/>
    <s v="Riya Kapoor"/>
    <x v="2"/>
    <s v="Hyderabad"/>
    <s v="Furniture"/>
    <s v="Sofa"/>
    <s v="Sofa - Furniture"/>
    <x v="468"/>
    <n v="7"/>
    <n v="7.0000000000000009"/>
    <n v="669.01"/>
    <s v="In Transit"/>
    <s v="Cash"/>
    <s v="11-2024"/>
    <x v="1"/>
    <x v="468"/>
    <s v="Profit"/>
    <s v="Low (1-10%)"/>
  </r>
  <r>
    <s v="ODR00470"/>
    <d v="2024-07-25T00:00:00"/>
    <s v="Saanvi Iyer"/>
    <x v="2"/>
    <s v="Chennai"/>
    <s v="Technology"/>
    <s v="Tablet"/>
    <s v="Tablet - Technology"/>
    <x v="469"/>
    <n v="10"/>
    <n v="19"/>
    <n v="191.63"/>
    <s v="Returned"/>
    <s v="Credit Card"/>
    <s v="07-2024"/>
    <x v="1"/>
    <x v="469"/>
    <s v="Profit"/>
    <s v="Mid (11-20%)"/>
  </r>
  <r>
    <s v="ODR00471"/>
    <d v="2025-04-16T00:00:00"/>
    <s v="Tanishq Ghosh"/>
    <x v="3"/>
    <s v="Ahmedabad"/>
    <s v="Office Supplies"/>
    <s v="Notebook"/>
    <s v="Notebook - Office Supplies"/>
    <x v="470"/>
    <n v="2"/>
    <n v="27"/>
    <n v="267.33"/>
    <s v="In Transit"/>
    <s v="UPI"/>
    <s v="04-2025"/>
    <x v="0"/>
    <x v="470"/>
    <s v="Profit"/>
    <s v="High (&gt;20%)"/>
  </r>
  <r>
    <s v="ODR00472"/>
    <d v="2025-03-13T00:00:00"/>
    <s v="Sneha Reddy"/>
    <x v="2"/>
    <s v="Bangalore"/>
    <s v="Technology"/>
    <s v="Printer"/>
    <s v="Printer - Technology"/>
    <x v="471"/>
    <n v="2"/>
    <n v="29"/>
    <n v="430.2"/>
    <s v="Returned"/>
    <s v="Net Banking"/>
    <s v="03-2025"/>
    <x v="0"/>
    <x v="471"/>
    <s v="Profit"/>
    <s v="High (&gt;20%)"/>
  </r>
  <r>
    <s v="ODR00473"/>
    <d v="2024-12-30T00:00:00"/>
    <s v="Yuvraj Chauhan"/>
    <x v="1"/>
    <s v="Jaipur"/>
    <s v="Furniture"/>
    <s v="Table"/>
    <s v="Table - Furniture"/>
    <x v="472"/>
    <n v="7"/>
    <n v="28"/>
    <n v="625.54999999999995"/>
    <s v="Returned"/>
    <s v="Credit Card"/>
    <s v="12-2024"/>
    <x v="1"/>
    <x v="472"/>
    <s v="Profit"/>
    <s v="High (&gt;20%)"/>
  </r>
  <r>
    <s v="ODR00474"/>
    <d v="2024-12-21T00:00:00"/>
    <s v="Aarav Patel"/>
    <x v="0"/>
    <s v="Bhubaneswar"/>
    <s v="Office Supplies"/>
    <s v="Stapler"/>
    <s v="Stapler - Office Supplies"/>
    <x v="473"/>
    <n v="7"/>
    <n v="16"/>
    <n v="1322.59"/>
    <s v="Returned"/>
    <s v="UPI"/>
    <s v="12-2024"/>
    <x v="1"/>
    <x v="473"/>
    <s v="Profit"/>
    <s v="Mid (11-20%)"/>
  </r>
  <r>
    <s v="ODR00475"/>
    <d v="2025-01-10T00:00:00"/>
    <s v="Meera Joshi"/>
    <x v="2"/>
    <s v="Bangalore"/>
    <s v="Furniture"/>
    <s v="Cupboard"/>
    <s v="Cupboard - Furniture"/>
    <x v="474"/>
    <n v="9"/>
    <n v="8"/>
    <n v="554.23"/>
    <s v="Delivered"/>
    <s v="Net Banking"/>
    <s v="01-2025"/>
    <x v="0"/>
    <x v="474"/>
    <s v="Profit"/>
    <s v="Low (1-10%)"/>
  </r>
  <r>
    <s v="ODR00476"/>
    <d v="2024-09-05T00:00:00"/>
    <s v="Arjun Verma"/>
    <x v="2"/>
    <s v="Bangalore"/>
    <s v="Technology"/>
    <s v="Printer"/>
    <s v="Printer - Technology"/>
    <x v="475"/>
    <n v="8"/>
    <n v="23"/>
    <n v="1533.35"/>
    <s v="In Transit"/>
    <s v="Cash"/>
    <s v="09-2024"/>
    <x v="1"/>
    <x v="475"/>
    <s v="Profit"/>
    <s v="High (&gt;20%)"/>
  </r>
  <r>
    <s v="ODR00477"/>
    <d v="2024-08-26T00:00:00"/>
    <s v="Aarav Patel"/>
    <x v="3"/>
    <s v="Ahmedabad"/>
    <s v="Furniture"/>
    <s v="Table"/>
    <s v="Table - Furniture"/>
    <x v="476"/>
    <n v="8"/>
    <n v="21"/>
    <n v="1715.91"/>
    <s v="Delivered"/>
    <s v="Credit Card"/>
    <s v="08-2024"/>
    <x v="1"/>
    <x v="476"/>
    <s v="Profit"/>
    <s v="High (&gt;20%)"/>
  </r>
  <r>
    <s v="ODR00478"/>
    <d v="2024-06-22T00:00:00"/>
    <s v="Vivaan Shah"/>
    <x v="3"/>
    <s v="Ahmedabad"/>
    <s v="Furniture"/>
    <s v="Table"/>
    <s v="Table - Furniture"/>
    <x v="477"/>
    <n v="9"/>
    <n v="26"/>
    <n v="1197.47"/>
    <s v="Delivered"/>
    <s v="Credit Card"/>
    <s v="06-2024"/>
    <x v="1"/>
    <x v="477"/>
    <s v="Profit"/>
    <s v="High (&gt;20%)"/>
  </r>
  <r>
    <s v="ODR00479"/>
    <d v="2024-12-16T00:00:00"/>
    <s v="Anaya Singh"/>
    <x v="1"/>
    <s v="Delhi"/>
    <s v="Office Supplies"/>
    <s v="Notebook"/>
    <s v="Notebook - Office Supplies"/>
    <x v="478"/>
    <n v="1"/>
    <n v="29"/>
    <n v="200.29"/>
    <s v="In Transit"/>
    <s v="Cash"/>
    <s v="12-2024"/>
    <x v="1"/>
    <x v="478"/>
    <s v="Profit"/>
    <s v="High (&gt;20%)"/>
  </r>
  <r>
    <s v="ODR00480"/>
    <d v="2024-06-09T00:00:00"/>
    <s v="Anaya Singh"/>
    <x v="1"/>
    <s v="Jaipur"/>
    <s v="Furniture"/>
    <s v="Chair"/>
    <s v="Chair - Furniture"/>
    <x v="479"/>
    <n v="2"/>
    <n v="27"/>
    <n v="420.84"/>
    <s v="Returned"/>
    <s v="UPI"/>
    <s v="06-2024"/>
    <x v="1"/>
    <x v="479"/>
    <s v="Profit"/>
    <s v="High (&gt;20%)"/>
  </r>
  <r>
    <s v="ODR00481"/>
    <d v="2025-04-12T00:00:00"/>
    <s v="Saanvi Iyer"/>
    <x v="3"/>
    <s v="Ahmedabad"/>
    <s v="Office Supplies"/>
    <s v="Pen"/>
    <s v="Pen - Office Supplies"/>
    <x v="480"/>
    <n v="9"/>
    <n v="3"/>
    <n v="1481.17"/>
    <s v="In Transit"/>
    <s v="Credit Card"/>
    <s v="04-2025"/>
    <x v="0"/>
    <x v="480"/>
    <s v="Profit"/>
    <s v="Low (1-10%)"/>
  </r>
  <r>
    <s v="ODR00482"/>
    <d v="2024-12-10T00:00:00"/>
    <s v="Kriti Desai"/>
    <x v="1"/>
    <s v="Delhi"/>
    <s v="Furniture"/>
    <s v="Cupboard"/>
    <s v="Cupboard - Furniture"/>
    <x v="481"/>
    <n v="1"/>
    <n v="3"/>
    <n v="166.02"/>
    <s v="Returned"/>
    <s v="UPI"/>
    <s v="12-2024"/>
    <x v="1"/>
    <x v="481"/>
    <s v="Profit"/>
    <s v="Low (1-10%)"/>
  </r>
  <r>
    <s v="ODR00483"/>
    <d v="2024-07-28T00:00:00"/>
    <s v="Yuvraj Chauhan"/>
    <x v="2"/>
    <s v="Chennai"/>
    <s v="Furniture"/>
    <s v="Table"/>
    <s v="Table - Furniture"/>
    <x v="482"/>
    <n v="5"/>
    <n v="18"/>
    <n v="1054.9100000000001"/>
    <s v="Delivered"/>
    <s v="Cash"/>
    <s v="07-2024"/>
    <x v="1"/>
    <x v="482"/>
    <s v="Profit"/>
    <s v="Mid (11-20%)"/>
  </r>
  <r>
    <s v="ODR00484"/>
    <d v="2024-09-26T00:00:00"/>
    <s v="Saanvi Iyer"/>
    <x v="3"/>
    <s v="Indore"/>
    <s v="Technology"/>
    <s v="Laptop"/>
    <s v="Laptop - Technology"/>
    <x v="483"/>
    <n v="2"/>
    <n v="11"/>
    <n v="222.39"/>
    <s v="Returned"/>
    <s v="Net Banking"/>
    <s v="09-2024"/>
    <x v="1"/>
    <x v="483"/>
    <s v="Profit"/>
    <s v="Mid (11-20%)"/>
  </r>
  <r>
    <s v="ODR00485"/>
    <d v="2024-07-26T00:00:00"/>
    <s v="Krishna Das"/>
    <x v="3"/>
    <s v="Pune"/>
    <s v="Furniture"/>
    <s v="Table"/>
    <s v="Table - Furniture"/>
    <x v="484"/>
    <n v="5"/>
    <n v="10"/>
    <n v="222.4"/>
    <s v="Delivered"/>
    <s v="UPI"/>
    <s v="07-2024"/>
    <x v="1"/>
    <x v="484"/>
    <s v="Profit"/>
    <s v="Low (1-10%)"/>
  </r>
  <r>
    <s v="ODR00486"/>
    <d v="2024-07-31T00:00:00"/>
    <s v="Aarav Patel"/>
    <x v="2"/>
    <s v="Bangalore"/>
    <s v="Technology"/>
    <s v="Mobile"/>
    <s v="Mobile - Technology"/>
    <x v="485"/>
    <n v="2"/>
    <n v="26"/>
    <n v="28.29"/>
    <s v="In Transit"/>
    <s v="UPI"/>
    <s v="07-2024"/>
    <x v="1"/>
    <x v="485"/>
    <s v="Profit"/>
    <s v="High (&gt;20%)"/>
  </r>
  <r>
    <s v="ODR00487"/>
    <d v="2025-01-16T00:00:00"/>
    <s v="Tanishq Ghosh"/>
    <x v="3"/>
    <s v="Pune"/>
    <s v="Technology"/>
    <s v="Printer"/>
    <s v="Printer - Technology"/>
    <x v="486"/>
    <n v="3"/>
    <n v="26"/>
    <n v="87.76"/>
    <s v="Delivered"/>
    <s v="Cash"/>
    <s v="01-2025"/>
    <x v="0"/>
    <x v="486"/>
    <s v="Profit"/>
    <s v="High (&gt;20%)"/>
  </r>
  <r>
    <s v="ODR00488"/>
    <d v="2024-07-15T00:00:00"/>
    <s v="Aarav Patel"/>
    <x v="3"/>
    <s v="Pune"/>
    <s v="Furniture"/>
    <s v="Sofa"/>
    <s v="Sofa - Furniture"/>
    <x v="487"/>
    <n v="3"/>
    <n v="18"/>
    <n v="717.16"/>
    <s v="Returned"/>
    <s v="Cash"/>
    <s v="07-2024"/>
    <x v="1"/>
    <x v="487"/>
    <s v="Profit"/>
    <s v="Mid (11-20%)"/>
  </r>
  <r>
    <s v="ODR00489"/>
    <d v="2025-04-16T00:00:00"/>
    <s v="Kriti Desai"/>
    <x v="2"/>
    <s v="Chennai"/>
    <s v="Office Supplies"/>
    <s v="Envelope"/>
    <s v="Envelope - Office Supplies"/>
    <x v="488"/>
    <n v="10"/>
    <n v="3"/>
    <n v="455.34"/>
    <s v="Delivered"/>
    <s v="UPI"/>
    <s v="04-2025"/>
    <x v="0"/>
    <x v="488"/>
    <s v="Profit"/>
    <s v="Low (1-10%)"/>
  </r>
  <r>
    <s v="ODR00490"/>
    <d v="2024-05-31T00:00:00"/>
    <s v="Krishna Das"/>
    <x v="2"/>
    <s v="Bangalore"/>
    <s v="Furniture"/>
    <s v="Cupboard"/>
    <s v="Cupboard - Furniture"/>
    <x v="489"/>
    <n v="4"/>
    <n v="16"/>
    <n v="234.02"/>
    <s v="Delivered"/>
    <s v="Cash"/>
    <s v="05-2024"/>
    <x v="1"/>
    <x v="489"/>
    <s v="Profit"/>
    <s v="Mid (11-20%)"/>
  </r>
  <r>
    <s v="ODR00491"/>
    <d v="2024-09-01T00:00:00"/>
    <s v="Kriti Desai"/>
    <x v="1"/>
    <s v="Jaipur"/>
    <s v="Office Supplies"/>
    <s v="Stapler"/>
    <s v="Stapler - Office Supplies"/>
    <x v="490"/>
    <n v="9"/>
    <n v="21"/>
    <n v="898.2"/>
    <s v="Returned"/>
    <s v="Cash"/>
    <s v="09-2024"/>
    <x v="1"/>
    <x v="490"/>
    <s v="Profit"/>
    <s v="High (&gt;20%)"/>
  </r>
  <r>
    <s v="ODR00492"/>
    <d v="2024-06-08T00:00:00"/>
    <s v="Tanishq Ghosh"/>
    <x v="2"/>
    <s v="Hyderabad"/>
    <s v="Office Supplies"/>
    <s v="Stapler"/>
    <s v="Stapler - Office Supplies"/>
    <x v="491"/>
    <n v="2"/>
    <n v="25"/>
    <n v="99.21"/>
    <s v="Returned"/>
    <s v="Net Banking"/>
    <s v="06-2024"/>
    <x v="1"/>
    <x v="491"/>
    <s v="Profit"/>
    <s v="High (&gt;20%)"/>
  </r>
  <r>
    <s v="ODR00493"/>
    <d v="2024-08-21T00:00:00"/>
    <s v="Vivaan Shah"/>
    <x v="0"/>
    <s v="Patna"/>
    <s v="Technology"/>
    <s v="Mobile"/>
    <s v="Mobile - Technology"/>
    <x v="492"/>
    <n v="7"/>
    <n v="13"/>
    <n v="716.85"/>
    <s v="In Transit"/>
    <s v="Net Banking"/>
    <s v="08-2024"/>
    <x v="1"/>
    <x v="492"/>
    <s v="Profit"/>
    <s v="Mid (11-20%)"/>
  </r>
  <r>
    <s v="ODR00494"/>
    <d v="2024-08-27T00:00:00"/>
    <s v="Riya Kapoor"/>
    <x v="2"/>
    <s v="Bangalore"/>
    <s v="Technology"/>
    <s v="Mobile"/>
    <s v="Mobile - Technology"/>
    <x v="493"/>
    <n v="4"/>
    <n v="6"/>
    <n v="386.71"/>
    <s v="Returned"/>
    <s v="Credit Card"/>
    <s v="08-2024"/>
    <x v="1"/>
    <x v="493"/>
    <s v="Profit"/>
    <s v="Low (1-10%)"/>
  </r>
  <r>
    <s v="ODR00495"/>
    <d v="2024-12-29T00:00:00"/>
    <s v="Kabir Nair"/>
    <x v="3"/>
    <s v="Ahmedabad"/>
    <s v="Technology"/>
    <s v="Laptop"/>
    <s v="Laptop - Technology"/>
    <x v="494"/>
    <n v="3"/>
    <n v="7.0000000000000009"/>
    <n v="754.17"/>
    <s v="Delivered"/>
    <s v="Cash"/>
    <s v="12-2024"/>
    <x v="1"/>
    <x v="494"/>
    <s v="Profit"/>
    <s v="Low (1-10%)"/>
  </r>
  <r>
    <s v="ODR00496"/>
    <d v="2024-12-20T00:00:00"/>
    <s v="Meera Joshi"/>
    <x v="1"/>
    <s v="Chandigarh"/>
    <s v="Office Supplies"/>
    <s v="Pen"/>
    <s v="Pen - Office Supplies"/>
    <x v="495"/>
    <n v="8"/>
    <n v="20"/>
    <n v="2077"/>
    <s v="Returned"/>
    <s v="Credit Card"/>
    <s v="12-2024"/>
    <x v="1"/>
    <x v="495"/>
    <s v="Profit"/>
    <s v="Mid (11-20%)"/>
  </r>
  <r>
    <s v="ODR00497"/>
    <d v="2025-01-05T00:00:00"/>
    <s v="Krishna Das"/>
    <x v="1"/>
    <s v="Jaipur"/>
    <s v="Office Supplies"/>
    <s v="Stapler"/>
    <s v="Stapler - Office Supplies"/>
    <x v="496"/>
    <n v="7"/>
    <n v="16"/>
    <n v="356.29"/>
    <s v="Delivered"/>
    <s v="Cash"/>
    <s v="01-2025"/>
    <x v="0"/>
    <x v="496"/>
    <s v="Profit"/>
    <s v="Mid (11-20%)"/>
  </r>
  <r>
    <s v="ODR00498"/>
    <d v="2024-08-27T00:00:00"/>
    <s v="Krishna Das"/>
    <x v="3"/>
    <s v="Ahmedabad"/>
    <s v="Technology"/>
    <s v="Laptop"/>
    <s v="Laptop - Technology"/>
    <x v="497"/>
    <n v="6"/>
    <n v="27"/>
    <n v="158.66"/>
    <s v="In Transit"/>
    <s v="Cash"/>
    <s v="08-2024"/>
    <x v="1"/>
    <x v="497"/>
    <s v="Profit"/>
    <s v="High (&gt;20%)"/>
  </r>
  <r>
    <s v="ODR00499"/>
    <d v="2025-03-04T00:00:00"/>
    <s v="Tanishq Ghosh"/>
    <x v="1"/>
    <s v="Chandigarh"/>
    <s v="Technology"/>
    <s v="Printer"/>
    <s v="Printer - Technology"/>
    <x v="498"/>
    <n v="3"/>
    <n v="26"/>
    <n v="653.80999999999995"/>
    <s v="In Transit"/>
    <s v="Credit Card"/>
    <s v="03-2025"/>
    <x v="0"/>
    <x v="498"/>
    <s v="Profit"/>
    <s v="High (&gt;20%)"/>
  </r>
  <r>
    <s v="ODR00500"/>
    <d v="2024-07-06T00:00:00"/>
    <s v="Meera Joshi"/>
    <x v="2"/>
    <s v="Bangalore"/>
    <s v="Technology"/>
    <s v="Mobile"/>
    <s v="Mobile - Technology"/>
    <x v="499"/>
    <n v="8"/>
    <n v="1"/>
    <n v="1102.28"/>
    <s v="Returned"/>
    <s v="Net Banking"/>
    <s v="07-2024"/>
    <x v="1"/>
    <x v="499"/>
    <s v="Profit"/>
    <s v="Low (1-10%)"/>
  </r>
  <r>
    <s v="ODR00501"/>
    <d v="2024-08-27T00:00:00"/>
    <s v="Diya Sharma"/>
    <x v="3"/>
    <s v="Ahmedabad"/>
    <s v="Furniture"/>
    <s v="Sofa"/>
    <s v="Sofa - Furniture"/>
    <x v="500"/>
    <n v="7"/>
    <n v="14"/>
    <n v="1300.79"/>
    <s v="Delivered"/>
    <s v="UPI"/>
    <s v="08-2024"/>
    <x v="1"/>
    <x v="500"/>
    <s v="Profit"/>
    <s v="Mid (11-20%)"/>
  </r>
  <r>
    <s v="ODR00502"/>
    <d v="2024-09-11T00:00:00"/>
    <s v="Ishaan Mehta"/>
    <x v="1"/>
    <s v="Lucknow"/>
    <s v="Technology"/>
    <s v="Tablet"/>
    <s v="Tablet - Technology"/>
    <x v="501"/>
    <n v="2"/>
    <n v="10"/>
    <n v="175.67"/>
    <s v="In Transit"/>
    <s v="Credit Card"/>
    <s v="09-2024"/>
    <x v="1"/>
    <x v="501"/>
    <s v="Profit"/>
    <s v="Low (1-10%)"/>
  </r>
  <r>
    <s v="ODR00503"/>
    <d v="2024-08-09T00:00:00"/>
    <s v="Kabir Nair"/>
    <x v="2"/>
    <s v="Bangalore"/>
    <s v="Technology"/>
    <s v="Mobile"/>
    <s v="Mobile - Technology"/>
    <x v="502"/>
    <n v="1"/>
    <n v="19"/>
    <n v="67.23"/>
    <s v="Returned"/>
    <s v="Net Banking"/>
    <s v="08-2024"/>
    <x v="1"/>
    <x v="502"/>
    <s v="Profit"/>
    <s v="Mid (11-20%)"/>
  </r>
  <r>
    <s v="ODR00504"/>
    <d v="2025-02-22T00:00:00"/>
    <s v="Vivaan Shah"/>
    <x v="0"/>
    <s v="Patna"/>
    <s v="Office Supplies"/>
    <s v="Envelope"/>
    <s v="Envelope - Office Supplies"/>
    <x v="503"/>
    <n v="3"/>
    <n v="29"/>
    <n v="74.08"/>
    <s v="In Transit"/>
    <s v="Net Banking"/>
    <s v="02-2025"/>
    <x v="0"/>
    <x v="503"/>
    <s v="Profit"/>
    <s v="High (&gt;20%)"/>
  </r>
  <r>
    <s v="ODR00505"/>
    <d v="2025-04-10T00:00:00"/>
    <s v="Saanvi Iyer"/>
    <x v="1"/>
    <s v="Chandigarh"/>
    <s v="Technology"/>
    <s v="Tablet"/>
    <s v="Tablet - Technology"/>
    <x v="504"/>
    <n v="10"/>
    <n v="13"/>
    <n v="497.23"/>
    <s v="Delivered"/>
    <s v="Credit Card"/>
    <s v="04-2025"/>
    <x v="0"/>
    <x v="504"/>
    <s v="Profit"/>
    <s v="Mid (11-20%)"/>
  </r>
  <r>
    <s v="ODR00506"/>
    <d v="2024-10-15T00:00:00"/>
    <s v="Aarav Patel"/>
    <x v="0"/>
    <s v="Bhubaneswar"/>
    <s v="Technology"/>
    <s v="Printer"/>
    <s v="Printer - Technology"/>
    <x v="505"/>
    <n v="8"/>
    <n v="7.0000000000000009"/>
    <n v="2340.39"/>
    <s v="Delivered"/>
    <s v="UPI"/>
    <s v="10-2024"/>
    <x v="1"/>
    <x v="505"/>
    <s v="Profit"/>
    <s v="Low (1-10%)"/>
  </r>
  <r>
    <s v="ODR00507"/>
    <d v="2024-08-10T00:00:00"/>
    <s v="Arjun Verma"/>
    <x v="1"/>
    <s v="Delhi"/>
    <s v="Office Supplies"/>
    <s v="Envelope"/>
    <s v="Envelope - Office Supplies"/>
    <x v="506"/>
    <n v="8"/>
    <n v="5"/>
    <n v="2116.16"/>
    <s v="Returned"/>
    <s v="UPI"/>
    <s v="08-2024"/>
    <x v="1"/>
    <x v="506"/>
    <s v="Profit"/>
    <s v="Low (1-10%)"/>
  </r>
  <r>
    <s v="ODR00508"/>
    <d v="2025-01-18T00:00:00"/>
    <s v="Ishaan Mehta"/>
    <x v="2"/>
    <s v="Hyderabad"/>
    <s v="Technology"/>
    <s v="Laptop"/>
    <s v="Laptop - Technology"/>
    <x v="507"/>
    <n v="8"/>
    <n v="0"/>
    <n v="1156.0999999999999"/>
    <s v="Delivered"/>
    <s v="UPI"/>
    <s v="01-2025"/>
    <x v="0"/>
    <x v="507"/>
    <s v="Profit"/>
    <s v="No Discount"/>
  </r>
  <r>
    <s v="ODR00509"/>
    <d v="2024-12-09T00:00:00"/>
    <s v="Yuvraj Chauhan"/>
    <x v="2"/>
    <s v="Hyderabad"/>
    <s v="Furniture"/>
    <s v="Table"/>
    <s v="Table - Furniture"/>
    <x v="508"/>
    <n v="1"/>
    <n v="28"/>
    <n v="10.89"/>
    <s v="Delivered"/>
    <s v="Cash"/>
    <s v="12-2024"/>
    <x v="1"/>
    <x v="508"/>
    <s v="Profit"/>
    <s v="High (&gt;20%)"/>
  </r>
  <r>
    <s v="ODR00510"/>
    <d v="2025-03-29T00:00:00"/>
    <s v="Kriti Desai"/>
    <x v="0"/>
    <s v="Kolkata"/>
    <s v="Furniture"/>
    <s v="Sofa"/>
    <s v="Sofa - Furniture"/>
    <x v="509"/>
    <n v="8"/>
    <n v="17"/>
    <n v="247.2"/>
    <s v="Returned"/>
    <s v="Credit Card"/>
    <s v="03-2025"/>
    <x v="0"/>
    <x v="509"/>
    <s v="Profit"/>
    <s v="Mid (11-20%)"/>
  </r>
  <r>
    <s v="ODR00511"/>
    <d v="2025-05-11T00:00:00"/>
    <s v="Riya Kapoor"/>
    <x v="1"/>
    <s v="Chandigarh"/>
    <s v="Technology"/>
    <s v="Printer"/>
    <s v="Printer - Technology"/>
    <x v="510"/>
    <n v="6"/>
    <n v="25"/>
    <n v="1104.0899999999999"/>
    <s v="Returned"/>
    <s v="Credit Card"/>
    <s v="05-2025"/>
    <x v="0"/>
    <x v="510"/>
    <s v="Profit"/>
    <s v="High (&gt;20%)"/>
  </r>
  <r>
    <s v="ODR00512"/>
    <d v="2025-02-12T00:00:00"/>
    <s v="Riya Kapoor"/>
    <x v="3"/>
    <s v="Pune"/>
    <s v="Office Supplies"/>
    <s v="Pen"/>
    <s v="Pen - Office Supplies"/>
    <x v="511"/>
    <n v="2"/>
    <n v="13"/>
    <n v="280.95999999999998"/>
    <s v="Delivered"/>
    <s v="Net Banking"/>
    <s v="02-2025"/>
    <x v="0"/>
    <x v="511"/>
    <s v="Profit"/>
    <s v="Mid (11-20%)"/>
  </r>
  <r>
    <s v="ODR00513"/>
    <d v="2025-03-22T00:00:00"/>
    <s v="Arjun Verma"/>
    <x v="2"/>
    <s v="Chennai"/>
    <s v="Technology"/>
    <s v="Laptop"/>
    <s v="Laptop - Technology"/>
    <x v="512"/>
    <n v="6"/>
    <n v="22"/>
    <n v="1395.31"/>
    <s v="In Transit"/>
    <s v="Credit Card"/>
    <s v="03-2025"/>
    <x v="0"/>
    <x v="512"/>
    <s v="Profit"/>
    <s v="High (&gt;20%)"/>
  </r>
  <r>
    <s v="ODR00514"/>
    <d v="2024-07-27T00:00:00"/>
    <s v="Aarav Patel"/>
    <x v="1"/>
    <s v="Jaipur"/>
    <s v="Office Supplies"/>
    <s v="Envelope"/>
    <s v="Envelope - Office Supplies"/>
    <x v="513"/>
    <n v="3"/>
    <n v="26"/>
    <n v="727.88"/>
    <s v="Delivered"/>
    <s v="UPI"/>
    <s v="07-2024"/>
    <x v="1"/>
    <x v="513"/>
    <s v="Profit"/>
    <s v="High (&gt;20%)"/>
  </r>
  <r>
    <s v="ODR00515"/>
    <d v="2024-07-14T00:00:00"/>
    <s v="Ishaan Mehta"/>
    <x v="2"/>
    <s v="Bangalore"/>
    <s v="Office Supplies"/>
    <s v="Stapler"/>
    <s v="Stapler - Office Supplies"/>
    <x v="514"/>
    <n v="4"/>
    <n v="4"/>
    <n v="734.25"/>
    <s v="Returned"/>
    <s v="Credit Card"/>
    <s v="07-2024"/>
    <x v="1"/>
    <x v="514"/>
    <s v="Profit"/>
    <s v="Low (1-10%)"/>
  </r>
  <r>
    <s v="ODR00516"/>
    <d v="2024-10-10T00:00:00"/>
    <s v="Saanvi Iyer"/>
    <x v="2"/>
    <s v="Hyderabad"/>
    <s v="Technology"/>
    <s v="Laptop"/>
    <s v="Laptop - Technology"/>
    <x v="515"/>
    <n v="7"/>
    <n v="26"/>
    <n v="1835.22"/>
    <s v="Returned"/>
    <s v="Credit Card"/>
    <s v="10-2024"/>
    <x v="1"/>
    <x v="515"/>
    <s v="Profit"/>
    <s v="High (&gt;20%)"/>
  </r>
  <r>
    <s v="ODR00517"/>
    <d v="2024-10-01T00:00:00"/>
    <s v="Kabir Nair"/>
    <x v="2"/>
    <s v="Chennai"/>
    <s v="Office Supplies"/>
    <s v="Stapler"/>
    <s v="Stapler - Office Supplies"/>
    <x v="516"/>
    <n v="9"/>
    <n v="14"/>
    <n v="1715"/>
    <s v="In Transit"/>
    <s v="Net Banking"/>
    <s v="10-2024"/>
    <x v="1"/>
    <x v="516"/>
    <s v="Profit"/>
    <s v="Mid (11-20%)"/>
  </r>
  <r>
    <s v="ODR00518"/>
    <d v="2024-08-13T00:00:00"/>
    <s v="Kriti Desai"/>
    <x v="2"/>
    <s v="Hyderabad"/>
    <s v="Technology"/>
    <s v="Mobile"/>
    <s v="Mobile - Technology"/>
    <x v="517"/>
    <n v="7"/>
    <n v="4"/>
    <n v="487.42"/>
    <s v="Returned"/>
    <s v="Credit Card"/>
    <s v="08-2024"/>
    <x v="1"/>
    <x v="517"/>
    <s v="Profit"/>
    <s v="Low (1-10%)"/>
  </r>
  <r>
    <s v="ODR00519"/>
    <d v="2025-04-26T00:00:00"/>
    <s v="Tanishq Ghosh"/>
    <x v="2"/>
    <s v="Bangalore"/>
    <s v="Technology"/>
    <s v="Printer"/>
    <s v="Printer - Technology"/>
    <x v="518"/>
    <n v="1"/>
    <n v="29"/>
    <n v="80.58"/>
    <s v="Delivered"/>
    <s v="Cash"/>
    <s v="04-2025"/>
    <x v="0"/>
    <x v="518"/>
    <s v="Profit"/>
    <s v="High (&gt;20%)"/>
  </r>
  <r>
    <s v="ODR00520"/>
    <d v="2024-05-20T00:00:00"/>
    <s v="Krishna Das"/>
    <x v="2"/>
    <s v="Chennai"/>
    <s v="Technology"/>
    <s v="Printer"/>
    <s v="Printer - Technology"/>
    <x v="519"/>
    <n v="1"/>
    <n v="7.0000000000000009"/>
    <n v="70.819999999999993"/>
    <s v="Delivered"/>
    <s v="Net Banking"/>
    <s v="05-2024"/>
    <x v="1"/>
    <x v="519"/>
    <s v="Profit"/>
    <s v="Low (1-10%)"/>
  </r>
  <r>
    <s v="ODR00521"/>
    <d v="2024-08-18T00:00:00"/>
    <s v="Aarav Patel"/>
    <x v="2"/>
    <s v="Chennai"/>
    <s v="Office Supplies"/>
    <s v="Stapler"/>
    <s v="Stapler - Office Supplies"/>
    <x v="520"/>
    <n v="8"/>
    <n v="7.0000000000000009"/>
    <n v="897.77"/>
    <s v="In Transit"/>
    <s v="Cash"/>
    <s v="08-2024"/>
    <x v="1"/>
    <x v="520"/>
    <s v="Profit"/>
    <s v="Low (1-10%)"/>
  </r>
  <r>
    <s v="ODR00522"/>
    <d v="2024-10-22T00:00:00"/>
    <s v="Diya Sharma"/>
    <x v="1"/>
    <s v="Chandigarh"/>
    <s v="Office Supplies"/>
    <s v="Stapler"/>
    <s v="Stapler - Office Supplies"/>
    <x v="521"/>
    <n v="2"/>
    <n v="16"/>
    <n v="200.98"/>
    <s v="In Transit"/>
    <s v="Credit Card"/>
    <s v="10-2024"/>
    <x v="1"/>
    <x v="521"/>
    <s v="Profit"/>
    <s v="Mid (11-20%)"/>
  </r>
  <r>
    <s v="ODR00523"/>
    <d v="2024-08-23T00:00:00"/>
    <s v="Kabir Nair"/>
    <x v="0"/>
    <s v="Bhubaneswar"/>
    <s v="Furniture"/>
    <s v="Table"/>
    <s v="Table - Furniture"/>
    <x v="522"/>
    <n v="1"/>
    <n v="23"/>
    <n v="137.33000000000001"/>
    <s v="In Transit"/>
    <s v="Net Banking"/>
    <s v="08-2024"/>
    <x v="1"/>
    <x v="522"/>
    <s v="Profit"/>
    <s v="High (&gt;20%)"/>
  </r>
  <r>
    <s v="ODR00524"/>
    <d v="2025-04-06T00:00:00"/>
    <s v="Saanvi Iyer"/>
    <x v="3"/>
    <s v="Nagpur"/>
    <s v="Furniture"/>
    <s v="Sofa"/>
    <s v="Sofa - Furniture"/>
    <x v="523"/>
    <n v="6"/>
    <n v="24"/>
    <n v="312.39999999999998"/>
    <s v="In Transit"/>
    <s v="Cash"/>
    <s v="04-2025"/>
    <x v="0"/>
    <x v="523"/>
    <s v="Profit"/>
    <s v="High (&gt;20%)"/>
  </r>
  <r>
    <s v="ODR00525"/>
    <d v="2024-06-29T00:00:00"/>
    <s v="Sneha Reddy"/>
    <x v="3"/>
    <s v="Nagpur"/>
    <s v="Technology"/>
    <s v="Mobile"/>
    <s v="Mobile - Technology"/>
    <x v="524"/>
    <n v="8"/>
    <n v="26"/>
    <n v="1489.44"/>
    <s v="Returned"/>
    <s v="Credit Card"/>
    <s v="06-2024"/>
    <x v="1"/>
    <x v="524"/>
    <s v="Profit"/>
    <s v="High (&gt;20%)"/>
  </r>
  <r>
    <s v="ODR00526"/>
    <d v="2024-06-17T00:00:00"/>
    <s v="Sneha Reddy"/>
    <x v="3"/>
    <s v="Pune"/>
    <s v="Furniture"/>
    <s v="Sofa"/>
    <s v="Sofa - Furniture"/>
    <x v="525"/>
    <n v="3"/>
    <n v="9"/>
    <n v="163.4"/>
    <s v="Delivered"/>
    <s v="Credit Card"/>
    <s v="06-2024"/>
    <x v="1"/>
    <x v="525"/>
    <s v="Profit"/>
    <s v="Low (1-10%)"/>
  </r>
  <r>
    <s v="ODR00527"/>
    <d v="2024-06-10T00:00:00"/>
    <s v="Krishna Das"/>
    <x v="0"/>
    <s v="Kolkata"/>
    <s v="Furniture"/>
    <s v="Table"/>
    <s v="Table - Furniture"/>
    <x v="526"/>
    <n v="3"/>
    <n v="14"/>
    <n v="238.19"/>
    <s v="Delivered"/>
    <s v="Credit Card"/>
    <s v="06-2024"/>
    <x v="1"/>
    <x v="526"/>
    <s v="Profit"/>
    <s v="Mid (11-20%)"/>
  </r>
  <r>
    <s v="ODR00528"/>
    <d v="2024-10-16T00:00:00"/>
    <s v="Ishaan Mehta"/>
    <x v="1"/>
    <s v="Lucknow"/>
    <s v="Technology"/>
    <s v="Tablet"/>
    <s v="Tablet - Technology"/>
    <x v="527"/>
    <n v="3"/>
    <n v="23"/>
    <n v="446.3"/>
    <s v="In Transit"/>
    <s v="Credit Card"/>
    <s v="10-2024"/>
    <x v="1"/>
    <x v="527"/>
    <s v="Profit"/>
    <s v="High (&gt;20%)"/>
  </r>
  <r>
    <s v="ODR00529"/>
    <d v="2024-05-25T00:00:00"/>
    <s v="Arjun Verma"/>
    <x v="3"/>
    <s v="Nagpur"/>
    <s v="Technology"/>
    <s v="Tablet"/>
    <s v="Tablet - Technology"/>
    <x v="528"/>
    <n v="4"/>
    <n v="26"/>
    <n v="102.37"/>
    <s v="Delivered"/>
    <s v="Credit Card"/>
    <s v="05-2024"/>
    <x v="1"/>
    <x v="528"/>
    <s v="Profit"/>
    <s v="High (&gt;20%)"/>
  </r>
  <r>
    <s v="ODR00530"/>
    <d v="2024-09-08T00:00:00"/>
    <s v="Kriti Desai"/>
    <x v="0"/>
    <s v="Patna"/>
    <s v="Office Supplies"/>
    <s v="Pen"/>
    <s v="Pen - Office Supplies"/>
    <x v="529"/>
    <n v="3"/>
    <n v="25"/>
    <n v="115.07"/>
    <s v="Delivered"/>
    <s v="Credit Card"/>
    <s v="09-2024"/>
    <x v="1"/>
    <x v="529"/>
    <s v="Profit"/>
    <s v="High (&gt;20%)"/>
  </r>
  <r>
    <s v="ODR00531"/>
    <d v="2024-11-12T00:00:00"/>
    <s v="Krishna Das"/>
    <x v="1"/>
    <s v="Delhi"/>
    <s v="Furniture"/>
    <s v="Sofa"/>
    <s v="Sofa - Furniture"/>
    <x v="530"/>
    <n v="6"/>
    <n v="22"/>
    <n v="942.97"/>
    <s v="Returned"/>
    <s v="Cash"/>
    <s v="11-2024"/>
    <x v="1"/>
    <x v="530"/>
    <s v="Profit"/>
    <s v="High (&gt;20%)"/>
  </r>
  <r>
    <s v="ODR00532"/>
    <d v="2025-04-14T00:00:00"/>
    <s v="Ishaan Mehta"/>
    <x v="0"/>
    <s v="Kolkata"/>
    <s v="Furniture"/>
    <s v="Chair"/>
    <s v="Chair - Furniture"/>
    <x v="531"/>
    <n v="9"/>
    <n v="7.0000000000000009"/>
    <n v="1321.87"/>
    <s v="Returned"/>
    <s v="UPI"/>
    <s v="04-2025"/>
    <x v="0"/>
    <x v="531"/>
    <s v="Profit"/>
    <s v="Low (1-10%)"/>
  </r>
  <r>
    <s v="ODR00533"/>
    <d v="2025-04-08T00:00:00"/>
    <s v="Kabir Nair"/>
    <x v="3"/>
    <s v="Ahmedabad"/>
    <s v="Office Supplies"/>
    <s v="Notebook"/>
    <s v="Notebook - Office Supplies"/>
    <x v="532"/>
    <n v="8"/>
    <n v="9"/>
    <n v="1002.14"/>
    <s v="In Transit"/>
    <s v="Cash"/>
    <s v="04-2025"/>
    <x v="0"/>
    <x v="532"/>
    <s v="Profit"/>
    <s v="Low (1-10%)"/>
  </r>
  <r>
    <s v="ODR00534"/>
    <d v="2024-12-24T00:00:00"/>
    <s v="Saanvi Iyer"/>
    <x v="0"/>
    <s v="Patna"/>
    <s v="Office Supplies"/>
    <s v="Stapler"/>
    <s v="Stapler - Office Supplies"/>
    <x v="533"/>
    <n v="9"/>
    <n v="8"/>
    <n v="1770.95"/>
    <s v="In Transit"/>
    <s v="Net Banking"/>
    <s v="12-2024"/>
    <x v="1"/>
    <x v="533"/>
    <s v="Profit"/>
    <s v="Low (1-10%)"/>
  </r>
  <r>
    <s v="ODR00535"/>
    <d v="2024-12-08T00:00:00"/>
    <s v="Saanvi Iyer"/>
    <x v="0"/>
    <s v="Patna"/>
    <s v="Office Supplies"/>
    <s v="Stapler"/>
    <s v="Stapler - Office Supplies"/>
    <x v="534"/>
    <n v="7"/>
    <n v="23"/>
    <n v="68.91"/>
    <s v="Returned"/>
    <s v="Net Banking"/>
    <s v="12-2024"/>
    <x v="1"/>
    <x v="534"/>
    <s v="Profit"/>
    <s v="High (&gt;20%)"/>
  </r>
  <r>
    <s v="ODR00536"/>
    <d v="2024-11-09T00:00:00"/>
    <s v="Diya Sharma"/>
    <x v="2"/>
    <s v="Chennai"/>
    <s v="Technology"/>
    <s v="Printer"/>
    <s v="Printer - Technology"/>
    <x v="535"/>
    <n v="7"/>
    <n v="12"/>
    <n v="222.25"/>
    <s v="Delivered"/>
    <s v="Credit Card"/>
    <s v="11-2024"/>
    <x v="1"/>
    <x v="535"/>
    <s v="Profit"/>
    <s v="Mid (11-20%)"/>
  </r>
  <r>
    <s v="ODR00537"/>
    <d v="2024-12-24T00:00:00"/>
    <s v="Saanvi Iyer"/>
    <x v="3"/>
    <s v="Ahmedabad"/>
    <s v="Furniture"/>
    <s v="Cupboard"/>
    <s v="Cupboard - Furniture"/>
    <x v="536"/>
    <n v="6"/>
    <n v="24"/>
    <n v="136.03"/>
    <s v="Returned"/>
    <s v="Net Banking"/>
    <s v="12-2024"/>
    <x v="1"/>
    <x v="536"/>
    <s v="Profit"/>
    <s v="High (&gt;20%)"/>
  </r>
  <r>
    <s v="ODR00538"/>
    <d v="2025-03-01T00:00:00"/>
    <s v="Diya Sharma"/>
    <x v="3"/>
    <s v="Indore"/>
    <s v="Technology"/>
    <s v="Mobile"/>
    <s v="Mobile - Technology"/>
    <x v="537"/>
    <n v="4"/>
    <n v="9"/>
    <n v="723.5"/>
    <s v="Delivered"/>
    <s v="UPI"/>
    <s v="03-2025"/>
    <x v="0"/>
    <x v="537"/>
    <s v="Profit"/>
    <s v="Low (1-10%)"/>
  </r>
  <r>
    <s v="ODR00539"/>
    <d v="2024-10-08T00:00:00"/>
    <s v="Tanishq Ghosh"/>
    <x v="1"/>
    <s v="Chandigarh"/>
    <s v="Technology"/>
    <s v="Mobile"/>
    <s v="Mobile - Technology"/>
    <x v="538"/>
    <n v="8"/>
    <n v="8"/>
    <n v="2302.37"/>
    <s v="Returned"/>
    <s v="Cash"/>
    <s v="10-2024"/>
    <x v="1"/>
    <x v="538"/>
    <s v="Profit"/>
    <s v="Low (1-10%)"/>
  </r>
  <r>
    <s v="ODR00540"/>
    <d v="2025-04-13T00:00:00"/>
    <s v="Meera Joshi"/>
    <x v="1"/>
    <s v="Jaipur"/>
    <s v="Furniture"/>
    <s v="Chair"/>
    <s v="Chair - Furniture"/>
    <x v="539"/>
    <n v="8"/>
    <n v="7.0000000000000009"/>
    <n v="1564.3"/>
    <s v="Delivered"/>
    <s v="Cash"/>
    <s v="04-2025"/>
    <x v="0"/>
    <x v="539"/>
    <s v="Profit"/>
    <s v="Low (1-10%)"/>
  </r>
  <r>
    <s v="ODR00541"/>
    <d v="2025-01-10T00:00:00"/>
    <s v="Saanvi Iyer"/>
    <x v="1"/>
    <s v="Jaipur"/>
    <s v="Office Supplies"/>
    <s v="Pen"/>
    <s v="Pen - Office Supplies"/>
    <x v="540"/>
    <n v="2"/>
    <n v="26"/>
    <n v="357.4"/>
    <s v="Returned"/>
    <s v="Net Banking"/>
    <s v="01-2025"/>
    <x v="0"/>
    <x v="540"/>
    <s v="Profit"/>
    <s v="High (&gt;20%)"/>
  </r>
  <r>
    <s v="ODR00542"/>
    <d v="2024-11-23T00:00:00"/>
    <s v="Vivaan Shah"/>
    <x v="2"/>
    <s v="Bangalore"/>
    <s v="Furniture"/>
    <s v="Sofa"/>
    <s v="Sofa - Furniture"/>
    <x v="541"/>
    <n v="7"/>
    <n v="28"/>
    <n v="488.69"/>
    <s v="Delivered"/>
    <s v="Cash"/>
    <s v="11-2024"/>
    <x v="1"/>
    <x v="541"/>
    <s v="Profit"/>
    <s v="High (&gt;20%)"/>
  </r>
  <r>
    <s v="ODR00543"/>
    <d v="2025-01-09T00:00:00"/>
    <s v="Vivaan Shah"/>
    <x v="3"/>
    <s v="Nagpur"/>
    <s v="Technology"/>
    <s v="Tablet"/>
    <s v="Tablet - Technology"/>
    <x v="542"/>
    <n v="3"/>
    <n v="3"/>
    <n v="120.58"/>
    <s v="Delivered"/>
    <s v="Credit Card"/>
    <s v="01-2025"/>
    <x v="0"/>
    <x v="542"/>
    <s v="Profit"/>
    <s v="Low (1-10%)"/>
  </r>
  <r>
    <s v="ODR00544"/>
    <d v="2024-08-03T00:00:00"/>
    <s v="Anaya Singh"/>
    <x v="3"/>
    <s v="Ahmedabad"/>
    <s v="Technology"/>
    <s v="Laptop"/>
    <s v="Laptop - Technology"/>
    <x v="543"/>
    <n v="1"/>
    <n v="25"/>
    <n v="95.36"/>
    <s v="In Transit"/>
    <s v="Credit Card"/>
    <s v="08-2024"/>
    <x v="1"/>
    <x v="543"/>
    <s v="Profit"/>
    <s v="High (&gt;20%)"/>
  </r>
  <r>
    <s v="ODR00545"/>
    <d v="2024-06-07T00:00:00"/>
    <s v="Kabir Nair"/>
    <x v="2"/>
    <s v="Chennai"/>
    <s v="Technology"/>
    <s v="Printer"/>
    <s v="Printer - Technology"/>
    <x v="544"/>
    <n v="7"/>
    <n v="29"/>
    <n v="1189.1099999999999"/>
    <s v="In Transit"/>
    <s v="Net Banking"/>
    <s v="06-2024"/>
    <x v="1"/>
    <x v="544"/>
    <s v="Profit"/>
    <s v="High (&gt;20%)"/>
  </r>
  <r>
    <s v="ODR00546"/>
    <d v="2025-04-23T00:00:00"/>
    <s v="Vivaan Shah"/>
    <x v="1"/>
    <s v="Lucknow"/>
    <s v="Furniture"/>
    <s v="Cupboard"/>
    <s v="Cupboard - Furniture"/>
    <x v="545"/>
    <n v="2"/>
    <n v="11"/>
    <n v="173.87"/>
    <s v="Delivered"/>
    <s v="Net Banking"/>
    <s v="04-2025"/>
    <x v="0"/>
    <x v="545"/>
    <s v="Profit"/>
    <s v="Mid (11-20%)"/>
  </r>
  <r>
    <s v="ODR00547"/>
    <d v="2024-09-15T00:00:00"/>
    <s v="Kriti Desai"/>
    <x v="3"/>
    <s v="Nagpur"/>
    <s v="Furniture"/>
    <s v="Chair"/>
    <s v="Chair - Furniture"/>
    <x v="546"/>
    <n v="9"/>
    <n v="1"/>
    <n v="1653.34"/>
    <s v="Delivered"/>
    <s v="Net Banking"/>
    <s v="09-2024"/>
    <x v="1"/>
    <x v="546"/>
    <s v="Profit"/>
    <s v="Low (1-10%)"/>
  </r>
  <r>
    <s v="ODR00548"/>
    <d v="2025-02-26T00:00:00"/>
    <s v="Krishna Das"/>
    <x v="3"/>
    <s v="Ahmedabad"/>
    <s v="Technology"/>
    <s v="Mobile"/>
    <s v="Mobile - Technology"/>
    <x v="547"/>
    <n v="6"/>
    <n v="4"/>
    <n v="1403.77"/>
    <s v="In Transit"/>
    <s v="Cash"/>
    <s v="02-2025"/>
    <x v="0"/>
    <x v="547"/>
    <s v="Profit"/>
    <s v="Low (1-10%)"/>
  </r>
  <r>
    <s v="ODR00549"/>
    <d v="2025-03-05T00:00:00"/>
    <s v="Saanvi Iyer"/>
    <x v="2"/>
    <s v="Chennai"/>
    <s v="Furniture"/>
    <s v="Chair"/>
    <s v="Chair - Furniture"/>
    <x v="548"/>
    <n v="2"/>
    <n v="24"/>
    <n v="180.54"/>
    <s v="Returned"/>
    <s v="Credit Card"/>
    <s v="03-2025"/>
    <x v="0"/>
    <x v="548"/>
    <s v="Profit"/>
    <s v="High (&gt;20%)"/>
  </r>
  <r>
    <s v="ODR00550"/>
    <d v="2025-02-25T00:00:00"/>
    <s v="Ishaan Mehta"/>
    <x v="1"/>
    <s v="Jaipur"/>
    <s v="Technology"/>
    <s v="Printer"/>
    <s v="Printer - Technology"/>
    <x v="549"/>
    <n v="5"/>
    <n v="29"/>
    <n v="99.58"/>
    <s v="In Transit"/>
    <s v="UPI"/>
    <s v="02-2025"/>
    <x v="0"/>
    <x v="549"/>
    <s v="Profit"/>
    <s v="High (&gt;20%)"/>
  </r>
  <r>
    <s v="ODR00551"/>
    <d v="2024-06-10T00:00:00"/>
    <s v="Meera Joshi"/>
    <x v="3"/>
    <s v="Ahmedabad"/>
    <s v="Office Supplies"/>
    <s v="Notebook"/>
    <s v="Notebook - Office Supplies"/>
    <x v="550"/>
    <n v="10"/>
    <n v="5"/>
    <n v="1893.67"/>
    <s v="Returned"/>
    <s v="Net Banking"/>
    <s v="06-2024"/>
    <x v="1"/>
    <x v="550"/>
    <s v="Profit"/>
    <s v="Low (1-10%)"/>
  </r>
  <r>
    <s v="ODR00552"/>
    <d v="2024-07-18T00:00:00"/>
    <s v="Vivaan Shah"/>
    <x v="1"/>
    <s v="Chandigarh"/>
    <s v="Office Supplies"/>
    <s v="Stapler"/>
    <s v="Stapler - Office Supplies"/>
    <x v="551"/>
    <n v="4"/>
    <n v="17"/>
    <n v="471.29"/>
    <s v="Delivered"/>
    <s v="Net Banking"/>
    <s v="07-2024"/>
    <x v="1"/>
    <x v="551"/>
    <s v="Profit"/>
    <s v="Mid (11-20%)"/>
  </r>
  <r>
    <s v="ODR00553"/>
    <d v="2024-06-18T00:00:00"/>
    <s v="Kabir Nair"/>
    <x v="1"/>
    <s v="Delhi"/>
    <s v="Furniture"/>
    <s v="Cupboard"/>
    <s v="Cupboard - Furniture"/>
    <x v="552"/>
    <n v="5"/>
    <n v="27"/>
    <n v="677.94"/>
    <s v="Delivered"/>
    <s v="Credit Card"/>
    <s v="06-2024"/>
    <x v="1"/>
    <x v="552"/>
    <s v="Profit"/>
    <s v="High (&gt;20%)"/>
  </r>
  <r>
    <s v="ODR00554"/>
    <d v="2024-07-17T00:00:00"/>
    <s v="Aarav Patel"/>
    <x v="1"/>
    <s v="Chandigarh"/>
    <s v="Technology"/>
    <s v="Mobile"/>
    <s v="Mobile - Technology"/>
    <x v="553"/>
    <n v="7"/>
    <n v="25"/>
    <n v="140.07"/>
    <s v="In Transit"/>
    <s v="Cash"/>
    <s v="07-2024"/>
    <x v="1"/>
    <x v="553"/>
    <s v="Profit"/>
    <s v="High (&gt;20%)"/>
  </r>
  <r>
    <s v="ODR00555"/>
    <d v="2024-11-19T00:00:00"/>
    <s v="Arjun Verma"/>
    <x v="1"/>
    <s v="Lucknow"/>
    <s v="Office Supplies"/>
    <s v="Stapler"/>
    <s v="Stapler - Office Supplies"/>
    <x v="554"/>
    <n v="9"/>
    <n v="1"/>
    <n v="1666.06"/>
    <s v="In Transit"/>
    <s v="Cash"/>
    <s v="11-2024"/>
    <x v="1"/>
    <x v="554"/>
    <s v="Profit"/>
    <s v="Low (1-10%)"/>
  </r>
  <r>
    <s v="ODR00556"/>
    <d v="2025-03-03T00:00:00"/>
    <s v="Ishaan Mehta"/>
    <x v="0"/>
    <s v="Bhubaneswar"/>
    <s v="Office Supplies"/>
    <s v="Envelope"/>
    <s v="Envelope - Office Supplies"/>
    <x v="555"/>
    <n v="1"/>
    <n v="18"/>
    <n v="52.32"/>
    <s v="In Transit"/>
    <s v="Credit Card"/>
    <s v="03-2025"/>
    <x v="0"/>
    <x v="555"/>
    <s v="Profit"/>
    <s v="Mid (11-20%)"/>
  </r>
  <r>
    <s v="ODR00557"/>
    <d v="2024-05-18T00:00:00"/>
    <s v="Saanvi Iyer"/>
    <x v="3"/>
    <s v="Mumbai"/>
    <s v="Office Supplies"/>
    <s v="Notebook"/>
    <s v="Notebook - Office Supplies"/>
    <x v="556"/>
    <n v="2"/>
    <n v="9"/>
    <n v="51.62"/>
    <s v="Delivered"/>
    <s v="UPI"/>
    <s v="05-2024"/>
    <x v="1"/>
    <x v="556"/>
    <s v="Profit"/>
    <s v="Low (1-10%)"/>
  </r>
  <r>
    <s v="ODR00558"/>
    <d v="2025-03-19T00:00:00"/>
    <s v="Arjun Verma"/>
    <x v="0"/>
    <s v="Kolkata"/>
    <s v="Office Supplies"/>
    <s v="Pen"/>
    <s v="Pen - Office Supplies"/>
    <x v="557"/>
    <n v="3"/>
    <n v="4"/>
    <n v="214.72"/>
    <s v="Returned"/>
    <s v="Net Banking"/>
    <s v="03-2025"/>
    <x v="0"/>
    <x v="557"/>
    <s v="Profit"/>
    <s v="Low (1-10%)"/>
  </r>
  <r>
    <s v="ODR00559"/>
    <d v="2024-08-01T00:00:00"/>
    <s v="Ishaan Mehta"/>
    <x v="3"/>
    <s v="Nagpur"/>
    <s v="Technology"/>
    <s v="Laptop"/>
    <s v="Laptop - Technology"/>
    <x v="558"/>
    <n v="4"/>
    <n v="7.0000000000000009"/>
    <n v="314.35000000000002"/>
    <s v="Delivered"/>
    <s v="Net Banking"/>
    <s v="08-2024"/>
    <x v="1"/>
    <x v="558"/>
    <s v="Profit"/>
    <s v="Low (1-10%)"/>
  </r>
  <r>
    <s v="ODR00560"/>
    <d v="2024-06-07T00:00:00"/>
    <s v="Meera Joshi"/>
    <x v="3"/>
    <s v="Ahmedabad"/>
    <s v="Furniture"/>
    <s v="Cupboard"/>
    <s v="Cupboard - Furniture"/>
    <x v="559"/>
    <n v="5"/>
    <n v="25"/>
    <n v="667.72"/>
    <s v="In Transit"/>
    <s v="Credit Card"/>
    <s v="06-2024"/>
    <x v="1"/>
    <x v="559"/>
    <s v="Profit"/>
    <s v="High (&gt;20%)"/>
  </r>
  <r>
    <s v="ODR00561"/>
    <d v="2024-08-13T00:00:00"/>
    <s v="Ishaan Mehta"/>
    <x v="1"/>
    <s v="Delhi"/>
    <s v="Furniture"/>
    <s v="Cupboard"/>
    <s v="Cupboard - Furniture"/>
    <x v="560"/>
    <n v="5"/>
    <n v="19"/>
    <n v="1058.4000000000001"/>
    <s v="Delivered"/>
    <s v="Net Banking"/>
    <s v="08-2024"/>
    <x v="1"/>
    <x v="560"/>
    <s v="Profit"/>
    <s v="Mid (11-20%)"/>
  </r>
  <r>
    <s v="ODR00562"/>
    <d v="2024-11-08T00:00:00"/>
    <s v="Riya Kapoor"/>
    <x v="0"/>
    <s v="Bhubaneswar"/>
    <s v="Furniture"/>
    <s v="Sofa"/>
    <s v="Sofa - Furniture"/>
    <x v="561"/>
    <n v="4"/>
    <n v="28"/>
    <n v="241.99"/>
    <s v="Delivered"/>
    <s v="Credit Card"/>
    <s v="11-2024"/>
    <x v="1"/>
    <x v="561"/>
    <s v="Profit"/>
    <s v="High (&gt;20%)"/>
  </r>
  <r>
    <s v="ODR00563"/>
    <d v="2024-10-02T00:00:00"/>
    <s v="Meera Joshi"/>
    <x v="3"/>
    <s v="Mumbai"/>
    <s v="Furniture"/>
    <s v="Chair"/>
    <s v="Chair - Furniture"/>
    <x v="562"/>
    <n v="6"/>
    <n v="7.0000000000000009"/>
    <n v="734.68"/>
    <s v="In Transit"/>
    <s v="Credit Card"/>
    <s v="10-2024"/>
    <x v="1"/>
    <x v="562"/>
    <s v="Profit"/>
    <s v="Low (1-10%)"/>
  </r>
  <r>
    <s v="ODR00564"/>
    <d v="2025-02-28T00:00:00"/>
    <s v="Aarav Patel"/>
    <x v="2"/>
    <s v="Chennai"/>
    <s v="Furniture"/>
    <s v="Sofa"/>
    <s v="Sofa - Furniture"/>
    <x v="563"/>
    <n v="6"/>
    <n v="5"/>
    <n v="316.77999999999997"/>
    <s v="Delivered"/>
    <s v="UPI"/>
    <s v="02-2025"/>
    <x v="0"/>
    <x v="563"/>
    <s v="Profit"/>
    <s v="Low (1-10%)"/>
  </r>
  <r>
    <s v="ODR00565"/>
    <d v="2024-09-20T00:00:00"/>
    <s v="Saanvi Iyer"/>
    <x v="3"/>
    <s v="Ahmedabad"/>
    <s v="Technology"/>
    <s v="Laptop"/>
    <s v="Laptop - Technology"/>
    <x v="564"/>
    <n v="9"/>
    <n v="5"/>
    <n v="836.66"/>
    <s v="In Transit"/>
    <s v="Credit Card"/>
    <s v="09-2024"/>
    <x v="1"/>
    <x v="564"/>
    <s v="Profit"/>
    <s v="Low (1-10%)"/>
  </r>
  <r>
    <s v="ODR00566"/>
    <d v="2024-06-19T00:00:00"/>
    <s v="Meera Joshi"/>
    <x v="2"/>
    <s v="Bangalore"/>
    <s v="Technology"/>
    <s v="Mobile"/>
    <s v="Mobile - Technology"/>
    <x v="565"/>
    <n v="1"/>
    <n v="15"/>
    <n v="66.989999999999995"/>
    <s v="Delivered"/>
    <s v="Credit Card"/>
    <s v="06-2024"/>
    <x v="1"/>
    <x v="565"/>
    <s v="Profit"/>
    <s v="Mid (11-20%)"/>
  </r>
  <r>
    <s v="ODR00567"/>
    <d v="2024-07-04T00:00:00"/>
    <s v="Kriti Desai"/>
    <x v="3"/>
    <s v="Nagpur"/>
    <s v="Furniture"/>
    <s v="Chair"/>
    <s v="Chair - Furniture"/>
    <x v="566"/>
    <n v="6"/>
    <n v="24"/>
    <n v="376.02"/>
    <s v="Returned"/>
    <s v="UPI"/>
    <s v="07-2024"/>
    <x v="1"/>
    <x v="566"/>
    <s v="Profit"/>
    <s v="High (&gt;20%)"/>
  </r>
  <r>
    <s v="ODR00568"/>
    <d v="2024-08-01T00:00:00"/>
    <s v="Yuvraj Chauhan"/>
    <x v="0"/>
    <s v="Bhubaneswar"/>
    <s v="Office Supplies"/>
    <s v="Stapler"/>
    <s v="Stapler - Office Supplies"/>
    <x v="567"/>
    <n v="6"/>
    <n v="21"/>
    <n v="752.44"/>
    <s v="Delivered"/>
    <s v="Credit Card"/>
    <s v="08-2024"/>
    <x v="1"/>
    <x v="567"/>
    <s v="Profit"/>
    <s v="High (&gt;20%)"/>
  </r>
  <r>
    <s v="ODR00569"/>
    <d v="2025-03-16T00:00:00"/>
    <s v="Saanvi Iyer"/>
    <x v="2"/>
    <s v="Bangalore"/>
    <s v="Furniture"/>
    <s v="Table"/>
    <s v="Table - Furniture"/>
    <x v="568"/>
    <n v="7"/>
    <n v="3"/>
    <n v="1242.29"/>
    <s v="In Transit"/>
    <s v="Credit Card"/>
    <s v="03-2025"/>
    <x v="0"/>
    <x v="568"/>
    <s v="Profit"/>
    <s v="Low (1-10%)"/>
  </r>
  <r>
    <s v="ODR00570"/>
    <d v="2024-08-09T00:00:00"/>
    <s v="Aarav Patel"/>
    <x v="0"/>
    <s v="Patna"/>
    <s v="Office Supplies"/>
    <s v="Notebook"/>
    <s v="Notebook - Office Supplies"/>
    <x v="569"/>
    <n v="7"/>
    <n v="30"/>
    <n v="1221.26"/>
    <s v="In Transit"/>
    <s v="UPI"/>
    <s v="08-2024"/>
    <x v="1"/>
    <x v="569"/>
    <s v="Profit"/>
    <s v="High (&gt;20%)"/>
  </r>
  <r>
    <s v="ODR00571"/>
    <d v="2025-03-14T00:00:00"/>
    <s v="Sneha Reddy"/>
    <x v="3"/>
    <s v="Nagpur"/>
    <s v="Technology"/>
    <s v="Tablet"/>
    <s v="Tablet - Technology"/>
    <x v="570"/>
    <n v="7"/>
    <n v="9"/>
    <n v="823.5"/>
    <s v="Delivered"/>
    <s v="Net Banking"/>
    <s v="03-2025"/>
    <x v="0"/>
    <x v="570"/>
    <s v="Profit"/>
    <s v="Low (1-10%)"/>
  </r>
  <r>
    <s v="ODR00572"/>
    <d v="2024-09-20T00:00:00"/>
    <s v="Kriti Desai"/>
    <x v="0"/>
    <s v="Kolkata"/>
    <s v="Office Supplies"/>
    <s v="Notebook"/>
    <s v="Notebook - Office Supplies"/>
    <x v="571"/>
    <n v="8"/>
    <n v="27"/>
    <n v="757.19"/>
    <s v="Returned"/>
    <s v="Net Banking"/>
    <s v="09-2024"/>
    <x v="1"/>
    <x v="571"/>
    <s v="Profit"/>
    <s v="High (&gt;20%)"/>
  </r>
  <r>
    <s v="ODR00573"/>
    <d v="2024-08-10T00:00:00"/>
    <s v="Aarav Patel"/>
    <x v="1"/>
    <s v="Jaipur"/>
    <s v="Office Supplies"/>
    <s v="Envelope"/>
    <s v="Envelope - Office Supplies"/>
    <x v="572"/>
    <n v="1"/>
    <n v="21"/>
    <n v="76.34"/>
    <s v="Returned"/>
    <s v="Credit Card"/>
    <s v="08-2024"/>
    <x v="1"/>
    <x v="572"/>
    <s v="Profit"/>
    <s v="High (&gt;20%)"/>
  </r>
  <r>
    <s v="ODR00574"/>
    <d v="2024-09-29T00:00:00"/>
    <s v="Kriti Desai"/>
    <x v="0"/>
    <s v="Patna"/>
    <s v="Furniture"/>
    <s v="Cupboard"/>
    <s v="Cupboard - Furniture"/>
    <x v="573"/>
    <n v="2"/>
    <n v="17"/>
    <n v="338.33"/>
    <s v="In Transit"/>
    <s v="Credit Card"/>
    <s v="09-2024"/>
    <x v="1"/>
    <x v="573"/>
    <s v="Profit"/>
    <s v="Mid (11-20%)"/>
  </r>
  <r>
    <s v="ODR00575"/>
    <d v="2025-02-18T00:00:00"/>
    <s v="Ishaan Mehta"/>
    <x v="0"/>
    <s v="Patna"/>
    <s v="Office Supplies"/>
    <s v="Pen"/>
    <s v="Pen - Office Supplies"/>
    <x v="574"/>
    <n v="6"/>
    <n v="11"/>
    <n v="1144.23"/>
    <s v="In Transit"/>
    <s v="Credit Card"/>
    <s v="02-2025"/>
    <x v="0"/>
    <x v="574"/>
    <s v="Profit"/>
    <s v="Mid (11-20%)"/>
  </r>
  <r>
    <s v="ODR00576"/>
    <d v="2024-08-19T00:00:00"/>
    <s v="Kriti Desai"/>
    <x v="0"/>
    <s v="Bhubaneswar"/>
    <s v="Office Supplies"/>
    <s v="Stapler"/>
    <s v="Stapler - Office Supplies"/>
    <x v="575"/>
    <n v="4"/>
    <n v="21"/>
    <n v="516.66999999999996"/>
    <s v="Returned"/>
    <s v="Credit Card"/>
    <s v="08-2024"/>
    <x v="1"/>
    <x v="575"/>
    <s v="Profit"/>
    <s v="High (&gt;20%)"/>
  </r>
  <r>
    <s v="ODR00577"/>
    <d v="2025-03-03T00:00:00"/>
    <s v="Krishna Das"/>
    <x v="3"/>
    <s v="Nagpur"/>
    <s v="Technology"/>
    <s v="Laptop"/>
    <s v="Laptop - Technology"/>
    <x v="576"/>
    <n v="1"/>
    <n v="15"/>
    <n v="38.93"/>
    <s v="Delivered"/>
    <s v="Cash"/>
    <s v="03-2025"/>
    <x v="0"/>
    <x v="576"/>
    <s v="Profit"/>
    <s v="Mid (11-20%)"/>
  </r>
  <r>
    <s v="ODR00578"/>
    <d v="2025-04-20T00:00:00"/>
    <s v="Arjun Verma"/>
    <x v="3"/>
    <s v="Pune"/>
    <s v="Office Supplies"/>
    <s v="Pen"/>
    <s v="Pen - Office Supplies"/>
    <x v="577"/>
    <n v="1"/>
    <n v="17"/>
    <n v="193.82"/>
    <s v="In Transit"/>
    <s v="Credit Card"/>
    <s v="04-2025"/>
    <x v="0"/>
    <x v="577"/>
    <s v="Profit"/>
    <s v="Mid (11-20%)"/>
  </r>
  <r>
    <s v="ODR00579"/>
    <d v="2024-09-08T00:00:00"/>
    <s v="Kabir Nair"/>
    <x v="2"/>
    <s v="Hyderabad"/>
    <s v="Office Supplies"/>
    <s v="Notebook"/>
    <s v="Notebook - Office Supplies"/>
    <x v="578"/>
    <n v="9"/>
    <n v="4"/>
    <n v="438.58"/>
    <s v="Returned"/>
    <s v="UPI"/>
    <s v="09-2024"/>
    <x v="1"/>
    <x v="578"/>
    <s v="Profit"/>
    <s v="Low (1-10%)"/>
  </r>
  <r>
    <s v="ODR00580"/>
    <d v="2025-02-02T00:00:00"/>
    <s v="Arjun Verma"/>
    <x v="3"/>
    <s v="Ahmedabad"/>
    <s v="Technology"/>
    <s v="Mobile"/>
    <s v="Mobile - Technology"/>
    <x v="579"/>
    <n v="3"/>
    <n v="5"/>
    <n v="404.52"/>
    <s v="Returned"/>
    <s v="UPI"/>
    <s v="02-2025"/>
    <x v="0"/>
    <x v="579"/>
    <s v="Profit"/>
    <s v="Low (1-10%)"/>
  </r>
  <r>
    <s v="ODR00581"/>
    <d v="2025-04-01T00:00:00"/>
    <s v="Anaya Singh"/>
    <x v="2"/>
    <s v="Chennai"/>
    <s v="Furniture"/>
    <s v="Table"/>
    <s v="Table - Furniture"/>
    <x v="580"/>
    <n v="6"/>
    <n v="18"/>
    <n v="1205.33"/>
    <s v="Returned"/>
    <s v="Cash"/>
    <s v="04-2025"/>
    <x v="0"/>
    <x v="580"/>
    <s v="Profit"/>
    <s v="Mid (11-20%)"/>
  </r>
  <r>
    <s v="ODR00582"/>
    <d v="2024-05-29T00:00:00"/>
    <s v="Riya Kapoor"/>
    <x v="2"/>
    <s v="Bangalore"/>
    <s v="Furniture"/>
    <s v="Chair"/>
    <s v="Chair - Furniture"/>
    <x v="581"/>
    <n v="7"/>
    <n v="28"/>
    <n v="384.75"/>
    <s v="In Transit"/>
    <s v="Credit Card"/>
    <s v="05-2024"/>
    <x v="1"/>
    <x v="581"/>
    <s v="Profit"/>
    <s v="High (&gt;20%)"/>
  </r>
  <r>
    <s v="ODR00583"/>
    <d v="2025-05-02T00:00:00"/>
    <s v="Vivaan Shah"/>
    <x v="1"/>
    <s v="Delhi"/>
    <s v="Furniture"/>
    <s v="Sofa"/>
    <s v="Sofa - Furniture"/>
    <x v="582"/>
    <n v="3"/>
    <n v="18"/>
    <n v="232.18"/>
    <s v="Returned"/>
    <s v="Net Banking"/>
    <s v="05-2025"/>
    <x v="0"/>
    <x v="582"/>
    <s v="Profit"/>
    <s v="Mid (11-20%)"/>
  </r>
  <r>
    <s v="ODR00584"/>
    <d v="2024-09-12T00:00:00"/>
    <s v="Aarav Patel"/>
    <x v="0"/>
    <s v="Patna"/>
    <s v="Furniture"/>
    <s v="Cupboard"/>
    <s v="Cupboard - Furniture"/>
    <x v="583"/>
    <n v="8"/>
    <n v="10"/>
    <n v="644.24"/>
    <s v="Returned"/>
    <s v="Net Banking"/>
    <s v="09-2024"/>
    <x v="1"/>
    <x v="583"/>
    <s v="Profit"/>
    <s v="Low (1-10%)"/>
  </r>
  <r>
    <s v="ODR00585"/>
    <d v="2025-02-19T00:00:00"/>
    <s v="Kabir Nair"/>
    <x v="2"/>
    <s v="Hyderabad"/>
    <s v="Office Supplies"/>
    <s v="Pen"/>
    <s v="Pen - Office Supplies"/>
    <x v="584"/>
    <n v="5"/>
    <n v="19"/>
    <n v="1005.84"/>
    <s v="Delivered"/>
    <s v="Cash"/>
    <s v="02-2025"/>
    <x v="0"/>
    <x v="584"/>
    <s v="Profit"/>
    <s v="Mid (11-20%)"/>
  </r>
  <r>
    <s v="ODR00586"/>
    <d v="2025-02-26T00:00:00"/>
    <s v="Meera Joshi"/>
    <x v="0"/>
    <s v="Kolkata"/>
    <s v="Furniture"/>
    <s v="Sofa"/>
    <s v="Sofa - Furniture"/>
    <x v="585"/>
    <n v="2"/>
    <n v="27"/>
    <n v="191.19"/>
    <s v="Delivered"/>
    <s v="Credit Card"/>
    <s v="02-2025"/>
    <x v="0"/>
    <x v="585"/>
    <s v="Profit"/>
    <s v="High (&gt;20%)"/>
  </r>
  <r>
    <s v="ODR00587"/>
    <d v="2024-11-12T00:00:00"/>
    <s v="Meera Joshi"/>
    <x v="0"/>
    <s v="Patna"/>
    <s v="Furniture"/>
    <s v="Cupboard"/>
    <s v="Cupboard - Furniture"/>
    <x v="586"/>
    <n v="9"/>
    <n v="14"/>
    <n v="1454.45"/>
    <s v="Delivered"/>
    <s v="Net Banking"/>
    <s v="11-2024"/>
    <x v="1"/>
    <x v="586"/>
    <s v="Profit"/>
    <s v="Mid (11-20%)"/>
  </r>
  <r>
    <s v="ODR00588"/>
    <d v="2025-01-19T00:00:00"/>
    <s v="Meera Joshi"/>
    <x v="1"/>
    <s v="Delhi"/>
    <s v="Furniture"/>
    <s v="Sofa"/>
    <s v="Sofa - Furniture"/>
    <x v="587"/>
    <n v="9"/>
    <n v="7.0000000000000009"/>
    <n v="1976.75"/>
    <s v="In Transit"/>
    <s v="UPI"/>
    <s v="01-2025"/>
    <x v="0"/>
    <x v="587"/>
    <s v="Profit"/>
    <s v="Low (1-10%)"/>
  </r>
  <r>
    <s v="ODR00589"/>
    <d v="2024-08-07T00:00:00"/>
    <s v="Anaya Singh"/>
    <x v="3"/>
    <s v="Indore"/>
    <s v="Furniture"/>
    <s v="Table"/>
    <s v="Table - Furniture"/>
    <x v="588"/>
    <n v="4"/>
    <n v="8"/>
    <n v="1526.41"/>
    <s v="Delivered"/>
    <s v="UPI"/>
    <s v="08-2024"/>
    <x v="1"/>
    <x v="588"/>
    <s v="Profit"/>
    <s v="Low (1-10%)"/>
  </r>
  <r>
    <s v="ODR00590"/>
    <d v="2024-12-24T00:00:00"/>
    <s v="Krishna Das"/>
    <x v="2"/>
    <s v="Hyderabad"/>
    <s v="Office Supplies"/>
    <s v="Notebook"/>
    <s v="Notebook - Office Supplies"/>
    <x v="589"/>
    <n v="8"/>
    <n v="12"/>
    <n v="779.13"/>
    <s v="In Transit"/>
    <s v="Credit Card"/>
    <s v="12-2024"/>
    <x v="1"/>
    <x v="589"/>
    <s v="Profit"/>
    <s v="Mid (11-20%)"/>
  </r>
  <r>
    <s v="ODR00591"/>
    <d v="2024-05-20T00:00:00"/>
    <s v="Ishaan Mehta"/>
    <x v="1"/>
    <s v="Delhi"/>
    <s v="Furniture"/>
    <s v="Sofa"/>
    <s v="Sofa - Furniture"/>
    <x v="590"/>
    <n v="6"/>
    <n v="25"/>
    <n v="409.14"/>
    <s v="Delivered"/>
    <s v="Credit Card"/>
    <s v="05-2024"/>
    <x v="1"/>
    <x v="590"/>
    <s v="Profit"/>
    <s v="High (&gt;20%)"/>
  </r>
  <r>
    <s v="ODR00592"/>
    <d v="2025-04-13T00:00:00"/>
    <s v="Kabir Nair"/>
    <x v="3"/>
    <s v="Ahmedabad"/>
    <s v="Technology"/>
    <s v="Tablet"/>
    <s v="Tablet - Technology"/>
    <x v="591"/>
    <n v="7"/>
    <n v="20"/>
    <n v="248.75"/>
    <s v="Delivered"/>
    <s v="Cash"/>
    <s v="04-2025"/>
    <x v="0"/>
    <x v="591"/>
    <s v="Profit"/>
    <s v="Mid (11-20%)"/>
  </r>
  <r>
    <s v="ODR00593"/>
    <d v="2025-04-04T00:00:00"/>
    <s v="Ishaan Mehta"/>
    <x v="1"/>
    <s v="Jaipur"/>
    <s v="Technology"/>
    <s v="Mobile"/>
    <s v="Mobile - Technology"/>
    <x v="592"/>
    <n v="8"/>
    <n v="5"/>
    <n v="867.85"/>
    <s v="Delivered"/>
    <s v="UPI"/>
    <s v="04-2025"/>
    <x v="0"/>
    <x v="592"/>
    <s v="Profit"/>
    <s v="Low (1-10%)"/>
  </r>
  <r>
    <s v="ODR00594"/>
    <d v="2024-08-11T00:00:00"/>
    <s v="Aarav Patel"/>
    <x v="3"/>
    <s v="Mumbai"/>
    <s v="Office Supplies"/>
    <s v="Pen"/>
    <s v="Pen - Office Supplies"/>
    <x v="593"/>
    <n v="8"/>
    <n v="18"/>
    <n v="2078.2399999999998"/>
    <s v="Returned"/>
    <s v="Credit Card"/>
    <s v="08-2024"/>
    <x v="1"/>
    <x v="593"/>
    <s v="Profit"/>
    <s v="Mid (11-20%)"/>
  </r>
  <r>
    <s v="ODR00595"/>
    <d v="2025-02-27T00:00:00"/>
    <s v="Vivaan Shah"/>
    <x v="1"/>
    <s v="Jaipur"/>
    <s v="Technology"/>
    <s v="Tablet"/>
    <s v="Tablet - Technology"/>
    <x v="594"/>
    <n v="2"/>
    <n v="6"/>
    <n v="183.51"/>
    <s v="In Transit"/>
    <s v="UPI"/>
    <s v="02-2025"/>
    <x v="0"/>
    <x v="594"/>
    <s v="Profit"/>
    <s v="Low (1-10%)"/>
  </r>
  <r>
    <s v="ODR00596"/>
    <d v="2024-07-28T00:00:00"/>
    <s v="Kabir Nair"/>
    <x v="0"/>
    <s v="Kolkata"/>
    <s v="Technology"/>
    <s v="Tablet"/>
    <s v="Tablet - Technology"/>
    <x v="595"/>
    <n v="8"/>
    <n v="16"/>
    <n v="919.56"/>
    <s v="Returned"/>
    <s v="Cash"/>
    <s v="07-2024"/>
    <x v="1"/>
    <x v="595"/>
    <s v="Profit"/>
    <s v="Mid (11-20%)"/>
  </r>
  <r>
    <s v="ODR00597"/>
    <d v="2024-05-16T00:00:00"/>
    <s v="Riya Kapoor"/>
    <x v="0"/>
    <s v="Bhubaneswar"/>
    <s v="Technology"/>
    <s v="Tablet"/>
    <s v="Tablet - Technology"/>
    <x v="596"/>
    <n v="7"/>
    <n v="7.0000000000000009"/>
    <n v="141.96"/>
    <s v="Returned"/>
    <s v="Net Banking"/>
    <s v="05-2024"/>
    <x v="1"/>
    <x v="596"/>
    <s v="Profit"/>
    <s v="Low (1-10%)"/>
  </r>
  <r>
    <s v="ODR00598"/>
    <d v="2024-05-24T00:00:00"/>
    <s v="Yuvraj Chauhan"/>
    <x v="1"/>
    <s v="Chandigarh"/>
    <s v="Office Supplies"/>
    <s v="Pen"/>
    <s v="Pen - Office Supplies"/>
    <x v="597"/>
    <n v="1"/>
    <n v="24"/>
    <n v="42.9"/>
    <s v="In Transit"/>
    <s v="UPI"/>
    <s v="05-2024"/>
    <x v="1"/>
    <x v="597"/>
    <s v="Profit"/>
    <s v="High (&gt;20%)"/>
  </r>
  <r>
    <s v="ODR00599"/>
    <d v="2024-08-02T00:00:00"/>
    <s v="Riya Kapoor"/>
    <x v="0"/>
    <s v="Kolkata"/>
    <s v="Technology"/>
    <s v="Laptop"/>
    <s v="Laptop - Technology"/>
    <x v="598"/>
    <n v="7"/>
    <n v="23"/>
    <n v="2000.97"/>
    <s v="Returned"/>
    <s v="Cash"/>
    <s v="08-2024"/>
    <x v="1"/>
    <x v="598"/>
    <s v="Profit"/>
    <s v="High (&gt;20%)"/>
  </r>
  <r>
    <s v="ODR00600"/>
    <d v="2024-06-13T00:00:00"/>
    <s v="Vivaan Shah"/>
    <x v="2"/>
    <s v="Chennai"/>
    <s v="Technology"/>
    <s v="Printer"/>
    <s v="Printer - Technology"/>
    <x v="599"/>
    <n v="4"/>
    <n v="4"/>
    <n v="426.28"/>
    <s v="In Transit"/>
    <s v="Cash"/>
    <s v="06-2024"/>
    <x v="1"/>
    <x v="599"/>
    <s v="Profit"/>
    <s v="Low (1-10%)"/>
  </r>
  <r>
    <s v="ODR00601"/>
    <d v="2025-02-07T00:00:00"/>
    <s v="Sneha Reddy"/>
    <x v="0"/>
    <s v="Patna"/>
    <s v="Furniture"/>
    <s v="Sofa"/>
    <s v="Sofa - Furniture"/>
    <x v="600"/>
    <n v="9"/>
    <n v="27"/>
    <n v="1169.5999999999999"/>
    <s v="Delivered"/>
    <s v="Credit Card"/>
    <s v="02-2025"/>
    <x v="0"/>
    <x v="600"/>
    <s v="Profit"/>
    <s v="High (&gt;20%)"/>
  </r>
  <r>
    <s v="ODR00602"/>
    <d v="2024-05-21T00:00:00"/>
    <s v="Tanishq Ghosh"/>
    <x v="1"/>
    <s v="Chandigarh"/>
    <s v="Furniture"/>
    <s v="Sofa"/>
    <s v="Sofa - Furniture"/>
    <x v="601"/>
    <n v="2"/>
    <n v="11"/>
    <n v="233"/>
    <s v="Returned"/>
    <s v="UPI"/>
    <s v="05-2024"/>
    <x v="1"/>
    <x v="601"/>
    <s v="Profit"/>
    <s v="Mid (11-20%)"/>
  </r>
  <r>
    <s v="ODR00603"/>
    <d v="2024-05-25T00:00:00"/>
    <s v="Yuvraj Chauhan"/>
    <x v="0"/>
    <s v="Kolkata"/>
    <s v="Technology"/>
    <s v="Laptop"/>
    <s v="Laptop - Technology"/>
    <x v="602"/>
    <n v="10"/>
    <n v="2"/>
    <n v="1648.2"/>
    <s v="Delivered"/>
    <s v="Net Banking"/>
    <s v="05-2024"/>
    <x v="1"/>
    <x v="602"/>
    <s v="Profit"/>
    <s v="Low (1-10%)"/>
  </r>
  <r>
    <s v="ODR00604"/>
    <d v="2024-09-30T00:00:00"/>
    <s v="Sneha Reddy"/>
    <x v="0"/>
    <s v="Kolkata"/>
    <s v="Furniture"/>
    <s v="Sofa"/>
    <s v="Sofa - Furniture"/>
    <x v="603"/>
    <n v="1"/>
    <n v="24"/>
    <n v="270.74"/>
    <s v="Delivered"/>
    <s v="Credit Card"/>
    <s v="09-2024"/>
    <x v="1"/>
    <x v="603"/>
    <s v="Profit"/>
    <s v="High (&gt;20%)"/>
  </r>
  <r>
    <s v="ODR00605"/>
    <d v="2024-12-09T00:00:00"/>
    <s v="Sneha Reddy"/>
    <x v="3"/>
    <s v="Indore"/>
    <s v="Technology"/>
    <s v="Mobile"/>
    <s v="Mobile - Technology"/>
    <x v="604"/>
    <n v="7"/>
    <n v="4"/>
    <n v="149.69"/>
    <s v="In Transit"/>
    <s v="Net Banking"/>
    <s v="12-2024"/>
    <x v="1"/>
    <x v="604"/>
    <s v="Profit"/>
    <s v="Low (1-10%)"/>
  </r>
  <r>
    <s v="ODR00606"/>
    <d v="2024-11-13T00:00:00"/>
    <s v="Tanishq Ghosh"/>
    <x v="2"/>
    <s v="Chennai"/>
    <s v="Furniture"/>
    <s v="Cupboard"/>
    <s v="Cupboard - Furniture"/>
    <x v="605"/>
    <n v="3"/>
    <n v="6"/>
    <n v="358.87"/>
    <s v="In Transit"/>
    <s v="Cash"/>
    <s v="11-2024"/>
    <x v="1"/>
    <x v="605"/>
    <s v="Profit"/>
    <s v="Low (1-10%)"/>
  </r>
  <r>
    <s v="ODR00607"/>
    <d v="2025-04-17T00:00:00"/>
    <s v="Yuvraj Chauhan"/>
    <x v="3"/>
    <s v="Ahmedabad"/>
    <s v="Office Supplies"/>
    <s v="Notebook"/>
    <s v="Notebook - Office Supplies"/>
    <x v="606"/>
    <n v="1"/>
    <n v="11"/>
    <n v="91.21"/>
    <s v="Delivered"/>
    <s v="UPI"/>
    <s v="04-2025"/>
    <x v="0"/>
    <x v="606"/>
    <s v="Profit"/>
    <s v="Mid (11-20%)"/>
  </r>
  <r>
    <s v="ODR00608"/>
    <d v="2024-10-02T00:00:00"/>
    <s v="Saanvi Iyer"/>
    <x v="3"/>
    <s v="Nagpur"/>
    <s v="Technology"/>
    <s v="Tablet"/>
    <s v="Tablet - Technology"/>
    <x v="607"/>
    <n v="5"/>
    <n v="14"/>
    <n v="1117.8499999999999"/>
    <s v="Delivered"/>
    <s v="UPI"/>
    <s v="10-2024"/>
    <x v="1"/>
    <x v="607"/>
    <s v="Profit"/>
    <s v="Mid (11-20%)"/>
  </r>
  <r>
    <s v="ODR00609"/>
    <d v="2024-09-27T00:00:00"/>
    <s v="Vivaan Shah"/>
    <x v="1"/>
    <s v="Delhi"/>
    <s v="Technology"/>
    <s v="Mobile"/>
    <s v="Mobile - Technology"/>
    <x v="608"/>
    <n v="8"/>
    <n v="14"/>
    <n v="1076.3599999999999"/>
    <s v="Returned"/>
    <s v="Credit Card"/>
    <s v="09-2024"/>
    <x v="1"/>
    <x v="608"/>
    <s v="Profit"/>
    <s v="Mid (11-20%)"/>
  </r>
  <r>
    <s v="ODR00610"/>
    <d v="2024-12-28T00:00:00"/>
    <s v="Tanishq Ghosh"/>
    <x v="1"/>
    <s v="Lucknow"/>
    <s v="Furniture"/>
    <s v="Sofa"/>
    <s v="Sofa - Furniture"/>
    <x v="609"/>
    <n v="6"/>
    <n v="1"/>
    <n v="2601.56"/>
    <s v="Delivered"/>
    <s v="Net Banking"/>
    <s v="12-2024"/>
    <x v="1"/>
    <x v="609"/>
    <s v="Profit"/>
    <s v="Low (1-10%)"/>
  </r>
  <r>
    <s v="ODR00611"/>
    <d v="2024-12-27T00:00:00"/>
    <s v="Kabir Nair"/>
    <x v="0"/>
    <s v="Kolkata"/>
    <s v="Office Supplies"/>
    <s v="Notebook"/>
    <s v="Notebook - Office Supplies"/>
    <x v="610"/>
    <n v="2"/>
    <n v="20"/>
    <n v="109.91"/>
    <s v="In Transit"/>
    <s v="UPI"/>
    <s v="12-2024"/>
    <x v="1"/>
    <x v="610"/>
    <s v="Profit"/>
    <s v="Mid (11-20%)"/>
  </r>
  <r>
    <s v="ODR00612"/>
    <d v="2024-08-03T00:00:00"/>
    <s v="Diya Sharma"/>
    <x v="0"/>
    <s v="Bhubaneswar"/>
    <s v="Technology"/>
    <s v="Mobile"/>
    <s v="Mobile - Technology"/>
    <x v="611"/>
    <n v="5"/>
    <n v="27"/>
    <n v="335.5"/>
    <s v="In Transit"/>
    <s v="Credit Card"/>
    <s v="08-2024"/>
    <x v="1"/>
    <x v="611"/>
    <s v="Profit"/>
    <s v="High (&gt;20%)"/>
  </r>
  <r>
    <s v="ODR00613"/>
    <d v="2024-10-31T00:00:00"/>
    <s v="Yuvraj Chauhan"/>
    <x v="1"/>
    <s v="Lucknow"/>
    <s v="Office Supplies"/>
    <s v="Pen"/>
    <s v="Pen - Office Supplies"/>
    <x v="612"/>
    <n v="6"/>
    <n v="19"/>
    <n v="53.96"/>
    <s v="Returned"/>
    <s v="Net Banking"/>
    <s v="10-2024"/>
    <x v="1"/>
    <x v="612"/>
    <s v="Profit"/>
    <s v="Mid (11-20%)"/>
  </r>
  <r>
    <s v="ODR00614"/>
    <d v="2024-07-29T00:00:00"/>
    <s v="Krishna Das"/>
    <x v="2"/>
    <s v="Hyderabad"/>
    <s v="Office Supplies"/>
    <s v="Pen"/>
    <s v="Pen - Office Supplies"/>
    <x v="613"/>
    <n v="4"/>
    <n v="13"/>
    <n v="1236.45"/>
    <s v="Returned"/>
    <s v="Net Banking"/>
    <s v="07-2024"/>
    <x v="1"/>
    <x v="613"/>
    <s v="Profit"/>
    <s v="Mid (11-20%)"/>
  </r>
  <r>
    <s v="ODR00615"/>
    <d v="2024-05-13T00:00:00"/>
    <s v="Diya Sharma"/>
    <x v="3"/>
    <s v="Indore"/>
    <s v="Furniture"/>
    <s v="Chair"/>
    <s v="Chair - Furniture"/>
    <x v="614"/>
    <n v="3"/>
    <n v="3"/>
    <n v="818.64"/>
    <s v="Delivered"/>
    <s v="UPI"/>
    <s v="05-2024"/>
    <x v="1"/>
    <x v="614"/>
    <s v="Profit"/>
    <s v="Low (1-10%)"/>
  </r>
  <r>
    <s v="ODR00616"/>
    <d v="2025-04-21T00:00:00"/>
    <s v="Yuvraj Chauhan"/>
    <x v="1"/>
    <s v="Lucknow"/>
    <s v="Technology"/>
    <s v="Printer"/>
    <s v="Printer - Technology"/>
    <x v="615"/>
    <n v="2"/>
    <n v="24"/>
    <n v="546.29999999999995"/>
    <s v="Delivered"/>
    <s v="Cash"/>
    <s v="04-2025"/>
    <x v="0"/>
    <x v="615"/>
    <s v="Profit"/>
    <s v="High (&gt;20%)"/>
  </r>
  <r>
    <s v="ODR00617"/>
    <d v="2024-06-22T00:00:00"/>
    <s v="Meera Joshi"/>
    <x v="1"/>
    <s v="Lucknow"/>
    <s v="Technology"/>
    <s v="Laptop"/>
    <s v="Laptop - Technology"/>
    <x v="616"/>
    <n v="1"/>
    <n v="22"/>
    <n v="143.65"/>
    <s v="Returned"/>
    <s v="UPI"/>
    <s v="06-2024"/>
    <x v="1"/>
    <x v="616"/>
    <s v="Profit"/>
    <s v="High (&gt;20%)"/>
  </r>
  <r>
    <s v="ODR00618"/>
    <d v="2024-06-09T00:00:00"/>
    <s v="Anaya Singh"/>
    <x v="1"/>
    <s v="Chandigarh"/>
    <s v="Technology"/>
    <s v="Mobile"/>
    <s v="Mobile - Technology"/>
    <x v="617"/>
    <n v="8"/>
    <n v="5"/>
    <n v="348.36"/>
    <s v="Delivered"/>
    <s v="Cash"/>
    <s v="06-2024"/>
    <x v="1"/>
    <x v="617"/>
    <s v="Profit"/>
    <s v="Low (1-10%)"/>
  </r>
  <r>
    <s v="ODR00619"/>
    <d v="2024-10-18T00:00:00"/>
    <s v="Riya Kapoor"/>
    <x v="0"/>
    <s v="Kolkata"/>
    <s v="Furniture"/>
    <s v="Sofa"/>
    <s v="Sofa - Furniture"/>
    <x v="618"/>
    <n v="2"/>
    <n v="11"/>
    <n v="284.85000000000002"/>
    <s v="In Transit"/>
    <s v="Net Banking"/>
    <s v="10-2024"/>
    <x v="1"/>
    <x v="618"/>
    <s v="Profit"/>
    <s v="Mid (11-20%)"/>
  </r>
  <r>
    <s v="ODR00620"/>
    <d v="2025-04-24T00:00:00"/>
    <s v="Vivaan Shah"/>
    <x v="2"/>
    <s v="Hyderabad"/>
    <s v="Office Supplies"/>
    <s v="Pen"/>
    <s v="Pen - Office Supplies"/>
    <x v="619"/>
    <n v="7"/>
    <n v="29"/>
    <n v="361.35"/>
    <s v="Returned"/>
    <s v="Cash"/>
    <s v="04-2025"/>
    <x v="0"/>
    <x v="619"/>
    <s v="Profit"/>
    <s v="High (&gt;20%)"/>
  </r>
  <r>
    <s v="ODR00621"/>
    <d v="2024-08-27T00:00:00"/>
    <s v="Krishna Das"/>
    <x v="3"/>
    <s v="Pune"/>
    <s v="Office Supplies"/>
    <s v="Pen"/>
    <s v="Pen - Office Supplies"/>
    <x v="620"/>
    <n v="10"/>
    <n v="23"/>
    <n v="2752.59"/>
    <s v="In Transit"/>
    <s v="UPI"/>
    <s v="08-2024"/>
    <x v="1"/>
    <x v="620"/>
    <s v="Profit"/>
    <s v="High (&gt;20%)"/>
  </r>
  <r>
    <s v="ODR00622"/>
    <d v="2024-11-30T00:00:00"/>
    <s v="Ishaan Mehta"/>
    <x v="3"/>
    <s v="Mumbai"/>
    <s v="Office Supplies"/>
    <s v="Envelope"/>
    <s v="Envelope - Office Supplies"/>
    <x v="621"/>
    <n v="10"/>
    <n v="28"/>
    <n v="1372.43"/>
    <s v="Returned"/>
    <s v="Cash"/>
    <s v="11-2024"/>
    <x v="1"/>
    <x v="621"/>
    <s v="Profit"/>
    <s v="High (&gt;20%)"/>
  </r>
  <r>
    <s v="ODR00623"/>
    <d v="2025-04-06T00:00:00"/>
    <s v="Anaya Singh"/>
    <x v="0"/>
    <s v="Bhubaneswar"/>
    <s v="Office Supplies"/>
    <s v="Envelope"/>
    <s v="Envelope - Office Supplies"/>
    <x v="622"/>
    <n v="1"/>
    <n v="6"/>
    <n v="328.41"/>
    <s v="Returned"/>
    <s v="Cash"/>
    <s v="04-2025"/>
    <x v="0"/>
    <x v="622"/>
    <s v="Profit"/>
    <s v="Low (1-10%)"/>
  </r>
  <r>
    <s v="ODR00624"/>
    <d v="2024-10-31T00:00:00"/>
    <s v="Kabir Nair"/>
    <x v="0"/>
    <s v="Patna"/>
    <s v="Furniture"/>
    <s v="Cupboard"/>
    <s v="Cupboard - Furniture"/>
    <x v="623"/>
    <n v="9"/>
    <n v="15"/>
    <n v="212.09"/>
    <s v="Returned"/>
    <s v="UPI"/>
    <s v="10-2024"/>
    <x v="1"/>
    <x v="623"/>
    <s v="Profit"/>
    <s v="Mid (11-20%)"/>
  </r>
  <r>
    <s v="ODR00625"/>
    <d v="2024-06-11T00:00:00"/>
    <s v="Aarav Patel"/>
    <x v="3"/>
    <s v="Mumbai"/>
    <s v="Furniture"/>
    <s v="Chair"/>
    <s v="Chair - Furniture"/>
    <x v="624"/>
    <n v="5"/>
    <n v="22"/>
    <n v="259.33999999999997"/>
    <s v="In Transit"/>
    <s v="Net Banking"/>
    <s v="06-2024"/>
    <x v="1"/>
    <x v="624"/>
    <s v="Profit"/>
    <s v="High (&gt;20%)"/>
  </r>
  <r>
    <s v="ODR00626"/>
    <d v="2025-01-30T00:00:00"/>
    <s v="Meera Joshi"/>
    <x v="0"/>
    <s v="Bhubaneswar"/>
    <s v="Office Supplies"/>
    <s v="Notebook"/>
    <s v="Notebook - Office Supplies"/>
    <x v="625"/>
    <n v="4"/>
    <n v="19"/>
    <n v="785.52"/>
    <s v="Returned"/>
    <s v="Credit Card"/>
    <s v="01-2025"/>
    <x v="0"/>
    <x v="625"/>
    <s v="Profit"/>
    <s v="Mid (11-20%)"/>
  </r>
  <r>
    <s v="ODR00627"/>
    <d v="2025-02-03T00:00:00"/>
    <s v="Vivaan Shah"/>
    <x v="1"/>
    <s v="Lucknow"/>
    <s v="Technology"/>
    <s v="Mobile"/>
    <s v="Mobile - Technology"/>
    <x v="626"/>
    <n v="8"/>
    <n v="12"/>
    <n v="800.15"/>
    <s v="Delivered"/>
    <s v="Credit Card"/>
    <s v="02-2025"/>
    <x v="0"/>
    <x v="626"/>
    <s v="Profit"/>
    <s v="Mid (11-20%)"/>
  </r>
  <r>
    <s v="ODR00628"/>
    <d v="2024-08-01T00:00:00"/>
    <s v="Yuvraj Chauhan"/>
    <x v="2"/>
    <s v="Bangalore"/>
    <s v="Office Supplies"/>
    <s v="Notebook"/>
    <s v="Notebook - Office Supplies"/>
    <x v="627"/>
    <n v="1"/>
    <n v="12"/>
    <n v="72.48"/>
    <s v="Returned"/>
    <s v="Net Banking"/>
    <s v="08-2024"/>
    <x v="1"/>
    <x v="627"/>
    <s v="Profit"/>
    <s v="Mid (11-20%)"/>
  </r>
  <r>
    <s v="ODR00629"/>
    <d v="2024-11-17T00:00:00"/>
    <s v="Kriti Desai"/>
    <x v="3"/>
    <s v="Pune"/>
    <s v="Technology"/>
    <s v="Printer"/>
    <s v="Printer - Technology"/>
    <x v="628"/>
    <n v="5"/>
    <n v="25"/>
    <n v="579.57000000000005"/>
    <s v="Delivered"/>
    <s v="UPI"/>
    <s v="11-2024"/>
    <x v="1"/>
    <x v="628"/>
    <s v="Profit"/>
    <s v="High (&gt;20%)"/>
  </r>
  <r>
    <s v="ODR00630"/>
    <d v="2024-10-15T00:00:00"/>
    <s v="Tanishq Ghosh"/>
    <x v="3"/>
    <s v="Mumbai"/>
    <s v="Furniture"/>
    <s v="Cupboard"/>
    <s v="Cupboard - Furniture"/>
    <x v="629"/>
    <n v="7"/>
    <n v="13"/>
    <n v="1129.8699999999999"/>
    <s v="Returned"/>
    <s v="Cash"/>
    <s v="10-2024"/>
    <x v="1"/>
    <x v="629"/>
    <s v="Profit"/>
    <s v="Mid (11-20%)"/>
  </r>
  <r>
    <s v="ODR00631"/>
    <d v="2024-12-05T00:00:00"/>
    <s v="Sneha Reddy"/>
    <x v="2"/>
    <s v="Hyderabad"/>
    <s v="Office Supplies"/>
    <s v="Pen"/>
    <s v="Pen - Office Supplies"/>
    <x v="630"/>
    <n v="5"/>
    <n v="6"/>
    <n v="417.64"/>
    <s v="Returned"/>
    <s v="Cash"/>
    <s v="12-2024"/>
    <x v="1"/>
    <x v="630"/>
    <s v="Profit"/>
    <s v="Low (1-10%)"/>
  </r>
  <r>
    <s v="ODR00632"/>
    <d v="2024-11-26T00:00:00"/>
    <s v="Aarav Patel"/>
    <x v="1"/>
    <s v="Delhi"/>
    <s v="Furniture"/>
    <s v="Chair"/>
    <s v="Chair - Furniture"/>
    <x v="631"/>
    <n v="5"/>
    <n v="27"/>
    <n v="67.69"/>
    <s v="Delivered"/>
    <s v="Net Banking"/>
    <s v="11-2024"/>
    <x v="1"/>
    <x v="631"/>
    <s v="Profit"/>
    <s v="High (&gt;20%)"/>
  </r>
  <r>
    <s v="ODR00633"/>
    <d v="2024-08-22T00:00:00"/>
    <s v="Diya Sharma"/>
    <x v="0"/>
    <s v="Patna"/>
    <s v="Furniture"/>
    <s v="Chair"/>
    <s v="Chair - Furniture"/>
    <x v="632"/>
    <n v="10"/>
    <n v="16"/>
    <n v="624.83000000000004"/>
    <s v="Returned"/>
    <s v="Credit Card"/>
    <s v="08-2024"/>
    <x v="1"/>
    <x v="632"/>
    <s v="Profit"/>
    <s v="Mid (11-20%)"/>
  </r>
  <r>
    <s v="ODR00634"/>
    <d v="2024-06-18T00:00:00"/>
    <s v="Tanishq Ghosh"/>
    <x v="0"/>
    <s v="Bhubaneswar"/>
    <s v="Office Supplies"/>
    <s v="Pen"/>
    <s v="Pen - Office Supplies"/>
    <x v="633"/>
    <n v="10"/>
    <n v="14"/>
    <n v="2814.72"/>
    <s v="In Transit"/>
    <s v="Net Banking"/>
    <s v="06-2024"/>
    <x v="1"/>
    <x v="633"/>
    <s v="Profit"/>
    <s v="Mid (11-20%)"/>
  </r>
  <r>
    <s v="ODR00635"/>
    <d v="2024-12-14T00:00:00"/>
    <s v="Vivaan Shah"/>
    <x v="3"/>
    <s v="Ahmedabad"/>
    <s v="Furniture"/>
    <s v="Chair"/>
    <s v="Chair - Furniture"/>
    <x v="634"/>
    <n v="4"/>
    <n v="25"/>
    <n v="478.99"/>
    <s v="In Transit"/>
    <s v="Credit Card"/>
    <s v="12-2024"/>
    <x v="1"/>
    <x v="634"/>
    <s v="Profit"/>
    <s v="High (&gt;20%)"/>
  </r>
  <r>
    <s v="ODR00636"/>
    <d v="2024-06-22T00:00:00"/>
    <s v="Kabir Nair"/>
    <x v="1"/>
    <s v="Delhi"/>
    <s v="Furniture"/>
    <s v="Cupboard"/>
    <s v="Cupboard - Furniture"/>
    <x v="635"/>
    <n v="1"/>
    <n v="26"/>
    <n v="92.36"/>
    <s v="In Transit"/>
    <s v="Net Banking"/>
    <s v="06-2024"/>
    <x v="1"/>
    <x v="635"/>
    <s v="Profit"/>
    <s v="High (&gt;20%)"/>
  </r>
  <r>
    <s v="ODR00637"/>
    <d v="2024-05-21T00:00:00"/>
    <s v="Saanvi Iyer"/>
    <x v="1"/>
    <s v="Delhi"/>
    <s v="Technology"/>
    <s v="Printer"/>
    <s v="Printer - Technology"/>
    <x v="636"/>
    <n v="7"/>
    <n v="11"/>
    <n v="152.04"/>
    <s v="Returned"/>
    <s v="Cash"/>
    <s v="05-2024"/>
    <x v="1"/>
    <x v="636"/>
    <s v="Profit"/>
    <s v="Mid (11-20%)"/>
  </r>
  <r>
    <s v="ODR00638"/>
    <d v="2025-03-30T00:00:00"/>
    <s v="Vivaan Shah"/>
    <x v="2"/>
    <s v="Hyderabad"/>
    <s v="Technology"/>
    <s v="Laptop"/>
    <s v="Laptop - Technology"/>
    <x v="637"/>
    <n v="1"/>
    <n v="16"/>
    <n v="342.14"/>
    <s v="Delivered"/>
    <s v="Net Banking"/>
    <s v="03-2025"/>
    <x v="0"/>
    <x v="637"/>
    <s v="Profit"/>
    <s v="Mid (11-20%)"/>
  </r>
  <r>
    <s v="ODR00639"/>
    <d v="2025-01-14T00:00:00"/>
    <s v="Kabir Nair"/>
    <x v="3"/>
    <s v="Indore"/>
    <s v="Office Supplies"/>
    <s v="Notebook"/>
    <s v="Notebook - Office Supplies"/>
    <x v="638"/>
    <n v="6"/>
    <n v="3"/>
    <n v="205.32"/>
    <s v="Returned"/>
    <s v="Cash"/>
    <s v="01-2025"/>
    <x v="0"/>
    <x v="638"/>
    <s v="Profit"/>
    <s v="Low (1-10%)"/>
  </r>
  <r>
    <s v="ODR00640"/>
    <d v="2024-10-16T00:00:00"/>
    <s v="Kabir Nair"/>
    <x v="0"/>
    <s v="Bhubaneswar"/>
    <s v="Technology"/>
    <s v="Tablet"/>
    <s v="Tablet - Technology"/>
    <x v="639"/>
    <n v="6"/>
    <n v="14"/>
    <n v="588.44000000000005"/>
    <s v="In Transit"/>
    <s v="Cash"/>
    <s v="10-2024"/>
    <x v="1"/>
    <x v="639"/>
    <s v="Profit"/>
    <s v="Mid (11-20%)"/>
  </r>
  <r>
    <s v="ODR00641"/>
    <d v="2024-08-20T00:00:00"/>
    <s v="Meera Joshi"/>
    <x v="1"/>
    <s v="Chandigarh"/>
    <s v="Technology"/>
    <s v="Printer"/>
    <s v="Printer - Technology"/>
    <x v="640"/>
    <n v="2"/>
    <n v="26"/>
    <n v="335.2"/>
    <s v="In Transit"/>
    <s v="Cash"/>
    <s v="08-2024"/>
    <x v="1"/>
    <x v="640"/>
    <s v="Profit"/>
    <s v="High (&gt;20%)"/>
  </r>
  <r>
    <s v="ODR00642"/>
    <d v="2024-11-21T00:00:00"/>
    <s v="Krishna Das"/>
    <x v="3"/>
    <s v="Nagpur"/>
    <s v="Technology"/>
    <s v="Tablet"/>
    <s v="Tablet - Technology"/>
    <x v="641"/>
    <n v="6"/>
    <n v="20"/>
    <n v="321.82"/>
    <s v="Delivered"/>
    <s v="Net Banking"/>
    <s v="11-2024"/>
    <x v="1"/>
    <x v="641"/>
    <s v="Profit"/>
    <s v="Mid (11-20%)"/>
  </r>
  <r>
    <s v="ODR00643"/>
    <d v="2025-03-28T00:00:00"/>
    <s v="Aarav Patel"/>
    <x v="2"/>
    <s v="Bangalore"/>
    <s v="Office Supplies"/>
    <s v="Envelope"/>
    <s v="Envelope - Office Supplies"/>
    <x v="642"/>
    <n v="4"/>
    <n v="22"/>
    <n v="284.01"/>
    <s v="Delivered"/>
    <s v="Cash"/>
    <s v="03-2025"/>
    <x v="0"/>
    <x v="642"/>
    <s v="Profit"/>
    <s v="High (&gt;20%)"/>
  </r>
  <r>
    <s v="ODR00644"/>
    <d v="2024-12-13T00:00:00"/>
    <s v="Ishaan Mehta"/>
    <x v="3"/>
    <s v="Ahmedabad"/>
    <s v="Furniture"/>
    <s v="Cupboard"/>
    <s v="Cupboard - Furniture"/>
    <x v="643"/>
    <n v="4"/>
    <n v="14"/>
    <n v="196.8"/>
    <s v="Returned"/>
    <s v="UPI"/>
    <s v="12-2024"/>
    <x v="1"/>
    <x v="643"/>
    <s v="Profit"/>
    <s v="Mid (11-20%)"/>
  </r>
  <r>
    <s v="ODR00645"/>
    <d v="2025-05-09T00:00:00"/>
    <s v="Riya Kapoor"/>
    <x v="3"/>
    <s v="Nagpur"/>
    <s v="Technology"/>
    <s v="Printer"/>
    <s v="Printer - Technology"/>
    <x v="644"/>
    <n v="8"/>
    <n v="17"/>
    <n v="506.29"/>
    <s v="Returned"/>
    <s v="Credit Card"/>
    <s v="05-2025"/>
    <x v="0"/>
    <x v="644"/>
    <s v="Profit"/>
    <s v="Mid (11-20%)"/>
  </r>
  <r>
    <s v="ODR00646"/>
    <d v="2024-12-09T00:00:00"/>
    <s v="Anaya Singh"/>
    <x v="0"/>
    <s v="Bhubaneswar"/>
    <s v="Office Supplies"/>
    <s v="Envelope"/>
    <s v="Envelope - Office Supplies"/>
    <x v="645"/>
    <n v="3"/>
    <n v="8"/>
    <n v="653.04999999999995"/>
    <s v="Delivered"/>
    <s v="Cash"/>
    <s v="12-2024"/>
    <x v="1"/>
    <x v="645"/>
    <s v="Profit"/>
    <s v="Low (1-10%)"/>
  </r>
  <r>
    <s v="ODR00647"/>
    <d v="2025-03-21T00:00:00"/>
    <s v="Vivaan Shah"/>
    <x v="3"/>
    <s v="Nagpur"/>
    <s v="Furniture"/>
    <s v="Chair"/>
    <s v="Chair - Furniture"/>
    <x v="646"/>
    <n v="3"/>
    <n v="8"/>
    <n v="326.14"/>
    <s v="Returned"/>
    <s v="Credit Card"/>
    <s v="03-2025"/>
    <x v="0"/>
    <x v="646"/>
    <s v="Profit"/>
    <s v="Low (1-10%)"/>
  </r>
  <r>
    <s v="ODR00648"/>
    <d v="2025-01-19T00:00:00"/>
    <s v="Sneha Reddy"/>
    <x v="3"/>
    <s v="Indore"/>
    <s v="Furniture"/>
    <s v="Table"/>
    <s v="Table - Furniture"/>
    <x v="647"/>
    <n v="3"/>
    <n v="12"/>
    <n v="290.74"/>
    <s v="Returned"/>
    <s v="Cash"/>
    <s v="01-2025"/>
    <x v="0"/>
    <x v="647"/>
    <s v="Profit"/>
    <s v="Mid (11-20%)"/>
  </r>
  <r>
    <s v="ODR00649"/>
    <d v="2024-10-03T00:00:00"/>
    <s v="Meera Joshi"/>
    <x v="3"/>
    <s v="Nagpur"/>
    <s v="Furniture"/>
    <s v="Table"/>
    <s v="Table - Furniture"/>
    <x v="648"/>
    <n v="1"/>
    <n v="11"/>
    <n v="173.66"/>
    <s v="Delivered"/>
    <s v="Credit Card"/>
    <s v="10-2024"/>
    <x v="1"/>
    <x v="648"/>
    <s v="Profit"/>
    <s v="Mid (11-20%)"/>
  </r>
  <r>
    <s v="ODR00650"/>
    <d v="2025-02-23T00:00:00"/>
    <s v="Saanvi Iyer"/>
    <x v="2"/>
    <s v="Bangalore"/>
    <s v="Office Supplies"/>
    <s v="Stapler"/>
    <s v="Stapler - Office Supplies"/>
    <x v="649"/>
    <n v="6"/>
    <n v="17"/>
    <n v="133.4"/>
    <s v="In Transit"/>
    <s v="Credit Card"/>
    <s v="02-2025"/>
    <x v="0"/>
    <x v="649"/>
    <s v="Profit"/>
    <s v="Mid (11-20%)"/>
  </r>
  <r>
    <s v="ODR00651"/>
    <d v="2025-03-28T00:00:00"/>
    <s v="Riya Kapoor"/>
    <x v="1"/>
    <s v="Lucknow"/>
    <s v="Furniture"/>
    <s v="Cupboard"/>
    <s v="Cupboard - Furniture"/>
    <x v="650"/>
    <n v="1"/>
    <n v="15"/>
    <n v="70.459999999999994"/>
    <s v="In Transit"/>
    <s v="Credit Card"/>
    <s v="03-2025"/>
    <x v="0"/>
    <x v="650"/>
    <s v="Profit"/>
    <s v="Mid (11-20%)"/>
  </r>
  <r>
    <s v="ODR00652"/>
    <d v="2025-04-26T00:00:00"/>
    <s v="Krishna Das"/>
    <x v="0"/>
    <s v="Bhubaneswar"/>
    <s v="Furniture"/>
    <s v="Table"/>
    <s v="Table - Furniture"/>
    <x v="651"/>
    <n v="10"/>
    <n v="4"/>
    <n v="140.06"/>
    <s v="In Transit"/>
    <s v="UPI"/>
    <s v="04-2025"/>
    <x v="0"/>
    <x v="651"/>
    <s v="Profit"/>
    <s v="Low (1-10%)"/>
  </r>
  <r>
    <s v="ODR00653"/>
    <d v="2024-06-16T00:00:00"/>
    <s v="Saanvi Iyer"/>
    <x v="0"/>
    <s v="Bhubaneswar"/>
    <s v="Office Supplies"/>
    <s v="Notebook"/>
    <s v="Notebook - Office Supplies"/>
    <x v="652"/>
    <n v="6"/>
    <n v="9"/>
    <n v="1978.88"/>
    <s v="In Transit"/>
    <s v="Cash"/>
    <s v="06-2024"/>
    <x v="1"/>
    <x v="652"/>
    <s v="Profit"/>
    <s v="Low (1-10%)"/>
  </r>
  <r>
    <s v="ODR00654"/>
    <d v="2024-08-28T00:00:00"/>
    <s v="Sneha Reddy"/>
    <x v="1"/>
    <s v="Chandigarh"/>
    <s v="Office Supplies"/>
    <s v="Notebook"/>
    <s v="Notebook - Office Supplies"/>
    <x v="653"/>
    <n v="2"/>
    <n v="18"/>
    <n v="218.5"/>
    <s v="Delivered"/>
    <s v="Credit Card"/>
    <s v="08-2024"/>
    <x v="1"/>
    <x v="653"/>
    <s v="Profit"/>
    <s v="Mid (11-20%)"/>
  </r>
  <r>
    <s v="ODR00655"/>
    <d v="2024-11-26T00:00:00"/>
    <s v="Yuvraj Chauhan"/>
    <x v="2"/>
    <s v="Chennai"/>
    <s v="Furniture"/>
    <s v="Table"/>
    <s v="Table - Furniture"/>
    <x v="654"/>
    <n v="9"/>
    <n v="16"/>
    <n v="573.4"/>
    <s v="Delivered"/>
    <s v="Credit Card"/>
    <s v="11-2024"/>
    <x v="1"/>
    <x v="654"/>
    <s v="Profit"/>
    <s v="Mid (11-20%)"/>
  </r>
  <r>
    <s v="ODR00656"/>
    <d v="2024-08-19T00:00:00"/>
    <s v="Diya Sharma"/>
    <x v="0"/>
    <s v="Patna"/>
    <s v="Office Supplies"/>
    <s v="Pen"/>
    <s v="Pen - Office Supplies"/>
    <x v="655"/>
    <n v="3"/>
    <n v="9"/>
    <n v="187.52"/>
    <s v="In Transit"/>
    <s v="Credit Card"/>
    <s v="08-2024"/>
    <x v="1"/>
    <x v="655"/>
    <s v="Profit"/>
    <s v="Low (1-10%)"/>
  </r>
  <r>
    <s v="ODR00657"/>
    <d v="2025-02-13T00:00:00"/>
    <s v="Riya Kapoor"/>
    <x v="2"/>
    <s v="Chennai"/>
    <s v="Furniture"/>
    <s v="Table"/>
    <s v="Table - Furniture"/>
    <x v="656"/>
    <n v="6"/>
    <n v="11"/>
    <n v="413.26"/>
    <s v="In Transit"/>
    <s v="Net Banking"/>
    <s v="02-2025"/>
    <x v="0"/>
    <x v="656"/>
    <s v="Profit"/>
    <s v="Mid (11-20%)"/>
  </r>
  <r>
    <s v="ODR00658"/>
    <d v="2025-05-09T00:00:00"/>
    <s v="Arjun Verma"/>
    <x v="0"/>
    <s v="Kolkata"/>
    <s v="Furniture"/>
    <s v="Chair"/>
    <s v="Chair - Furniture"/>
    <x v="657"/>
    <n v="10"/>
    <n v="27"/>
    <n v="1693.93"/>
    <s v="Delivered"/>
    <s v="Net Banking"/>
    <s v="05-2025"/>
    <x v="0"/>
    <x v="657"/>
    <s v="Profit"/>
    <s v="High (&gt;20%)"/>
  </r>
  <r>
    <s v="ODR00659"/>
    <d v="2024-05-26T00:00:00"/>
    <s v="Kabir Nair"/>
    <x v="3"/>
    <s v="Nagpur"/>
    <s v="Office Supplies"/>
    <s v="Stapler"/>
    <s v="Stapler - Office Supplies"/>
    <x v="658"/>
    <n v="9"/>
    <n v="7.0000000000000009"/>
    <n v="803.66"/>
    <s v="Returned"/>
    <s v="Net Banking"/>
    <s v="05-2024"/>
    <x v="1"/>
    <x v="658"/>
    <s v="Profit"/>
    <s v="Low (1-10%)"/>
  </r>
  <r>
    <s v="ODR00660"/>
    <d v="2024-12-01T00:00:00"/>
    <s v="Kabir Nair"/>
    <x v="2"/>
    <s v="Chennai"/>
    <s v="Office Supplies"/>
    <s v="Stapler"/>
    <s v="Stapler - Office Supplies"/>
    <x v="659"/>
    <n v="9"/>
    <n v="6"/>
    <n v="3892.55"/>
    <s v="Delivered"/>
    <s v="Cash"/>
    <s v="12-2024"/>
    <x v="1"/>
    <x v="659"/>
    <s v="Profit"/>
    <s v="Low (1-10%)"/>
  </r>
  <r>
    <s v="ODR00661"/>
    <d v="2024-09-21T00:00:00"/>
    <s v="Riya Kapoor"/>
    <x v="2"/>
    <s v="Bangalore"/>
    <s v="Office Supplies"/>
    <s v="Envelope"/>
    <s v="Envelope - Office Supplies"/>
    <x v="660"/>
    <n v="4"/>
    <n v="22"/>
    <n v="499.78"/>
    <s v="Returned"/>
    <s v="Credit Card"/>
    <s v="09-2024"/>
    <x v="1"/>
    <x v="660"/>
    <s v="Profit"/>
    <s v="High (&gt;20%)"/>
  </r>
  <r>
    <s v="ODR00662"/>
    <d v="2025-03-24T00:00:00"/>
    <s v="Aarav Patel"/>
    <x v="0"/>
    <s v="Patna"/>
    <s v="Office Supplies"/>
    <s v="Stapler"/>
    <s v="Stapler - Office Supplies"/>
    <x v="661"/>
    <n v="8"/>
    <n v="15"/>
    <n v="1723.1"/>
    <s v="Returned"/>
    <s v="UPI"/>
    <s v="03-2025"/>
    <x v="0"/>
    <x v="661"/>
    <s v="Profit"/>
    <s v="Mid (11-20%)"/>
  </r>
  <r>
    <s v="ODR00663"/>
    <d v="2024-06-17T00:00:00"/>
    <s v="Krishna Das"/>
    <x v="1"/>
    <s v="Chandigarh"/>
    <s v="Technology"/>
    <s v="Mobile"/>
    <s v="Mobile - Technology"/>
    <x v="662"/>
    <n v="10"/>
    <n v="2"/>
    <n v="256.85000000000002"/>
    <s v="Delivered"/>
    <s v="Cash"/>
    <s v="06-2024"/>
    <x v="1"/>
    <x v="662"/>
    <s v="Profit"/>
    <s v="Low (1-10%)"/>
  </r>
  <r>
    <s v="ODR00664"/>
    <d v="2024-11-14T00:00:00"/>
    <s v="Krishna Das"/>
    <x v="0"/>
    <s v="Kolkata"/>
    <s v="Furniture"/>
    <s v="Chair"/>
    <s v="Chair - Furniture"/>
    <x v="663"/>
    <n v="5"/>
    <n v="7.0000000000000009"/>
    <n v="521.67999999999995"/>
    <s v="Delivered"/>
    <s v="Net Banking"/>
    <s v="11-2024"/>
    <x v="1"/>
    <x v="663"/>
    <s v="Profit"/>
    <s v="Low (1-10%)"/>
  </r>
  <r>
    <s v="ODR00665"/>
    <d v="2025-01-23T00:00:00"/>
    <s v="Kabir Nair"/>
    <x v="3"/>
    <s v="Indore"/>
    <s v="Technology"/>
    <s v="Tablet"/>
    <s v="Tablet - Technology"/>
    <x v="664"/>
    <n v="1"/>
    <n v="2"/>
    <n v="160.55000000000001"/>
    <s v="Delivered"/>
    <s v="Credit Card"/>
    <s v="01-2025"/>
    <x v="0"/>
    <x v="664"/>
    <s v="Profit"/>
    <s v="Low (1-10%)"/>
  </r>
  <r>
    <s v="ODR00666"/>
    <d v="2025-04-17T00:00:00"/>
    <s v="Saanvi Iyer"/>
    <x v="3"/>
    <s v="Mumbai"/>
    <s v="Office Supplies"/>
    <s v="Notebook"/>
    <s v="Notebook - Office Supplies"/>
    <x v="665"/>
    <n v="2"/>
    <n v="4"/>
    <n v="893.26"/>
    <s v="In Transit"/>
    <s v="Net Banking"/>
    <s v="04-2025"/>
    <x v="0"/>
    <x v="665"/>
    <s v="Profit"/>
    <s v="Low (1-10%)"/>
  </r>
  <r>
    <s v="ODR00667"/>
    <d v="2025-03-03T00:00:00"/>
    <s v="Diya Sharma"/>
    <x v="0"/>
    <s v="Patna"/>
    <s v="Office Supplies"/>
    <s v="Envelope"/>
    <s v="Envelope - Office Supplies"/>
    <x v="666"/>
    <n v="8"/>
    <n v="25"/>
    <n v="1349.14"/>
    <s v="Returned"/>
    <s v="Net Banking"/>
    <s v="03-2025"/>
    <x v="0"/>
    <x v="666"/>
    <s v="Profit"/>
    <s v="High (&gt;20%)"/>
  </r>
  <r>
    <s v="ODR00668"/>
    <d v="2025-02-28T00:00:00"/>
    <s v="Kriti Desai"/>
    <x v="2"/>
    <s v="Chennai"/>
    <s v="Office Supplies"/>
    <s v="Pen"/>
    <s v="Pen - Office Supplies"/>
    <x v="667"/>
    <n v="3"/>
    <n v="12"/>
    <n v="510.73"/>
    <s v="Delivered"/>
    <s v="Cash"/>
    <s v="02-2025"/>
    <x v="0"/>
    <x v="667"/>
    <s v="Profit"/>
    <s v="Mid (11-20%)"/>
  </r>
  <r>
    <s v="ODR00669"/>
    <d v="2024-08-17T00:00:00"/>
    <s v="Meera Joshi"/>
    <x v="1"/>
    <s v="Delhi"/>
    <s v="Office Supplies"/>
    <s v="Notebook"/>
    <s v="Notebook - Office Supplies"/>
    <x v="668"/>
    <n v="3"/>
    <n v="22"/>
    <n v="74.239999999999995"/>
    <s v="In Transit"/>
    <s v="Credit Card"/>
    <s v="08-2024"/>
    <x v="1"/>
    <x v="668"/>
    <s v="Profit"/>
    <s v="High (&gt;20%)"/>
  </r>
  <r>
    <s v="ODR00670"/>
    <d v="2024-06-16T00:00:00"/>
    <s v="Kabir Nair"/>
    <x v="2"/>
    <s v="Bangalore"/>
    <s v="Technology"/>
    <s v="Printer"/>
    <s v="Printer - Technology"/>
    <x v="669"/>
    <n v="10"/>
    <n v="12"/>
    <n v="839.27"/>
    <s v="Delivered"/>
    <s v="UPI"/>
    <s v="06-2024"/>
    <x v="1"/>
    <x v="669"/>
    <s v="Profit"/>
    <s v="Mid (11-20%)"/>
  </r>
  <r>
    <s v="ODR00671"/>
    <d v="2024-07-19T00:00:00"/>
    <s v="Anaya Singh"/>
    <x v="2"/>
    <s v="Chennai"/>
    <s v="Technology"/>
    <s v="Tablet"/>
    <s v="Tablet - Technology"/>
    <x v="670"/>
    <n v="2"/>
    <n v="2"/>
    <n v="501.27"/>
    <s v="In Transit"/>
    <s v="Credit Card"/>
    <s v="07-2024"/>
    <x v="1"/>
    <x v="670"/>
    <s v="Profit"/>
    <s v="Low (1-10%)"/>
  </r>
  <r>
    <s v="ODR00672"/>
    <d v="2024-09-26T00:00:00"/>
    <s v="Meera Joshi"/>
    <x v="1"/>
    <s v="Chandigarh"/>
    <s v="Office Supplies"/>
    <s v="Envelope"/>
    <s v="Envelope - Office Supplies"/>
    <x v="671"/>
    <n v="2"/>
    <n v="3"/>
    <n v="465.37"/>
    <s v="Delivered"/>
    <s v="Cash"/>
    <s v="09-2024"/>
    <x v="1"/>
    <x v="671"/>
    <s v="Profit"/>
    <s v="Low (1-10%)"/>
  </r>
  <r>
    <s v="ODR00673"/>
    <d v="2024-06-16T00:00:00"/>
    <s v="Saanvi Iyer"/>
    <x v="0"/>
    <s v="Bhubaneswar"/>
    <s v="Furniture"/>
    <s v="Table"/>
    <s v="Table - Furniture"/>
    <x v="672"/>
    <n v="6"/>
    <n v="18"/>
    <n v="1665.32"/>
    <s v="In Transit"/>
    <s v="Credit Card"/>
    <s v="06-2024"/>
    <x v="1"/>
    <x v="672"/>
    <s v="Profit"/>
    <s v="Mid (11-20%)"/>
  </r>
  <r>
    <s v="ODR00674"/>
    <d v="2024-07-30T00:00:00"/>
    <s v="Anaya Singh"/>
    <x v="3"/>
    <s v="Ahmedabad"/>
    <s v="Office Supplies"/>
    <s v="Envelope"/>
    <s v="Envelope - Office Supplies"/>
    <x v="673"/>
    <n v="10"/>
    <n v="27"/>
    <n v="799.37"/>
    <s v="In Transit"/>
    <s v="UPI"/>
    <s v="07-2024"/>
    <x v="1"/>
    <x v="673"/>
    <s v="Profit"/>
    <s v="High (&gt;20%)"/>
  </r>
  <r>
    <s v="ODR00675"/>
    <d v="2025-02-27T00:00:00"/>
    <s v="Yuvraj Chauhan"/>
    <x v="3"/>
    <s v="Ahmedabad"/>
    <s v="Furniture"/>
    <s v="Sofa"/>
    <s v="Sofa - Furniture"/>
    <x v="674"/>
    <n v="1"/>
    <n v="29"/>
    <n v="74.14"/>
    <s v="In Transit"/>
    <s v="Net Banking"/>
    <s v="02-2025"/>
    <x v="0"/>
    <x v="674"/>
    <s v="Profit"/>
    <s v="High (&gt;20%)"/>
  </r>
  <r>
    <s v="ODR00676"/>
    <d v="2024-12-05T00:00:00"/>
    <s v="Tanishq Ghosh"/>
    <x v="1"/>
    <s v="Lucknow"/>
    <s v="Technology"/>
    <s v="Laptop"/>
    <s v="Laptop - Technology"/>
    <x v="675"/>
    <n v="7"/>
    <n v="17"/>
    <n v="88.93"/>
    <s v="Returned"/>
    <s v="UPI"/>
    <s v="12-2024"/>
    <x v="1"/>
    <x v="675"/>
    <s v="Profit"/>
    <s v="Mid (11-20%)"/>
  </r>
  <r>
    <s v="ODR00677"/>
    <d v="2024-09-17T00:00:00"/>
    <s v="Arjun Verma"/>
    <x v="3"/>
    <s v="Nagpur"/>
    <s v="Furniture"/>
    <s v="Chair"/>
    <s v="Chair - Furniture"/>
    <x v="676"/>
    <n v="3"/>
    <n v="18"/>
    <n v="588.92999999999995"/>
    <s v="Returned"/>
    <s v="UPI"/>
    <s v="09-2024"/>
    <x v="1"/>
    <x v="676"/>
    <s v="Profit"/>
    <s v="Mid (11-20%)"/>
  </r>
  <r>
    <s v="ODR00678"/>
    <d v="2025-01-19T00:00:00"/>
    <s v="Sneha Reddy"/>
    <x v="0"/>
    <s v="Patna"/>
    <s v="Furniture"/>
    <s v="Cupboard"/>
    <s v="Cupboard - Furniture"/>
    <x v="677"/>
    <n v="5"/>
    <n v="18"/>
    <n v="293.39"/>
    <s v="Delivered"/>
    <s v="Net Banking"/>
    <s v="01-2025"/>
    <x v="0"/>
    <x v="677"/>
    <s v="Profit"/>
    <s v="Mid (11-20%)"/>
  </r>
  <r>
    <s v="ODR00679"/>
    <d v="2025-03-09T00:00:00"/>
    <s v="Anaya Singh"/>
    <x v="2"/>
    <s v="Hyderabad"/>
    <s v="Furniture"/>
    <s v="Chair"/>
    <s v="Chair - Furniture"/>
    <x v="678"/>
    <n v="2"/>
    <n v="17"/>
    <n v="472.29"/>
    <s v="Delivered"/>
    <s v="UPI"/>
    <s v="03-2025"/>
    <x v="0"/>
    <x v="678"/>
    <s v="Profit"/>
    <s v="Mid (11-20%)"/>
  </r>
  <r>
    <s v="ODR00680"/>
    <d v="2024-11-26T00:00:00"/>
    <s v="Yuvraj Chauhan"/>
    <x v="2"/>
    <s v="Hyderabad"/>
    <s v="Furniture"/>
    <s v="Cupboard"/>
    <s v="Cupboard - Furniture"/>
    <x v="679"/>
    <n v="3"/>
    <n v="3"/>
    <n v="300.47000000000003"/>
    <s v="Returned"/>
    <s v="Credit Card"/>
    <s v="11-2024"/>
    <x v="1"/>
    <x v="679"/>
    <s v="Profit"/>
    <s v="Low (1-10%)"/>
  </r>
  <r>
    <s v="ODR00681"/>
    <d v="2024-09-03T00:00:00"/>
    <s v="Anaya Singh"/>
    <x v="2"/>
    <s v="Bangalore"/>
    <s v="Technology"/>
    <s v="Printer"/>
    <s v="Printer - Technology"/>
    <x v="680"/>
    <n v="4"/>
    <n v="7.0000000000000009"/>
    <n v="53.38"/>
    <s v="In Transit"/>
    <s v="UPI"/>
    <s v="09-2024"/>
    <x v="1"/>
    <x v="680"/>
    <s v="Profit"/>
    <s v="Low (1-10%)"/>
  </r>
  <r>
    <s v="ODR00682"/>
    <d v="2025-05-05T00:00:00"/>
    <s v="Meera Joshi"/>
    <x v="2"/>
    <s v="Bangalore"/>
    <s v="Technology"/>
    <s v="Laptop"/>
    <s v="Laptop - Technology"/>
    <x v="681"/>
    <n v="3"/>
    <n v="22"/>
    <n v="179.4"/>
    <s v="In Transit"/>
    <s v="Credit Card"/>
    <s v="05-2025"/>
    <x v="0"/>
    <x v="681"/>
    <s v="Profit"/>
    <s v="High (&gt;20%)"/>
  </r>
  <r>
    <s v="ODR00683"/>
    <d v="2025-02-21T00:00:00"/>
    <s v="Aarav Patel"/>
    <x v="2"/>
    <s v="Chennai"/>
    <s v="Office Supplies"/>
    <s v="Pen"/>
    <s v="Pen - Office Supplies"/>
    <x v="682"/>
    <n v="10"/>
    <n v="9"/>
    <n v="910.9"/>
    <s v="Returned"/>
    <s v="Credit Card"/>
    <s v="02-2025"/>
    <x v="0"/>
    <x v="682"/>
    <s v="Profit"/>
    <s v="Low (1-10%)"/>
  </r>
  <r>
    <s v="ODR00684"/>
    <d v="2025-04-14T00:00:00"/>
    <s v="Meera Joshi"/>
    <x v="3"/>
    <s v="Ahmedabad"/>
    <s v="Office Supplies"/>
    <s v="Pen"/>
    <s v="Pen - Office Supplies"/>
    <x v="683"/>
    <n v="6"/>
    <n v="27"/>
    <n v="1197.94"/>
    <s v="In Transit"/>
    <s v="Net Banking"/>
    <s v="04-2025"/>
    <x v="0"/>
    <x v="683"/>
    <s v="Profit"/>
    <s v="High (&gt;20%)"/>
  </r>
  <r>
    <s v="ODR00685"/>
    <d v="2025-03-30T00:00:00"/>
    <s v="Ishaan Mehta"/>
    <x v="0"/>
    <s v="Bhubaneswar"/>
    <s v="Office Supplies"/>
    <s v="Envelope"/>
    <s v="Envelope - Office Supplies"/>
    <x v="684"/>
    <n v="4"/>
    <n v="13"/>
    <n v="705.7"/>
    <s v="Delivered"/>
    <s v="Cash"/>
    <s v="03-2025"/>
    <x v="0"/>
    <x v="684"/>
    <s v="Profit"/>
    <s v="Mid (11-20%)"/>
  </r>
  <r>
    <s v="ODR00686"/>
    <d v="2024-11-26T00:00:00"/>
    <s v="Arjun Verma"/>
    <x v="3"/>
    <s v="Mumbai"/>
    <s v="Furniture"/>
    <s v="Chair"/>
    <s v="Chair - Furniture"/>
    <x v="685"/>
    <n v="8"/>
    <n v="3"/>
    <n v="539.09"/>
    <s v="Returned"/>
    <s v="Cash"/>
    <s v="11-2024"/>
    <x v="1"/>
    <x v="685"/>
    <s v="Profit"/>
    <s v="Low (1-10%)"/>
  </r>
  <r>
    <s v="ODR00687"/>
    <d v="2025-02-14T00:00:00"/>
    <s v="Tanishq Ghosh"/>
    <x v="0"/>
    <s v="Bhubaneswar"/>
    <s v="Office Supplies"/>
    <s v="Pen"/>
    <s v="Pen - Office Supplies"/>
    <x v="686"/>
    <n v="1"/>
    <n v="12"/>
    <n v="55.51"/>
    <s v="In Transit"/>
    <s v="Cash"/>
    <s v="02-2025"/>
    <x v="0"/>
    <x v="686"/>
    <s v="Profit"/>
    <s v="Mid (11-20%)"/>
  </r>
  <r>
    <s v="ODR00688"/>
    <d v="2024-07-12T00:00:00"/>
    <s v="Arjun Verma"/>
    <x v="2"/>
    <s v="Bangalore"/>
    <s v="Technology"/>
    <s v="Mobile"/>
    <s v="Mobile - Technology"/>
    <x v="687"/>
    <n v="2"/>
    <n v="16"/>
    <n v="44.92"/>
    <s v="Returned"/>
    <s v="Credit Card"/>
    <s v="07-2024"/>
    <x v="1"/>
    <x v="687"/>
    <s v="Profit"/>
    <s v="Mid (11-20%)"/>
  </r>
  <r>
    <s v="ODR00689"/>
    <d v="2024-06-19T00:00:00"/>
    <s v="Krishna Das"/>
    <x v="1"/>
    <s v="Delhi"/>
    <s v="Technology"/>
    <s v="Laptop"/>
    <s v="Laptop - Technology"/>
    <x v="688"/>
    <n v="4"/>
    <n v="9"/>
    <n v="262.10000000000002"/>
    <s v="Returned"/>
    <s v="UPI"/>
    <s v="06-2024"/>
    <x v="1"/>
    <x v="688"/>
    <s v="Profit"/>
    <s v="Low (1-10%)"/>
  </r>
  <r>
    <s v="ODR00690"/>
    <d v="2024-10-06T00:00:00"/>
    <s v="Arjun Verma"/>
    <x v="3"/>
    <s v="Nagpur"/>
    <s v="Technology"/>
    <s v="Mobile"/>
    <s v="Mobile - Technology"/>
    <x v="689"/>
    <n v="7"/>
    <n v="17"/>
    <n v="2292.65"/>
    <s v="Delivered"/>
    <s v="Credit Card"/>
    <s v="10-2024"/>
    <x v="1"/>
    <x v="689"/>
    <s v="Profit"/>
    <s v="Mid (11-20%)"/>
  </r>
  <r>
    <s v="ODR00691"/>
    <d v="2024-11-01T00:00:00"/>
    <s v="Ishaan Mehta"/>
    <x v="3"/>
    <s v="Ahmedabad"/>
    <s v="Office Supplies"/>
    <s v="Pen"/>
    <s v="Pen - Office Supplies"/>
    <x v="690"/>
    <n v="4"/>
    <n v="9"/>
    <n v="363.38"/>
    <s v="In Transit"/>
    <s v="UPI"/>
    <s v="11-2024"/>
    <x v="1"/>
    <x v="690"/>
    <s v="Profit"/>
    <s v="Low (1-10%)"/>
  </r>
  <r>
    <s v="ODR00692"/>
    <d v="2024-08-01T00:00:00"/>
    <s v="Krishna Das"/>
    <x v="2"/>
    <s v="Bangalore"/>
    <s v="Furniture"/>
    <s v="Cupboard"/>
    <s v="Cupboard - Furniture"/>
    <x v="691"/>
    <n v="9"/>
    <n v="23"/>
    <n v="1184.94"/>
    <s v="Returned"/>
    <s v="Credit Card"/>
    <s v="08-2024"/>
    <x v="1"/>
    <x v="691"/>
    <s v="Profit"/>
    <s v="High (&gt;20%)"/>
  </r>
  <r>
    <s v="ODR00693"/>
    <d v="2024-06-03T00:00:00"/>
    <s v="Kabir Nair"/>
    <x v="0"/>
    <s v="Patna"/>
    <s v="Office Supplies"/>
    <s v="Envelope"/>
    <s v="Envelope - Office Supplies"/>
    <x v="692"/>
    <n v="7"/>
    <n v="18"/>
    <n v="876.45"/>
    <s v="Returned"/>
    <s v="Net Banking"/>
    <s v="06-2024"/>
    <x v="1"/>
    <x v="692"/>
    <s v="Profit"/>
    <s v="Mid (11-20%)"/>
  </r>
  <r>
    <s v="ODR00694"/>
    <d v="2025-01-20T00:00:00"/>
    <s v="Krishna Das"/>
    <x v="2"/>
    <s v="Bangalore"/>
    <s v="Furniture"/>
    <s v="Chair"/>
    <s v="Chair - Furniture"/>
    <x v="693"/>
    <n v="3"/>
    <n v="12"/>
    <n v="659.67"/>
    <s v="In Transit"/>
    <s v="Credit Card"/>
    <s v="01-2025"/>
    <x v="0"/>
    <x v="693"/>
    <s v="Profit"/>
    <s v="Mid (11-20%)"/>
  </r>
  <r>
    <s v="ODR00695"/>
    <d v="2024-12-27T00:00:00"/>
    <s v="Ishaan Mehta"/>
    <x v="0"/>
    <s v="Patna"/>
    <s v="Furniture"/>
    <s v="Table"/>
    <s v="Table - Furniture"/>
    <x v="694"/>
    <n v="5"/>
    <n v="21"/>
    <n v="55.69"/>
    <s v="In Transit"/>
    <s v="Cash"/>
    <s v="12-2024"/>
    <x v="1"/>
    <x v="694"/>
    <s v="Profit"/>
    <s v="High (&gt;20%)"/>
  </r>
  <r>
    <s v="ODR00696"/>
    <d v="2025-04-08T00:00:00"/>
    <s v="Sneha Reddy"/>
    <x v="1"/>
    <s v="Delhi"/>
    <s v="Office Supplies"/>
    <s v="Pen"/>
    <s v="Pen - Office Supplies"/>
    <x v="695"/>
    <n v="7"/>
    <n v="8"/>
    <n v="989.97"/>
    <s v="Delivered"/>
    <s v="UPI"/>
    <s v="04-2025"/>
    <x v="0"/>
    <x v="695"/>
    <s v="Profit"/>
    <s v="Low (1-10%)"/>
  </r>
  <r>
    <s v="ODR00697"/>
    <d v="2025-02-25T00:00:00"/>
    <s v="Diya Sharma"/>
    <x v="2"/>
    <s v="Hyderabad"/>
    <s v="Technology"/>
    <s v="Tablet"/>
    <s v="Tablet - Technology"/>
    <x v="696"/>
    <n v="7"/>
    <n v="10"/>
    <n v="675.83"/>
    <s v="Returned"/>
    <s v="UPI"/>
    <s v="02-2025"/>
    <x v="0"/>
    <x v="696"/>
    <s v="Profit"/>
    <s v="Low (1-10%)"/>
  </r>
  <r>
    <s v="ODR00698"/>
    <d v="2024-08-06T00:00:00"/>
    <s v="Meera Joshi"/>
    <x v="2"/>
    <s v="Hyderabad"/>
    <s v="Technology"/>
    <s v="Laptop"/>
    <s v="Laptop - Technology"/>
    <x v="697"/>
    <n v="7"/>
    <n v="21"/>
    <n v="1586.64"/>
    <s v="Delivered"/>
    <s v="Cash"/>
    <s v="08-2024"/>
    <x v="1"/>
    <x v="697"/>
    <s v="Profit"/>
    <s v="High (&gt;20%)"/>
  </r>
  <r>
    <s v="ODR00699"/>
    <d v="2025-04-05T00:00:00"/>
    <s v="Krishna Das"/>
    <x v="1"/>
    <s v="Jaipur"/>
    <s v="Furniture"/>
    <s v="Cupboard"/>
    <s v="Cupboard - Furniture"/>
    <x v="698"/>
    <n v="6"/>
    <n v="17"/>
    <n v="946.33"/>
    <s v="Returned"/>
    <s v="UPI"/>
    <s v="04-2025"/>
    <x v="0"/>
    <x v="698"/>
    <s v="Profit"/>
    <s v="Mid (11-20%)"/>
  </r>
  <r>
    <s v="ODR00700"/>
    <d v="2025-02-03T00:00:00"/>
    <s v="Diya Sharma"/>
    <x v="1"/>
    <s v="Jaipur"/>
    <s v="Technology"/>
    <s v="Printer"/>
    <s v="Printer - Technology"/>
    <x v="699"/>
    <n v="7"/>
    <n v="1"/>
    <n v="226.08"/>
    <s v="Delivered"/>
    <s v="UPI"/>
    <s v="02-2025"/>
    <x v="0"/>
    <x v="699"/>
    <s v="Profit"/>
    <s v="Low (1-10%)"/>
  </r>
  <r>
    <s v="ODR00701"/>
    <d v="2024-09-16T00:00:00"/>
    <s v="Saanvi Iyer"/>
    <x v="3"/>
    <s v="Indore"/>
    <s v="Technology"/>
    <s v="Printer"/>
    <s v="Printer - Technology"/>
    <x v="700"/>
    <n v="7"/>
    <n v="5"/>
    <n v="1680.98"/>
    <s v="Returned"/>
    <s v="Credit Card"/>
    <s v="09-2024"/>
    <x v="1"/>
    <x v="700"/>
    <s v="Profit"/>
    <s v="Low (1-10%)"/>
  </r>
  <r>
    <s v="ODR00702"/>
    <d v="2024-05-28T00:00:00"/>
    <s v="Anaya Singh"/>
    <x v="0"/>
    <s v="Bhubaneswar"/>
    <s v="Office Supplies"/>
    <s v="Stapler"/>
    <s v="Stapler - Office Supplies"/>
    <x v="701"/>
    <n v="2"/>
    <n v="6"/>
    <n v="182.53"/>
    <s v="Returned"/>
    <s v="Cash"/>
    <s v="05-2024"/>
    <x v="1"/>
    <x v="701"/>
    <s v="Profit"/>
    <s v="Low (1-10%)"/>
  </r>
  <r>
    <s v="ODR00703"/>
    <d v="2025-04-25T00:00:00"/>
    <s v="Meera Joshi"/>
    <x v="3"/>
    <s v="Indore"/>
    <s v="Technology"/>
    <s v="Mobile"/>
    <s v="Mobile - Technology"/>
    <x v="702"/>
    <n v="9"/>
    <n v="21"/>
    <n v="305.61"/>
    <s v="Delivered"/>
    <s v="Net Banking"/>
    <s v="04-2025"/>
    <x v="0"/>
    <x v="702"/>
    <s v="Profit"/>
    <s v="High (&gt;20%)"/>
  </r>
  <r>
    <s v="ODR00704"/>
    <d v="2024-08-17T00:00:00"/>
    <s v="Anaya Singh"/>
    <x v="0"/>
    <s v="Patna"/>
    <s v="Office Supplies"/>
    <s v="Pen"/>
    <s v="Pen - Office Supplies"/>
    <x v="703"/>
    <n v="2"/>
    <n v="6"/>
    <n v="690.45"/>
    <s v="Delivered"/>
    <s v="Net Banking"/>
    <s v="08-2024"/>
    <x v="1"/>
    <x v="703"/>
    <s v="Profit"/>
    <s v="Low (1-10%)"/>
  </r>
  <r>
    <s v="ODR00705"/>
    <d v="2025-02-11T00:00:00"/>
    <s v="Riya Kapoor"/>
    <x v="1"/>
    <s v="Jaipur"/>
    <s v="Furniture"/>
    <s v="Cupboard"/>
    <s v="Cupboard - Furniture"/>
    <x v="704"/>
    <n v="8"/>
    <n v="28"/>
    <n v="794.85"/>
    <s v="Delivered"/>
    <s v="Net Banking"/>
    <s v="02-2025"/>
    <x v="0"/>
    <x v="704"/>
    <s v="Profit"/>
    <s v="High (&gt;20%)"/>
  </r>
  <r>
    <s v="ODR00706"/>
    <d v="2025-01-11T00:00:00"/>
    <s v="Vivaan Shah"/>
    <x v="2"/>
    <s v="Chennai"/>
    <s v="Office Supplies"/>
    <s v="Pen"/>
    <s v="Pen - Office Supplies"/>
    <x v="705"/>
    <n v="1"/>
    <n v="19"/>
    <n v="300.94"/>
    <s v="Returned"/>
    <s v="Credit Card"/>
    <s v="01-2025"/>
    <x v="0"/>
    <x v="705"/>
    <s v="Profit"/>
    <s v="Mid (11-20%)"/>
  </r>
  <r>
    <s v="ODR00707"/>
    <d v="2025-05-05T00:00:00"/>
    <s v="Sneha Reddy"/>
    <x v="3"/>
    <s v="Mumbai"/>
    <s v="Technology"/>
    <s v="Mobile"/>
    <s v="Mobile - Technology"/>
    <x v="706"/>
    <n v="2"/>
    <n v="12"/>
    <n v="500.35"/>
    <s v="Delivered"/>
    <s v="Net Banking"/>
    <s v="05-2025"/>
    <x v="0"/>
    <x v="706"/>
    <s v="Profit"/>
    <s v="Mid (11-20%)"/>
  </r>
  <r>
    <s v="ODR00708"/>
    <d v="2024-10-09T00:00:00"/>
    <s v="Sneha Reddy"/>
    <x v="1"/>
    <s v="Delhi"/>
    <s v="Technology"/>
    <s v="Laptop"/>
    <s v="Laptop - Technology"/>
    <x v="707"/>
    <n v="10"/>
    <n v="6"/>
    <n v="1754.87"/>
    <s v="Returned"/>
    <s v="Net Banking"/>
    <s v="10-2024"/>
    <x v="1"/>
    <x v="707"/>
    <s v="Profit"/>
    <s v="Low (1-10%)"/>
  </r>
  <r>
    <s v="ODR00709"/>
    <d v="2025-04-06T00:00:00"/>
    <s v="Aarav Patel"/>
    <x v="2"/>
    <s v="Bangalore"/>
    <s v="Furniture"/>
    <s v="Chair"/>
    <s v="Chair - Furniture"/>
    <x v="708"/>
    <n v="5"/>
    <n v="11"/>
    <n v="502.63"/>
    <s v="Delivered"/>
    <s v="UPI"/>
    <s v="04-2025"/>
    <x v="0"/>
    <x v="708"/>
    <s v="Profit"/>
    <s v="Mid (11-20%)"/>
  </r>
  <r>
    <s v="ODR00710"/>
    <d v="2025-03-21T00:00:00"/>
    <s v="Krishna Das"/>
    <x v="2"/>
    <s v="Hyderabad"/>
    <s v="Technology"/>
    <s v="Tablet"/>
    <s v="Tablet - Technology"/>
    <x v="709"/>
    <n v="8"/>
    <n v="24"/>
    <n v="552.21"/>
    <s v="Delivered"/>
    <s v="Cash"/>
    <s v="03-2025"/>
    <x v="0"/>
    <x v="709"/>
    <s v="Profit"/>
    <s v="High (&gt;20%)"/>
  </r>
  <r>
    <s v="ODR00711"/>
    <d v="2025-03-26T00:00:00"/>
    <s v="Anaya Singh"/>
    <x v="2"/>
    <s v="Chennai"/>
    <s v="Technology"/>
    <s v="Laptop"/>
    <s v="Laptop - Technology"/>
    <x v="710"/>
    <n v="10"/>
    <n v="18"/>
    <n v="1091.53"/>
    <s v="Returned"/>
    <s v="Net Banking"/>
    <s v="03-2025"/>
    <x v="0"/>
    <x v="710"/>
    <s v="Profit"/>
    <s v="Mid (11-20%)"/>
  </r>
  <r>
    <s v="ODR00712"/>
    <d v="2025-01-02T00:00:00"/>
    <s v="Diya Sharma"/>
    <x v="1"/>
    <s v="Jaipur"/>
    <s v="Office Supplies"/>
    <s v="Envelope"/>
    <s v="Envelope - Office Supplies"/>
    <x v="711"/>
    <n v="6"/>
    <n v="28"/>
    <n v="983.75"/>
    <s v="Returned"/>
    <s v="UPI"/>
    <s v="01-2025"/>
    <x v="0"/>
    <x v="711"/>
    <s v="Profit"/>
    <s v="High (&gt;20%)"/>
  </r>
  <r>
    <s v="ODR00713"/>
    <d v="2025-03-06T00:00:00"/>
    <s v="Krishna Das"/>
    <x v="0"/>
    <s v="Kolkata"/>
    <s v="Office Supplies"/>
    <s v="Pen"/>
    <s v="Pen - Office Supplies"/>
    <x v="712"/>
    <n v="4"/>
    <n v="25"/>
    <n v="805.92"/>
    <s v="Delivered"/>
    <s v="Net Banking"/>
    <s v="03-2025"/>
    <x v="0"/>
    <x v="712"/>
    <s v="Profit"/>
    <s v="High (&gt;20%)"/>
  </r>
  <r>
    <s v="ODR00714"/>
    <d v="2024-08-08T00:00:00"/>
    <s v="Saanvi Iyer"/>
    <x v="0"/>
    <s v="Kolkata"/>
    <s v="Office Supplies"/>
    <s v="Envelope"/>
    <s v="Envelope - Office Supplies"/>
    <x v="713"/>
    <n v="3"/>
    <n v="16"/>
    <n v="399.48"/>
    <s v="Delivered"/>
    <s v="Net Banking"/>
    <s v="08-2024"/>
    <x v="1"/>
    <x v="713"/>
    <s v="Profit"/>
    <s v="Mid (11-20%)"/>
  </r>
  <r>
    <s v="ODR00715"/>
    <d v="2025-03-04T00:00:00"/>
    <s v="Riya Kapoor"/>
    <x v="1"/>
    <s v="Lucknow"/>
    <s v="Technology"/>
    <s v="Mobile"/>
    <s v="Mobile - Technology"/>
    <x v="714"/>
    <n v="1"/>
    <n v="26"/>
    <n v="111.51"/>
    <s v="Delivered"/>
    <s v="Net Banking"/>
    <s v="03-2025"/>
    <x v="0"/>
    <x v="714"/>
    <s v="Profit"/>
    <s v="High (&gt;20%)"/>
  </r>
  <r>
    <s v="ODR00716"/>
    <d v="2025-01-26T00:00:00"/>
    <s v="Tanishq Ghosh"/>
    <x v="2"/>
    <s v="Bangalore"/>
    <s v="Technology"/>
    <s v="Printer"/>
    <s v="Printer - Technology"/>
    <x v="715"/>
    <n v="10"/>
    <n v="11"/>
    <n v="200.27"/>
    <s v="In Transit"/>
    <s v="UPI"/>
    <s v="01-2025"/>
    <x v="0"/>
    <x v="715"/>
    <s v="Profit"/>
    <s v="Mid (11-20%)"/>
  </r>
  <r>
    <s v="ODR00717"/>
    <d v="2024-05-12T00:00:00"/>
    <s v="Arjun Verma"/>
    <x v="1"/>
    <s v="Lucknow"/>
    <s v="Furniture"/>
    <s v="Cupboard"/>
    <s v="Cupboard - Furniture"/>
    <x v="716"/>
    <n v="9"/>
    <n v="6"/>
    <n v="1909.54"/>
    <s v="Delivered"/>
    <s v="Net Banking"/>
    <s v="05-2024"/>
    <x v="1"/>
    <x v="716"/>
    <s v="Profit"/>
    <s v="Low (1-10%)"/>
  </r>
  <r>
    <s v="ODR00718"/>
    <d v="2025-03-25T00:00:00"/>
    <s v="Tanishq Ghosh"/>
    <x v="3"/>
    <s v="Ahmedabad"/>
    <s v="Technology"/>
    <s v="Printer"/>
    <s v="Printer - Technology"/>
    <x v="717"/>
    <n v="2"/>
    <n v="13"/>
    <n v="495.67"/>
    <s v="In Transit"/>
    <s v="Credit Card"/>
    <s v="03-2025"/>
    <x v="0"/>
    <x v="717"/>
    <s v="Profit"/>
    <s v="Mid (11-20%)"/>
  </r>
  <r>
    <s v="ODR00719"/>
    <d v="2024-06-30T00:00:00"/>
    <s v="Diya Sharma"/>
    <x v="3"/>
    <s v="Ahmedabad"/>
    <s v="Furniture"/>
    <s v="Chair"/>
    <s v="Chair - Furniture"/>
    <x v="718"/>
    <n v="7"/>
    <n v="28"/>
    <n v="611.62"/>
    <s v="Delivered"/>
    <s v="UPI"/>
    <s v="06-2024"/>
    <x v="1"/>
    <x v="718"/>
    <s v="Profit"/>
    <s v="High (&gt;20%)"/>
  </r>
  <r>
    <s v="ODR00720"/>
    <d v="2025-03-13T00:00:00"/>
    <s v="Anaya Singh"/>
    <x v="0"/>
    <s v="Patna"/>
    <s v="Technology"/>
    <s v="Mobile"/>
    <s v="Mobile - Technology"/>
    <x v="719"/>
    <n v="4"/>
    <n v="11"/>
    <n v="1116.1400000000001"/>
    <s v="In Transit"/>
    <s v="Net Banking"/>
    <s v="03-2025"/>
    <x v="0"/>
    <x v="719"/>
    <s v="Profit"/>
    <s v="Mid (11-20%)"/>
  </r>
  <r>
    <s v="ODR00721"/>
    <d v="2025-04-06T00:00:00"/>
    <s v="Meera Joshi"/>
    <x v="0"/>
    <s v="Kolkata"/>
    <s v="Furniture"/>
    <s v="Chair"/>
    <s v="Chair - Furniture"/>
    <x v="720"/>
    <n v="3"/>
    <n v="11"/>
    <n v="296.75"/>
    <s v="Returned"/>
    <s v="Cash"/>
    <s v="04-2025"/>
    <x v="0"/>
    <x v="720"/>
    <s v="Profit"/>
    <s v="Mid (11-20%)"/>
  </r>
  <r>
    <s v="ODR00722"/>
    <d v="2025-05-10T00:00:00"/>
    <s v="Yuvraj Chauhan"/>
    <x v="2"/>
    <s v="Chennai"/>
    <s v="Technology"/>
    <s v="Laptop"/>
    <s v="Laptop - Technology"/>
    <x v="721"/>
    <n v="3"/>
    <n v="29"/>
    <n v="340.33"/>
    <s v="Returned"/>
    <s v="UPI"/>
    <s v="05-2025"/>
    <x v="0"/>
    <x v="721"/>
    <s v="Profit"/>
    <s v="High (&gt;20%)"/>
  </r>
  <r>
    <s v="ODR00723"/>
    <d v="2025-03-15T00:00:00"/>
    <s v="Tanishq Ghosh"/>
    <x v="3"/>
    <s v="Indore"/>
    <s v="Technology"/>
    <s v="Laptop"/>
    <s v="Laptop - Technology"/>
    <x v="722"/>
    <n v="5"/>
    <n v="20"/>
    <n v="955.66"/>
    <s v="Delivered"/>
    <s v="Cash"/>
    <s v="03-2025"/>
    <x v="0"/>
    <x v="722"/>
    <s v="Profit"/>
    <s v="Mid (11-20%)"/>
  </r>
  <r>
    <s v="ODR00724"/>
    <d v="2024-11-21T00:00:00"/>
    <s v="Kriti Desai"/>
    <x v="2"/>
    <s v="Bangalore"/>
    <s v="Office Supplies"/>
    <s v="Envelope"/>
    <s v="Envelope - Office Supplies"/>
    <x v="723"/>
    <n v="9"/>
    <n v="9"/>
    <n v="820.54"/>
    <s v="In Transit"/>
    <s v="Net Banking"/>
    <s v="11-2024"/>
    <x v="1"/>
    <x v="723"/>
    <s v="Profit"/>
    <s v="Low (1-10%)"/>
  </r>
  <r>
    <s v="ODR00725"/>
    <d v="2025-04-22T00:00:00"/>
    <s v="Saanvi Iyer"/>
    <x v="3"/>
    <s v="Pune"/>
    <s v="Technology"/>
    <s v="Mobile"/>
    <s v="Mobile - Technology"/>
    <x v="724"/>
    <n v="8"/>
    <n v="10"/>
    <n v="1020.26"/>
    <s v="Delivered"/>
    <s v="Credit Card"/>
    <s v="04-2025"/>
    <x v="0"/>
    <x v="724"/>
    <s v="Profit"/>
    <s v="Low (1-10%)"/>
  </r>
  <r>
    <s v="ODR00726"/>
    <d v="2024-05-18T00:00:00"/>
    <s v="Yuvraj Chauhan"/>
    <x v="2"/>
    <s v="Bangalore"/>
    <s v="Technology"/>
    <s v="Laptop"/>
    <s v="Laptop - Technology"/>
    <x v="725"/>
    <n v="7"/>
    <n v="0"/>
    <n v="169.1"/>
    <s v="In Transit"/>
    <s v="Net Banking"/>
    <s v="05-2024"/>
    <x v="1"/>
    <x v="725"/>
    <s v="Profit"/>
    <s v="No Discount"/>
  </r>
  <r>
    <s v="ODR00727"/>
    <d v="2024-06-16T00:00:00"/>
    <s v="Kabir Nair"/>
    <x v="3"/>
    <s v="Mumbai"/>
    <s v="Office Supplies"/>
    <s v="Stapler"/>
    <s v="Stapler - Office Supplies"/>
    <x v="726"/>
    <n v="5"/>
    <n v="23"/>
    <n v="1117.0899999999999"/>
    <s v="In Transit"/>
    <s v="Net Banking"/>
    <s v="06-2024"/>
    <x v="1"/>
    <x v="726"/>
    <s v="Profit"/>
    <s v="High (&gt;20%)"/>
  </r>
  <r>
    <s v="ODR00728"/>
    <d v="2025-03-25T00:00:00"/>
    <s v="Arjun Verma"/>
    <x v="3"/>
    <s v="Mumbai"/>
    <s v="Technology"/>
    <s v="Mobile"/>
    <s v="Mobile - Technology"/>
    <x v="727"/>
    <n v="1"/>
    <n v="0"/>
    <n v="141.38"/>
    <s v="Returned"/>
    <s v="Cash"/>
    <s v="03-2025"/>
    <x v="0"/>
    <x v="727"/>
    <s v="Profit"/>
    <s v="No Discount"/>
  </r>
  <r>
    <s v="ODR00729"/>
    <d v="2024-08-26T00:00:00"/>
    <s v="Krishna Das"/>
    <x v="0"/>
    <s v="Bhubaneswar"/>
    <s v="Office Supplies"/>
    <s v="Pen"/>
    <s v="Pen - Office Supplies"/>
    <x v="728"/>
    <n v="10"/>
    <n v="3"/>
    <n v="1467.37"/>
    <s v="In Transit"/>
    <s v="Cash"/>
    <s v="08-2024"/>
    <x v="1"/>
    <x v="728"/>
    <s v="Profit"/>
    <s v="Low (1-10%)"/>
  </r>
  <r>
    <s v="ODR00730"/>
    <d v="2024-09-13T00:00:00"/>
    <s v="Vivaan Shah"/>
    <x v="3"/>
    <s v="Ahmedabad"/>
    <s v="Furniture"/>
    <s v="Cupboard"/>
    <s v="Cupboard - Furniture"/>
    <x v="729"/>
    <n v="3"/>
    <n v="25"/>
    <n v="486.23"/>
    <s v="Returned"/>
    <s v="UPI"/>
    <s v="09-2024"/>
    <x v="1"/>
    <x v="729"/>
    <s v="Profit"/>
    <s v="High (&gt;20%)"/>
  </r>
  <r>
    <s v="ODR00731"/>
    <d v="2024-10-10T00:00:00"/>
    <s v="Kabir Nair"/>
    <x v="1"/>
    <s v="Jaipur"/>
    <s v="Office Supplies"/>
    <s v="Stapler"/>
    <s v="Stapler - Office Supplies"/>
    <x v="730"/>
    <n v="6"/>
    <n v="5"/>
    <n v="469.73"/>
    <s v="In Transit"/>
    <s v="UPI"/>
    <s v="10-2024"/>
    <x v="1"/>
    <x v="730"/>
    <s v="Profit"/>
    <s v="Low (1-10%)"/>
  </r>
  <r>
    <s v="ODR00732"/>
    <d v="2024-08-21T00:00:00"/>
    <s v="Aarav Patel"/>
    <x v="0"/>
    <s v="Bhubaneswar"/>
    <s v="Technology"/>
    <s v="Laptop"/>
    <s v="Laptop - Technology"/>
    <x v="731"/>
    <n v="5"/>
    <n v="21"/>
    <n v="928.17"/>
    <s v="In Transit"/>
    <s v="Cash"/>
    <s v="08-2024"/>
    <x v="1"/>
    <x v="731"/>
    <s v="Profit"/>
    <s v="High (&gt;20%)"/>
  </r>
  <r>
    <s v="ODR00733"/>
    <d v="2025-04-04T00:00:00"/>
    <s v="Yuvraj Chauhan"/>
    <x v="3"/>
    <s v="Indore"/>
    <s v="Furniture"/>
    <s v="Cupboard"/>
    <s v="Cupboard - Furniture"/>
    <x v="732"/>
    <n v="3"/>
    <n v="29"/>
    <n v="460.27"/>
    <s v="In Transit"/>
    <s v="Net Banking"/>
    <s v="04-2025"/>
    <x v="0"/>
    <x v="732"/>
    <s v="Profit"/>
    <s v="High (&gt;20%)"/>
  </r>
  <r>
    <s v="ODR00734"/>
    <d v="2024-07-30T00:00:00"/>
    <s v="Saanvi Iyer"/>
    <x v="2"/>
    <s v="Bangalore"/>
    <s v="Office Supplies"/>
    <s v="Notebook"/>
    <s v="Notebook - Office Supplies"/>
    <x v="733"/>
    <n v="10"/>
    <n v="22"/>
    <n v="1188.54"/>
    <s v="Returned"/>
    <s v="Net Banking"/>
    <s v="07-2024"/>
    <x v="1"/>
    <x v="733"/>
    <s v="Profit"/>
    <s v="High (&gt;20%)"/>
  </r>
  <r>
    <s v="ODR00735"/>
    <d v="2024-08-16T00:00:00"/>
    <s v="Yuvraj Chauhan"/>
    <x v="1"/>
    <s v="Chandigarh"/>
    <s v="Technology"/>
    <s v="Mobile"/>
    <s v="Mobile - Technology"/>
    <x v="734"/>
    <n v="5"/>
    <n v="25"/>
    <n v="1381.16"/>
    <s v="Returned"/>
    <s v="Net Banking"/>
    <s v="08-2024"/>
    <x v="1"/>
    <x v="734"/>
    <s v="Profit"/>
    <s v="High (&gt;20%)"/>
  </r>
  <r>
    <s v="ODR00736"/>
    <d v="2024-10-10T00:00:00"/>
    <s v="Kabir Nair"/>
    <x v="0"/>
    <s v="Bhubaneswar"/>
    <s v="Office Supplies"/>
    <s v="Stapler"/>
    <s v="Stapler - Office Supplies"/>
    <x v="735"/>
    <n v="4"/>
    <n v="9"/>
    <n v="179.14"/>
    <s v="In Transit"/>
    <s v="UPI"/>
    <s v="10-2024"/>
    <x v="1"/>
    <x v="735"/>
    <s v="Profit"/>
    <s v="Low (1-10%)"/>
  </r>
  <r>
    <s v="ODR00737"/>
    <d v="2024-12-23T00:00:00"/>
    <s v="Kabir Nair"/>
    <x v="1"/>
    <s v="Lucknow"/>
    <s v="Office Supplies"/>
    <s v="Notebook"/>
    <s v="Notebook - Office Supplies"/>
    <x v="736"/>
    <n v="8"/>
    <n v="21"/>
    <n v="1633.95"/>
    <s v="In Transit"/>
    <s v="UPI"/>
    <s v="12-2024"/>
    <x v="1"/>
    <x v="736"/>
    <s v="Profit"/>
    <s v="High (&gt;20%)"/>
  </r>
  <r>
    <s v="ODR00738"/>
    <d v="2024-06-06T00:00:00"/>
    <s v="Saanvi Iyer"/>
    <x v="3"/>
    <s v="Pune"/>
    <s v="Furniture"/>
    <s v="Chair"/>
    <s v="Chair - Furniture"/>
    <x v="737"/>
    <n v="8"/>
    <n v="7.0000000000000009"/>
    <n v="864.94"/>
    <s v="Returned"/>
    <s v="Net Banking"/>
    <s v="06-2024"/>
    <x v="1"/>
    <x v="737"/>
    <s v="Profit"/>
    <s v="Low (1-10%)"/>
  </r>
  <r>
    <s v="ODR00739"/>
    <d v="2024-12-18T00:00:00"/>
    <s v="Meera Joshi"/>
    <x v="2"/>
    <s v="Hyderabad"/>
    <s v="Technology"/>
    <s v="Laptop"/>
    <s v="Laptop - Technology"/>
    <x v="738"/>
    <n v="10"/>
    <n v="20"/>
    <n v="1412.52"/>
    <s v="Returned"/>
    <s v="UPI"/>
    <s v="12-2024"/>
    <x v="1"/>
    <x v="738"/>
    <s v="Profit"/>
    <s v="Mid (11-20%)"/>
  </r>
  <r>
    <s v="ODR00740"/>
    <d v="2024-05-22T00:00:00"/>
    <s v="Anaya Singh"/>
    <x v="3"/>
    <s v="Nagpur"/>
    <s v="Technology"/>
    <s v="Mobile"/>
    <s v="Mobile - Technology"/>
    <x v="739"/>
    <n v="9"/>
    <n v="21"/>
    <n v="442.02"/>
    <s v="Delivered"/>
    <s v="Net Banking"/>
    <s v="05-2024"/>
    <x v="1"/>
    <x v="739"/>
    <s v="Profit"/>
    <s v="High (&gt;20%)"/>
  </r>
  <r>
    <s v="ODR00741"/>
    <d v="2024-07-13T00:00:00"/>
    <s v="Saanvi Iyer"/>
    <x v="0"/>
    <s v="Kolkata"/>
    <s v="Furniture"/>
    <s v="Chair"/>
    <s v="Chair - Furniture"/>
    <x v="740"/>
    <n v="1"/>
    <n v="11"/>
    <n v="141.61000000000001"/>
    <s v="Returned"/>
    <s v="Net Banking"/>
    <s v="07-2024"/>
    <x v="1"/>
    <x v="740"/>
    <s v="Profit"/>
    <s v="Mid (11-20%)"/>
  </r>
  <r>
    <s v="ODR00742"/>
    <d v="2025-03-03T00:00:00"/>
    <s v="Yuvraj Chauhan"/>
    <x v="2"/>
    <s v="Hyderabad"/>
    <s v="Office Supplies"/>
    <s v="Stapler"/>
    <s v="Stapler - Office Supplies"/>
    <x v="741"/>
    <n v="9"/>
    <n v="2"/>
    <n v="1936.89"/>
    <s v="In Transit"/>
    <s v="Net Banking"/>
    <s v="03-2025"/>
    <x v="0"/>
    <x v="741"/>
    <s v="Profit"/>
    <s v="Low (1-10%)"/>
  </r>
  <r>
    <s v="ODR00743"/>
    <d v="2024-10-03T00:00:00"/>
    <s v="Tanishq Ghosh"/>
    <x v="0"/>
    <s v="Patna"/>
    <s v="Furniture"/>
    <s v="Table"/>
    <s v="Table - Furniture"/>
    <x v="742"/>
    <n v="10"/>
    <n v="29"/>
    <n v="1598.71"/>
    <s v="Returned"/>
    <s v="Net Banking"/>
    <s v="10-2024"/>
    <x v="1"/>
    <x v="742"/>
    <s v="Profit"/>
    <s v="High (&gt;20%)"/>
  </r>
  <r>
    <s v="ODR00744"/>
    <d v="2024-06-13T00:00:00"/>
    <s v="Anaya Singh"/>
    <x v="3"/>
    <s v="Indore"/>
    <s v="Furniture"/>
    <s v="Table"/>
    <s v="Table - Furniture"/>
    <x v="743"/>
    <n v="6"/>
    <n v="14"/>
    <n v="195.79"/>
    <s v="Returned"/>
    <s v="UPI"/>
    <s v="06-2024"/>
    <x v="1"/>
    <x v="743"/>
    <s v="Profit"/>
    <s v="Mid (11-20%)"/>
  </r>
  <r>
    <s v="ODR00745"/>
    <d v="2025-01-08T00:00:00"/>
    <s v="Kabir Nair"/>
    <x v="3"/>
    <s v="Ahmedabad"/>
    <s v="Technology"/>
    <s v="Tablet"/>
    <s v="Tablet - Technology"/>
    <x v="744"/>
    <n v="3"/>
    <n v="10"/>
    <n v="602.45000000000005"/>
    <s v="Delivered"/>
    <s v="Cash"/>
    <s v="01-2025"/>
    <x v="0"/>
    <x v="744"/>
    <s v="Profit"/>
    <s v="Low (1-10%)"/>
  </r>
  <r>
    <s v="ODR00746"/>
    <d v="2025-02-05T00:00:00"/>
    <s v="Arjun Verma"/>
    <x v="0"/>
    <s v="Patna"/>
    <s v="Office Supplies"/>
    <s v="Pen"/>
    <s v="Pen - Office Supplies"/>
    <x v="745"/>
    <n v="4"/>
    <n v="21"/>
    <n v="809.44"/>
    <s v="Returned"/>
    <s v="Credit Card"/>
    <s v="02-2025"/>
    <x v="0"/>
    <x v="745"/>
    <s v="Profit"/>
    <s v="High (&gt;20%)"/>
  </r>
  <r>
    <s v="ODR00747"/>
    <d v="2024-12-26T00:00:00"/>
    <s v="Saanvi Iyer"/>
    <x v="2"/>
    <s v="Bangalore"/>
    <s v="Technology"/>
    <s v="Mobile"/>
    <s v="Mobile - Technology"/>
    <x v="746"/>
    <n v="6"/>
    <n v="4"/>
    <n v="234.19"/>
    <s v="Delivered"/>
    <s v="Credit Card"/>
    <s v="12-2024"/>
    <x v="1"/>
    <x v="746"/>
    <s v="Profit"/>
    <s v="Low (1-10%)"/>
  </r>
  <r>
    <s v="ODR00748"/>
    <d v="2024-06-18T00:00:00"/>
    <s v="Riya Kapoor"/>
    <x v="3"/>
    <s v="Mumbai"/>
    <s v="Office Supplies"/>
    <s v="Envelope"/>
    <s v="Envelope - Office Supplies"/>
    <x v="747"/>
    <n v="7"/>
    <n v="2"/>
    <n v="945.75"/>
    <s v="Returned"/>
    <s v="Net Banking"/>
    <s v="06-2024"/>
    <x v="1"/>
    <x v="747"/>
    <s v="Profit"/>
    <s v="Low (1-10%)"/>
  </r>
  <r>
    <s v="ODR00749"/>
    <d v="2024-07-08T00:00:00"/>
    <s v="Saanvi Iyer"/>
    <x v="2"/>
    <s v="Chennai"/>
    <s v="Office Supplies"/>
    <s v="Notebook"/>
    <s v="Notebook - Office Supplies"/>
    <x v="748"/>
    <n v="3"/>
    <n v="26"/>
    <n v="651.08000000000004"/>
    <s v="Delivered"/>
    <s v="Net Banking"/>
    <s v="07-2024"/>
    <x v="1"/>
    <x v="748"/>
    <s v="Profit"/>
    <s v="High (&gt;20%)"/>
  </r>
  <r>
    <s v="ODR00750"/>
    <d v="2024-12-15T00:00:00"/>
    <s v="Vivaan Shah"/>
    <x v="1"/>
    <s v="Jaipur"/>
    <s v="Office Supplies"/>
    <s v="Envelope"/>
    <s v="Envelope - Office Supplies"/>
    <x v="749"/>
    <n v="5"/>
    <n v="25"/>
    <n v="1075.51"/>
    <s v="Returned"/>
    <s v="UPI"/>
    <s v="12-2024"/>
    <x v="1"/>
    <x v="749"/>
    <s v="Profit"/>
    <s v="High (&gt;20%)"/>
  </r>
  <r>
    <s v="ODR00751"/>
    <d v="2024-12-15T00:00:00"/>
    <s v="Kabir Nair"/>
    <x v="3"/>
    <s v="Mumbai"/>
    <s v="Technology"/>
    <s v="Tablet"/>
    <s v="Tablet - Technology"/>
    <x v="750"/>
    <n v="2"/>
    <n v="9"/>
    <n v="106.43"/>
    <s v="Delivered"/>
    <s v="Credit Card"/>
    <s v="12-2024"/>
    <x v="1"/>
    <x v="750"/>
    <s v="Profit"/>
    <s v="Low (1-10%)"/>
  </r>
  <r>
    <s v="ODR00752"/>
    <d v="2024-08-10T00:00:00"/>
    <s v="Ishaan Mehta"/>
    <x v="0"/>
    <s v="Kolkata"/>
    <s v="Technology"/>
    <s v="Printer"/>
    <s v="Printer - Technology"/>
    <x v="751"/>
    <n v="9"/>
    <n v="25"/>
    <n v="227.88"/>
    <s v="In Transit"/>
    <s v="UPI"/>
    <s v="08-2024"/>
    <x v="1"/>
    <x v="751"/>
    <s v="Profit"/>
    <s v="High (&gt;20%)"/>
  </r>
  <r>
    <s v="ODR00753"/>
    <d v="2025-05-09T00:00:00"/>
    <s v="Riya Kapoor"/>
    <x v="1"/>
    <s v="Jaipur"/>
    <s v="Office Supplies"/>
    <s v="Pen"/>
    <s v="Pen - Office Supplies"/>
    <x v="752"/>
    <n v="9"/>
    <n v="8"/>
    <n v="3065.99"/>
    <s v="In Transit"/>
    <s v="Cash"/>
    <s v="05-2025"/>
    <x v="0"/>
    <x v="752"/>
    <s v="Profit"/>
    <s v="Low (1-10%)"/>
  </r>
  <r>
    <s v="ODR00754"/>
    <d v="2024-12-23T00:00:00"/>
    <s v="Kabir Nair"/>
    <x v="3"/>
    <s v="Pune"/>
    <s v="Office Supplies"/>
    <s v="Stapler"/>
    <s v="Stapler - Office Supplies"/>
    <x v="753"/>
    <n v="10"/>
    <n v="21"/>
    <n v="3043.46"/>
    <s v="Returned"/>
    <s v="Cash"/>
    <s v="12-2024"/>
    <x v="1"/>
    <x v="753"/>
    <s v="Profit"/>
    <s v="High (&gt;20%)"/>
  </r>
  <r>
    <s v="ODR00755"/>
    <d v="2024-05-26T00:00:00"/>
    <s v="Kabir Nair"/>
    <x v="3"/>
    <s v="Pune"/>
    <s v="Technology"/>
    <s v="Mobile"/>
    <s v="Mobile - Technology"/>
    <x v="754"/>
    <n v="1"/>
    <n v="25"/>
    <n v="102.68"/>
    <s v="Returned"/>
    <s v="Credit Card"/>
    <s v="05-2024"/>
    <x v="1"/>
    <x v="754"/>
    <s v="Profit"/>
    <s v="High (&gt;20%)"/>
  </r>
  <r>
    <s v="ODR00756"/>
    <d v="2024-06-10T00:00:00"/>
    <s v="Kabir Nair"/>
    <x v="1"/>
    <s v="Delhi"/>
    <s v="Furniture"/>
    <s v="Cupboard"/>
    <s v="Cupboard - Furniture"/>
    <x v="755"/>
    <n v="6"/>
    <n v="18"/>
    <n v="852.86"/>
    <s v="In Transit"/>
    <s v="Credit Card"/>
    <s v="06-2024"/>
    <x v="1"/>
    <x v="755"/>
    <s v="Profit"/>
    <s v="Mid (11-20%)"/>
  </r>
  <r>
    <s v="ODR00757"/>
    <d v="2024-09-15T00:00:00"/>
    <s v="Ishaan Mehta"/>
    <x v="0"/>
    <s v="Bhubaneswar"/>
    <s v="Furniture"/>
    <s v="Table"/>
    <s v="Table - Furniture"/>
    <x v="756"/>
    <n v="3"/>
    <n v="27"/>
    <n v="297.99"/>
    <s v="Returned"/>
    <s v="Net Banking"/>
    <s v="09-2024"/>
    <x v="1"/>
    <x v="756"/>
    <s v="Profit"/>
    <s v="High (&gt;20%)"/>
  </r>
  <r>
    <s v="ODR00758"/>
    <d v="2024-08-22T00:00:00"/>
    <s v="Sneha Reddy"/>
    <x v="1"/>
    <s v="Lucknow"/>
    <s v="Technology"/>
    <s v="Printer"/>
    <s v="Printer - Technology"/>
    <x v="757"/>
    <n v="4"/>
    <n v="25"/>
    <n v="553.41999999999996"/>
    <s v="Delivered"/>
    <s v="UPI"/>
    <s v="08-2024"/>
    <x v="1"/>
    <x v="757"/>
    <s v="Profit"/>
    <s v="High (&gt;20%)"/>
  </r>
  <r>
    <s v="ODR00759"/>
    <d v="2025-04-26T00:00:00"/>
    <s v="Kriti Desai"/>
    <x v="0"/>
    <s v="Bhubaneswar"/>
    <s v="Technology"/>
    <s v="Mobile"/>
    <s v="Mobile - Technology"/>
    <x v="758"/>
    <n v="6"/>
    <n v="28"/>
    <n v="550.69000000000005"/>
    <s v="Returned"/>
    <s v="Cash"/>
    <s v="04-2025"/>
    <x v="0"/>
    <x v="758"/>
    <s v="Profit"/>
    <s v="High (&gt;20%)"/>
  </r>
  <r>
    <s v="ODR00760"/>
    <d v="2024-08-08T00:00:00"/>
    <s v="Aarav Patel"/>
    <x v="3"/>
    <s v="Nagpur"/>
    <s v="Office Supplies"/>
    <s v="Stapler"/>
    <s v="Stapler - Office Supplies"/>
    <x v="759"/>
    <n v="10"/>
    <n v="21"/>
    <n v="3359.62"/>
    <s v="Delivered"/>
    <s v="Credit Card"/>
    <s v="08-2024"/>
    <x v="1"/>
    <x v="759"/>
    <s v="Profit"/>
    <s v="High (&gt;20%)"/>
  </r>
  <r>
    <s v="ODR00761"/>
    <d v="2024-11-28T00:00:00"/>
    <s v="Vivaan Shah"/>
    <x v="2"/>
    <s v="Bangalore"/>
    <s v="Furniture"/>
    <s v="Cupboard"/>
    <s v="Cupboard - Furniture"/>
    <x v="760"/>
    <n v="4"/>
    <n v="5"/>
    <n v="326.77"/>
    <s v="In Transit"/>
    <s v="Net Banking"/>
    <s v="11-2024"/>
    <x v="1"/>
    <x v="760"/>
    <s v="Profit"/>
    <s v="Low (1-10%)"/>
  </r>
  <r>
    <s v="ODR00762"/>
    <d v="2025-01-10T00:00:00"/>
    <s v="Riya Kapoor"/>
    <x v="0"/>
    <s v="Bhubaneswar"/>
    <s v="Office Supplies"/>
    <s v="Pen"/>
    <s v="Pen - Office Supplies"/>
    <x v="761"/>
    <n v="6"/>
    <n v="0"/>
    <n v="294.75"/>
    <s v="Returned"/>
    <s v="UPI"/>
    <s v="01-2025"/>
    <x v="0"/>
    <x v="761"/>
    <s v="Profit"/>
    <s v="No Discount"/>
  </r>
  <r>
    <s v="ODR00763"/>
    <d v="2024-11-30T00:00:00"/>
    <s v="Riya Kapoor"/>
    <x v="3"/>
    <s v="Mumbai"/>
    <s v="Office Supplies"/>
    <s v="Notebook"/>
    <s v="Notebook - Office Supplies"/>
    <x v="762"/>
    <n v="8"/>
    <n v="27"/>
    <n v="776.96"/>
    <s v="In Transit"/>
    <s v="UPI"/>
    <s v="11-2024"/>
    <x v="1"/>
    <x v="762"/>
    <s v="Profit"/>
    <s v="High (&gt;20%)"/>
  </r>
  <r>
    <s v="ODR00764"/>
    <d v="2025-03-14T00:00:00"/>
    <s v="Aarav Patel"/>
    <x v="3"/>
    <s v="Ahmedabad"/>
    <s v="Office Supplies"/>
    <s v="Pen"/>
    <s v="Pen - Office Supplies"/>
    <x v="763"/>
    <n v="2"/>
    <n v="21"/>
    <n v="262.06"/>
    <s v="In Transit"/>
    <s v="UPI"/>
    <s v="03-2025"/>
    <x v="0"/>
    <x v="763"/>
    <s v="Profit"/>
    <s v="High (&gt;20%)"/>
  </r>
  <r>
    <s v="ODR00765"/>
    <d v="2024-07-08T00:00:00"/>
    <s v="Sneha Reddy"/>
    <x v="0"/>
    <s v="Bhubaneswar"/>
    <s v="Furniture"/>
    <s v="Sofa"/>
    <s v="Sofa - Furniture"/>
    <x v="764"/>
    <n v="5"/>
    <n v="3"/>
    <n v="444.3"/>
    <s v="In Transit"/>
    <s v="Net Banking"/>
    <s v="07-2024"/>
    <x v="1"/>
    <x v="764"/>
    <s v="Profit"/>
    <s v="Low (1-10%)"/>
  </r>
  <r>
    <s v="ODR00766"/>
    <d v="2024-08-27T00:00:00"/>
    <s v="Vivaan Shah"/>
    <x v="2"/>
    <s v="Bangalore"/>
    <s v="Furniture"/>
    <s v="Cupboard"/>
    <s v="Cupboard - Furniture"/>
    <x v="765"/>
    <n v="3"/>
    <n v="4"/>
    <n v="346.02"/>
    <s v="In Transit"/>
    <s v="Credit Card"/>
    <s v="08-2024"/>
    <x v="1"/>
    <x v="765"/>
    <s v="Profit"/>
    <s v="Low (1-10%)"/>
  </r>
  <r>
    <s v="ODR00767"/>
    <d v="2024-12-28T00:00:00"/>
    <s v="Riya Kapoor"/>
    <x v="1"/>
    <s v="Chandigarh"/>
    <s v="Technology"/>
    <s v="Tablet"/>
    <s v="Tablet - Technology"/>
    <x v="766"/>
    <n v="10"/>
    <n v="5"/>
    <n v="856.08"/>
    <s v="Returned"/>
    <s v="Net Banking"/>
    <s v="12-2024"/>
    <x v="1"/>
    <x v="766"/>
    <s v="Profit"/>
    <s v="Low (1-10%)"/>
  </r>
  <r>
    <s v="ODR00768"/>
    <d v="2024-12-29T00:00:00"/>
    <s v="Kabir Nair"/>
    <x v="3"/>
    <s v="Indore"/>
    <s v="Technology"/>
    <s v="Printer"/>
    <s v="Printer - Technology"/>
    <x v="767"/>
    <n v="9"/>
    <n v="15"/>
    <n v="2096.96"/>
    <s v="Delivered"/>
    <s v="Cash"/>
    <s v="12-2024"/>
    <x v="1"/>
    <x v="767"/>
    <s v="Profit"/>
    <s v="Mid (11-20%)"/>
  </r>
  <r>
    <s v="ODR00769"/>
    <d v="2025-04-09T00:00:00"/>
    <s v="Anaya Singh"/>
    <x v="3"/>
    <s v="Mumbai"/>
    <s v="Furniture"/>
    <s v="Cupboard"/>
    <s v="Cupboard - Furniture"/>
    <x v="768"/>
    <n v="4"/>
    <n v="27"/>
    <n v="780.02"/>
    <s v="Returned"/>
    <s v="Credit Card"/>
    <s v="04-2025"/>
    <x v="0"/>
    <x v="768"/>
    <s v="Profit"/>
    <s v="High (&gt;20%)"/>
  </r>
  <r>
    <s v="ODR00770"/>
    <d v="2025-04-14T00:00:00"/>
    <s v="Krishna Das"/>
    <x v="1"/>
    <s v="Chandigarh"/>
    <s v="Furniture"/>
    <s v="Sofa"/>
    <s v="Sofa - Furniture"/>
    <x v="769"/>
    <n v="7"/>
    <n v="29"/>
    <n v="829.5"/>
    <s v="Delivered"/>
    <s v="Cash"/>
    <s v="04-2025"/>
    <x v="0"/>
    <x v="769"/>
    <s v="Profit"/>
    <s v="High (&gt;20%)"/>
  </r>
  <r>
    <s v="ODR00771"/>
    <d v="2025-03-16T00:00:00"/>
    <s v="Diya Sharma"/>
    <x v="2"/>
    <s v="Hyderabad"/>
    <s v="Office Supplies"/>
    <s v="Envelope"/>
    <s v="Envelope - Office Supplies"/>
    <x v="770"/>
    <n v="8"/>
    <n v="26"/>
    <n v="733.61"/>
    <s v="Returned"/>
    <s v="Cash"/>
    <s v="03-2025"/>
    <x v="0"/>
    <x v="770"/>
    <s v="Profit"/>
    <s v="High (&gt;20%)"/>
  </r>
  <r>
    <s v="ODR00772"/>
    <d v="2025-02-26T00:00:00"/>
    <s v="Anaya Singh"/>
    <x v="3"/>
    <s v="Ahmedabad"/>
    <s v="Technology"/>
    <s v="Mobile"/>
    <s v="Mobile - Technology"/>
    <x v="771"/>
    <n v="6"/>
    <n v="27"/>
    <n v="174.34"/>
    <s v="Delivered"/>
    <s v="Net Banking"/>
    <s v="02-2025"/>
    <x v="0"/>
    <x v="771"/>
    <s v="Profit"/>
    <s v="High (&gt;20%)"/>
  </r>
  <r>
    <s v="ODR00773"/>
    <d v="2024-09-21T00:00:00"/>
    <s v="Meera Joshi"/>
    <x v="3"/>
    <s v="Mumbai"/>
    <s v="Technology"/>
    <s v="Mobile"/>
    <s v="Mobile - Technology"/>
    <x v="772"/>
    <n v="6"/>
    <n v="12"/>
    <n v="44.68"/>
    <s v="Returned"/>
    <s v="Credit Card"/>
    <s v="09-2024"/>
    <x v="1"/>
    <x v="772"/>
    <s v="Profit"/>
    <s v="Mid (11-20%)"/>
  </r>
  <r>
    <s v="ODR00774"/>
    <d v="2025-04-25T00:00:00"/>
    <s v="Tanishq Ghosh"/>
    <x v="2"/>
    <s v="Bangalore"/>
    <s v="Office Supplies"/>
    <s v="Envelope"/>
    <s v="Envelope - Office Supplies"/>
    <x v="773"/>
    <n v="4"/>
    <n v="5"/>
    <n v="425.77"/>
    <s v="In Transit"/>
    <s v="Credit Card"/>
    <s v="04-2025"/>
    <x v="0"/>
    <x v="773"/>
    <s v="Profit"/>
    <s v="Low (1-10%)"/>
  </r>
  <r>
    <s v="ODR00775"/>
    <d v="2024-06-05T00:00:00"/>
    <s v="Meera Joshi"/>
    <x v="1"/>
    <s v="Delhi"/>
    <s v="Office Supplies"/>
    <s v="Pen"/>
    <s v="Pen - Office Supplies"/>
    <x v="774"/>
    <n v="7"/>
    <n v="3"/>
    <n v="347.48"/>
    <s v="Delivered"/>
    <s v="Credit Card"/>
    <s v="06-2024"/>
    <x v="1"/>
    <x v="774"/>
    <s v="Profit"/>
    <s v="Low (1-10%)"/>
  </r>
  <r>
    <s v="ODR00776"/>
    <d v="2024-07-03T00:00:00"/>
    <s v="Meera Joshi"/>
    <x v="0"/>
    <s v="Kolkata"/>
    <s v="Furniture"/>
    <s v="Table"/>
    <s v="Table - Furniture"/>
    <x v="775"/>
    <n v="3"/>
    <n v="27"/>
    <n v="570.20000000000005"/>
    <s v="Returned"/>
    <s v="UPI"/>
    <s v="07-2024"/>
    <x v="1"/>
    <x v="775"/>
    <s v="Profit"/>
    <s v="High (&gt;20%)"/>
  </r>
  <r>
    <s v="ODR00777"/>
    <d v="2024-08-13T00:00:00"/>
    <s v="Kriti Desai"/>
    <x v="0"/>
    <s v="Bhubaneswar"/>
    <s v="Furniture"/>
    <s v="Cupboard"/>
    <s v="Cupboard - Furniture"/>
    <x v="776"/>
    <n v="2"/>
    <n v="13"/>
    <n v="570.04999999999995"/>
    <s v="In Transit"/>
    <s v="UPI"/>
    <s v="08-2024"/>
    <x v="1"/>
    <x v="776"/>
    <s v="Profit"/>
    <s v="Mid (11-20%)"/>
  </r>
  <r>
    <s v="ODR00778"/>
    <d v="2024-11-30T00:00:00"/>
    <s v="Diya Sharma"/>
    <x v="1"/>
    <s v="Delhi"/>
    <s v="Office Supplies"/>
    <s v="Envelope"/>
    <s v="Envelope - Office Supplies"/>
    <x v="777"/>
    <n v="7"/>
    <n v="5"/>
    <n v="1583.17"/>
    <s v="Returned"/>
    <s v="UPI"/>
    <s v="11-2024"/>
    <x v="1"/>
    <x v="777"/>
    <s v="Profit"/>
    <s v="Low (1-10%)"/>
  </r>
  <r>
    <s v="ODR00779"/>
    <d v="2024-11-13T00:00:00"/>
    <s v="Yuvraj Chauhan"/>
    <x v="0"/>
    <s v="Patna"/>
    <s v="Technology"/>
    <s v="Laptop"/>
    <s v="Laptop - Technology"/>
    <x v="778"/>
    <n v="7"/>
    <n v="3"/>
    <n v="749.4"/>
    <s v="Returned"/>
    <s v="Net Banking"/>
    <s v="11-2024"/>
    <x v="1"/>
    <x v="778"/>
    <s v="Profit"/>
    <s v="Low (1-10%)"/>
  </r>
  <r>
    <s v="ODR00780"/>
    <d v="2025-01-01T00:00:00"/>
    <s v="Meera Joshi"/>
    <x v="2"/>
    <s v="Bangalore"/>
    <s v="Furniture"/>
    <s v="Cupboard"/>
    <s v="Cupboard - Furniture"/>
    <x v="779"/>
    <n v="1"/>
    <n v="25"/>
    <n v="104.35"/>
    <s v="In Transit"/>
    <s v="Credit Card"/>
    <s v="01-2025"/>
    <x v="0"/>
    <x v="779"/>
    <s v="Profit"/>
    <s v="High (&gt;20%)"/>
  </r>
  <r>
    <s v="ODR00781"/>
    <d v="2024-08-06T00:00:00"/>
    <s v="Riya Kapoor"/>
    <x v="2"/>
    <s v="Hyderabad"/>
    <s v="Office Supplies"/>
    <s v="Pen"/>
    <s v="Pen - Office Supplies"/>
    <x v="780"/>
    <n v="4"/>
    <n v="5"/>
    <n v="117.17"/>
    <s v="In Transit"/>
    <s v="Cash"/>
    <s v="08-2024"/>
    <x v="1"/>
    <x v="780"/>
    <s v="Profit"/>
    <s v="Low (1-10%)"/>
  </r>
  <r>
    <s v="ODR00782"/>
    <d v="2024-09-09T00:00:00"/>
    <s v="Aarav Patel"/>
    <x v="0"/>
    <s v="Kolkata"/>
    <s v="Furniture"/>
    <s v="Sofa"/>
    <s v="Sofa - Furniture"/>
    <x v="781"/>
    <n v="5"/>
    <n v="29"/>
    <n v="835.33"/>
    <s v="Returned"/>
    <s v="Net Banking"/>
    <s v="09-2024"/>
    <x v="1"/>
    <x v="781"/>
    <s v="Profit"/>
    <s v="High (&gt;20%)"/>
  </r>
  <r>
    <s v="ODR00783"/>
    <d v="2024-11-13T00:00:00"/>
    <s v="Sneha Reddy"/>
    <x v="1"/>
    <s v="Delhi"/>
    <s v="Office Supplies"/>
    <s v="Stapler"/>
    <s v="Stapler - Office Supplies"/>
    <x v="782"/>
    <n v="10"/>
    <n v="1"/>
    <n v="1993.84"/>
    <s v="In Transit"/>
    <s v="Net Banking"/>
    <s v="11-2024"/>
    <x v="1"/>
    <x v="782"/>
    <s v="Profit"/>
    <s v="Low (1-10%)"/>
  </r>
  <r>
    <s v="ODR00784"/>
    <d v="2025-01-26T00:00:00"/>
    <s v="Saanvi Iyer"/>
    <x v="0"/>
    <s v="Patna"/>
    <s v="Technology"/>
    <s v="Laptop"/>
    <s v="Laptop - Technology"/>
    <x v="783"/>
    <n v="6"/>
    <n v="27"/>
    <n v="556.46"/>
    <s v="Delivered"/>
    <s v="Net Banking"/>
    <s v="01-2025"/>
    <x v="0"/>
    <x v="783"/>
    <s v="Profit"/>
    <s v="High (&gt;20%)"/>
  </r>
  <r>
    <s v="ODR00785"/>
    <d v="2024-11-28T00:00:00"/>
    <s v="Kriti Desai"/>
    <x v="2"/>
    <s v="Hyderabad"/>
    <s v="Furniture"/>
    <s v="Chair"/>
    <s v="Chair - Furniture"/>
    <x v="784"/>
    <n v="6"/>
    <n v="0"/>
    <n v="237.59"/>
    <s v="Returned"/>
    <s v="Net Banking"/>
    <s v="11-2024"/>
    <x v="1"/>
    <x v="784"/>
    <s v="Profit"/>
    <s v="No Discount"/>
  </r>
  <r>
    <s v="ODR00786"/>
    <d v="2025-04-09T00:00:00"/>
    <s v="Vivaan Shah"/>
    <x v="2"/>
    <s v="Hyderabad"/>
    <s v="Office Supplies"/>
    <s v="Notebook"/>
    <s v="Notebook - Office Supplies"/>
    <x v="785"/>
    <n v="3"/>
    <n v="4"/>
    <n v="93.64"/>
    <s v="Delivered"/>
    <s v="Credit Card"/>
    <s v="04-2025"/>
    <x v="0"/>
    <x v="785"/>
    <s v="Profit"/>
    <s v="Low (1-10%)"/>
  </r>
  <r>
    <s v="ODR00787"/>
    <d v="2024-10-22T00:00:00"/>
    <s v="Meera Joshi"/>
    <x v="2"/>
    <s v="Bangalore"/>
    <s v="Office Supplies"/>
    <s v="Stapler"/>
    <s v="Stapler - Office Supplies"/>
    <x v="786"/>
    <n v="9"/>
    <n v="5"/>
    <n v="563.84"/>
    <s v="Delivered"/>
    <s v="UPI"/>
    <s v="10-2024"/>
    <x v="1"/>
    <x v="786"/>
    <s v="Profit"/>
    <s v="Low (1-10%)"/>
  </r>
  <r>
    <s v="ODR00788"/>
    <d v="2024-09-21T00:00:00"/>
    <s v="Tanishq Ghosh"/>
    <x v="0"/>
    <s v="Kolkata"/>
    <s v="Office Supplies"/>
    <s v="Stapler"/>
    <s v="Stapler - Office Supplies"/>
    <x v="787"/>
    <n v="6"/>
    <n v="17"/>
    <n v="1283.9000000000001"/>
    <s v="In Transit"/>
    <s v="UPI"/>
    <s v="09-2024"/>
    <x v="1"/>
    <x v="787"/>
    <s v="Profit"/>
    <s v="Mid (11-20%)"/>
  </r>
  <r>
    <s v="ODR00789"/>
    <d v="2024-06-27T00:00:00"/>
    <s v="Vivaan Shah"/>
    <x v="3"/>
    <s v="Indore"/>
    <s v="Furniture"/>
    <s v="Table"/>
    <s v="Table - Furniture"/>
    <x v="788"/>
    <n v="2"/>
    <n v="25"/>
    <n v="306.25"/>
    <s v="In Transit"/>
    <s v="Net Banking"/>
    <s v="06-2024"/>
    <x v="1"/>
    <x v="788"/>
    <s v="Profit"/>
    <s v="High (&gt;20%)"/>
  </r>
  <r>
    <s v="ODR00790"/>
    <d v="2024-11-03T00:00:00"/>
    <s v="Anaya Singh"/>
    <x v="0"/>
    <s v="Patna"/>
    <s v="Office Supplies"/>
    <s v="Pen"/>
    <s v="Pen - Office Supplies"/>
    <x v="789"/>
    <n v="10"/>
    <n v="10"/>
    <n v="1663.24"/>
    <s v="Delivered"/>
    <s v="Credit Card"/>
    <s v="11-2024"/>
    <x v="1"/>
    <x v="789"/>
    <s v="Profit"/>
    <s v="Low (1-10%)"/>
  </r>
  <r>
    <s v="ODR00791"/>
    <d v="2024-08-18T00:00:00"/>
    <s v="Kabir Nair"/>
    <x v="0"/>
    <s v="Patna"/>
    <s v="Furniture"/>
    <s v="Chair"/>
    <s v="Chair - Furniture"/>
    <x v="790"/>
    <n v="4"/>
    <n v="26"/>
    <n v="554.11"/>
    <s v="Delivered"/>
    <s v="Credit Card"/>
    <s v="08-2024"/>
    <x v="1"/>
    <x v="790"/>
    <s v="Profit"/>
    <s v="High (&gt;20%)"/>
  </r>
  <r>
    <s v="ODR00792"/>
    <d v="2025-03-31T00:00:00"/>
    <s v="Anaya Singh"/>
    <x v="3"/>
    <s v="Pune"/>
    <s v="Furniture"/>
    <s v="Table"/>
    <s v="Table - Furniture"/>
    <x v="791"/>
    <n v="3"/>
    <n v="26"/>
    <n v="736.14"/>
    <s v="Delivered"/>
    <s v="UPI"/>
    <s v="03-2025"/>
    <x v="0"/>
    <x v="791"/>
    <s v="Profit"/>
    <s v="High (&gt;20%)"/>
  </r>
  <r>
    <s v="ODR00793"/>
    <d v="2024-08-23T00:00:00"/>
    <s v="Arjun Verma"/>
    <x v="2"/>
    <s v="Bangalore"/>
    <s v="Office Supplies"/>
    <s v="Pen"/>
    <s v="Pen - Office Supplies"/>
    <x v="792"/>
    <n v="4"/>
    <n v="9"/>
    <n v="180.26"/>
    <s v="In Transit"/>
    <s v="Cash"/>
    <s v="08-2024"/>
    <x v="1"/>
    <x v="792"/>
    <s v="Profit"/>
    <s v="Low (1-10%)"/>
  </r>
  <r>
    <s v="ODR00794"/>
    <d v="2025-04-25T00:00:00"/>
    <s v="Krishna Das"/>
    <x v="2"/>
    <s v="Bangalore"/>
    <s v="Office Supplies"/>
    <s v="Envelope"/>
    <s v="Envelope - Office Supplies"/>
    <x v="793"/>
    <n v="4"/>
    <n v="10"/>
    <n v="386.71"/>
    <s v="Returned"/>
    <s v="UPI"/>
    <s v="04-2025"/>
    <x v="0"/>
    <x v="793"/>
    <s v="Profit"/>
    <s v="Low (1-10%)"/>
  </r>
  <r>
    <s v="ODR00795"/>
    <d v="2024-08-02T00:00:00"/>
    <s v="Meera Joshi"/>
    <x v="2"/>
    <s v="Bangalore"/>
    <s v="Technology"/>
    <s v="Laptop"/>
    <s v="Laptop - Technology"/>
    <x v="794"/>
    <n v="4"/>
    <n v="9"/>
    <n v="336.82"/>
    <s v="In Transit"/>
    <s v="Cash"/>
    <s v="08-2024"/>
    <x v="1"/>
    <x v="794"/>
    <s v="Profit"/>
    <s v="Low (1-10%)"/>
  </r>
  <r>
    <s v="ODR00796"/>
    <d v="2024-09-13T00:00:00"/>
    <s v="Vivaan Shah"/>
    <x v="0"/>
    <s v="Patna"/>
    <s v="Office Supplies"/>
    <s v="Notebook"/>
    <s v="Notebook - Office Supplies"/>
    <x v="795"/>
    <n v="6"/>
    <n v="15"/>
    <n v="374.55"/>
    <s v="Delivered"/>
    <s v="Credit Card"/>
    <s v="09-2024"/>
    <x v="1"/>
    <x v="795"/>
    <s v="Profit"/>
    <s v="Mid (11-20%)"/>
  </r>
  <r>
    <s v="ODR00797"/>
    <d v="2024-06-27T00:00:00"/>
    <s v="Arjun Verma"/>
    <x v="1"/>
    <s v="Jaipur"/>
    <s v="Office Supplies"/>
    <s v="Pen"/>
    <s v="Pen - Office Supplies"/>
    <x v="796"/>
    <n v="5"/>
    <n v="0"/>
    <n v="869.55"/>
    <s v="Returned"/>
    <s v="Net Banking"/>
    <s v="06-2024"/>
    <x v="1"/>
    <x v="796"/>
    <s v="Profit"/>
    <s v="No Discount"/>
  </r>
  <r>
    <s v="ODR00798"/>
    <d v="2024-12-23T00:00:00"/>
    <s v="Krishna Das"/>
    <x v="0"/>
    <s v="Patna"/>
    <s v="Office Supplies"/>
    <s v="Envelope"/>
    <s v="Envelope - Office Supplies"/>
    <x v="797"/>
    <n v="9"/>
    <n v="7.0000000000000009"/>
    <n v="2157.83"/>
    <s v="In Transit"/>
    <s v="Net Banking"/>
    <s v="12-2024"/>
    <x v="1"/>
    <x v="797"/>
    <s v="Profit"/>
    <s v="Low (1-10%)"/>
  </r>
  <r>
    <s v="ODR00799"/>
    <d v="2024-07-25T00:00:00"/>
    <s v="Kriti Desai"/>
    <x v="3"/>
    <s v="Indore"/>
    <s v="Office Supplies"/>
    <s v="Notebook"/>
    <s v="Notebook - Office Supplies"/>
    <x v="798"/>
    <n v="2"/>
    <n v="23"/>
    <n v="327.16000000000003"/>
    <s v="Returned"/>
    <s v="Cash"/>
    <s v="07-2024"/>
    <x v="1"/>
    <x v="798"/>
    <s v="Profit"/>
    <s v="High (&gt;20%)"/>
  </r>
  <r>
    <s v="ODR00800"/>
    <d v="2024-10-25T00:00:00"/>
    <s v="Riya Kapoor"/>
    <x v="2"/>
    <s v="Chennai"/>
    <s v="Office Supplies"/>
    <s v="Pen"/>
    <s v="Pen - Office Supplies"/>
    <x v="799"/>
    <n v="2"/>
    <n v="20"/>
    <n v="399"/>
    <s v="Returned"/>
    <s v="Credit Card"/>
    <s v="10-2024"/>
    <x v="1"/>
    <x v="799"/>
    <s v="Profit"/>
    <s v="Mid (11-20%)"/>
  </r>
  <r>
    <s v="ODR00801"/>
    <d v="2024-10-22T00:00:00"/>
    <s v="Saanvi Iyer"/>
    <x v="3"/>
    <s v="Ahmedabad"/>
    <s v="Office Supplies"/>
    <s v="Envelope"/>
    <s v="Envelope - Office Supplies"/>
    <x v="800"/>
    <n v="6"/>
    <n v="20"/>
    <n v="908.04"/>
    <s v="In Transit"/>
    <s v="Cash"/>
    <s v="10-2024"/>
    <x v="1"/>
    <x v="800"/>
    <s v="Profit"/>
    <s v="Mid (11-20%)"/>
  </r>
  <r>
    <s v="ODR00802"/>
    <d v="2025-03-15T00:00:00"/>
    <s v="Sneha Reddy"/>
    <x v="2"/>
    <s v="Bangalore"/>
    <s v="Technology"/>
    <s v="Mobile"/>
    <s v="Mobile - Technology"/>
    <x v="801"/>
    <n v="3"/>
    <n v="20"/>
    <n v="95.24"/>
    <s v="In Transit"/>
    <s v="Net Banking"/>
    <s v="03-2025"/>
    <x v="0"/>
    <x v="801"/>
    <s v="Profit"/>
    <s v="Mid (11-20%)"/>
  </r>
  <r>
    <s v="ODR00803"/>
    <d v="2024-10-30T00:00:00"/>
    <s v="Riya Kapoor"/>
    <x v="2"/>
    <s v="Hyderabad"/>
    <s v="Office Supplies"/>
    <s v="Stapler"/>
    <s v="Stapler - Office Supplies"/>
    <x v="802"/>
    <n v="4"/>
    <n v="17"/>
    <n v="68.72"/>
    <s v="Delivered"/>
    <s v="Net Banking"/>
    <s v="10-2024"/>
    <x v="1"/>
    <x v="802"/>
    <s v="Profit"/>
    <s v="Mid (11-20%)"/>
  </r>
  <r>
    <s v="ODR00804"/>
    <d v="2024-11-08T00:00:00"/>
    <s v="Aarav Patel"/>
    <x v="2"/>
    <s v="Chennai"/>
    <s v="Furniture"/>
    <s v="Sofa"/>
    <s v="Sofa - Furniture"/>
    <x v="803"/>
    <n v="1"/>
    <n v="18"/>
    <n v="140.68"/>
    <s v="Returned"/>
    <s v="Credit Card"/>
    <s v="11-2024"/>
    <x v="1"/>
    <x v="803"/>
    <s v="Profit"/>
    <s v="Mid (11-20%)"/>
  </r>
  <r>
    <s v="ODR00805"/>
    <d v="2024-11-06T00:00:00"/>
    <s v="Tanishq Ghosh"/>
    <x v="2"/>
    <s v="Bangalore"/>
    <s v="Technology"/>
    <s v="Printer"/>
    <s v="Printer - Technology"/>
    <x v="804"/>
    <n v="6"/>
    <n v="21"/>
    <n v="352.18"/>
    <s v="Returned"/>
    <s v="Net Banking"/>
    <s v="11-2024"/>
    <x v="1"/>
    <x v="804"/>
    <s v="Profit"/>
    <s v="High (&gt;20%)"/>
  </r>
  <r>
    <s v="ODR00806"/>
    <d v="2024-08-29T00:00:00"/>
    <s v="Sneha Reddy"/>
    <x v="1"/>
    <s v="Delhi"/>
    <s v="Technology"/>
    <s v="Mobile"/>
    <s v="Mobile - Technology"/>
    <x v="805"/>
    <n v="8"/>
    <n v="30"/>
    <n v="2114.42"/>
    <s v="Returned"/>
    <s v="Cash"/>
    <s v="08-2024"/>
    <x v="1"/>
    <x v="805"/>
    <s v="Profit"/>
    <s v="High (&gt;20%)"/>
  </r>
  <r>
    <s v="ODR00807"/>
    <d v="2024-06-25T00:00:00"/>
    <s v="Ishaan Mehta"/>
    <x v="0"/>
    <s v="Bhubaneswar"/>
    <s v="Technology"/>
    <s v="Tablet"/>
    <s v="Tablet - Technology"/>
    <x v="806"/>
    <n v="6"/>
    <n v="18"/>
    <n v="841.74"/>
    <s v="Delivered"/>
    <s v="Net Banking"/>
    <s v="06-2024"/>
    <x v="1"/>
    <x v="806"/>
    <s v="Profit"/>
    <s v="Mid (11-20%)"/>
  </r>
  <r>
    <s v="ODR00808"/>
    <d v="2024-09-26T00:00:00"/>
    <s v="Meera Joshi"/>
    <x v="1"/>
    <s v="Chandigarh"/>
    <s v="Office Supplies"/>
    <s v="Notebook"/>
    <s v="Notebook - Office Supplies"/>
    <x v="807"/>
    <n v="1"/>
    <n v="17"/>
    <n v="279.8"/>
    <s v="In Transit"/>
    <s v="Net Banking"/>
    <s v="09-2024"/>
    <x v="1"/>
    <x v="807"/>
    <s v="Profit"/>
    <s v="Mid (11-20%)"/>
  </r>
  <r>
    <s v="ODR00809"/>
    <d v="2024-11-04T00:00:00"/>
    <s v="Diya Sharma"/>
    <x v="3"/>
    <s v="Ahmedabad"/>
    <s v="Technology"/>
    <s v="Tablet"/>
    <s v="Tablet - Technology"/>
    <x v="808"/>
    <n v="5"/>
    <n v="25"/>
    <n v="335.09"/>
    <s v="Delivered"/>
    <s v="Credit Card"/>
    <s v="11-2024"/>
    <x v="1"/>
    <x v="808"/>
    <s v="Profit"/>
    <s v="High (&gt;20%)"/>
  </r>
  <r>
    <s v="ODR00810"/>
    <d v="2025-04-17T00:00:00"/>
    <s v="Anaya Singh"/>
    <x v="1"/>
    <s v="Delhi"/>
    <s v="Technology"/>
    <s v="Printer"/>
    <s v="Printer - Technology"/>
    <x v="809"/>
    <n v="7"/>
    <n v="15"/>
    <n v="146.04"/>
    <s v="Returned"/>
    <s v="Net Banking"/>
    <s v="04-2025"/>
    <x v="0"/>
    <x v="809"/>
    <s v="Profit"/>
    <s v="Mid (11-20%)"/>
  </r>
  <r>
    <s v="ODR00811"/>
    <d v="2024-06-23T00:00:00"/>
    <s v="Riya Kapoor"/>
    <x v="1"/>
    <s v="Lucknow"/>
    <s v="Furniture"/>
    <s v="Table"/>
    <s v="Table - Furniture"/>
    <x v="810"/>
    <n v="3"/>
    <n v="16"/>
    <n v="577.5"/>
    <s v="Delivered"/>
    <s v="Net Banking"/>
    <s v="06-2024"/>
    <x v="1"/>
    <x v="810"/>
    <s v="Profit"/>
    <s v="Mid (11-20%)"/>
  </r>
  <r>
    <s v="ODR00812"/>
    <d v="2024-06-14T00:00:00"/>
    <s v="Sneha Reddy"/>
    <x v="1"/>
    <s v="Lucknow"/>
    <s v="Furniture"/>
    <s v="Table"/>
    <s v="Table - Furniture"/>
    <x v="811"/>
    <n v="2"/>
    <n v="5"/>
    <n v="519.14"/>
    <s v="Delivered"/>
    <s v="Cash"/>
    <s v="06-2024"/>
    <x v="1"/>
    <x v="811"/>
    <s v="Profit"/>
    <s v="Low (1-10%)"/>
  </r>
  <r>
    <s v="ODR00813"/>
    <d v="2024-06-02T00:00:00"/>
    <s v="Riya Kapoor"/>
    <x v="3"/>
    <s v="Indore"/>
    <s v="Office Supplies"/>
    <s v="Stapler"/>
    <s v="Stapler - Office Supplies"/>
    <x v="812"/>
    <n v="6"/>
    <n v="14"/>
    <n v="137.13"/>
    <s v="Delivered"/>
    <s v="Cash"/>
    <s v="06-2024"/>
    <x v="1"/>
    <x v="812"/>
    <s v="Profit"/>
    <s v="Mid (11-20%)"/>
  </r>
  <r>
    <s v="ODR00814"/>
    <d v="2025-02-10T00:00:00"/>
    <s v="Saanvi Iyer"/>
    <x v="1"/>
    <s v="Delhi"/>
    <s v="Technology"/>
    <s v="Printer"/>
    <s v="Printer - Technology"/>
    <x v="813"/>
    <n v="10"/>
    <n v="25"/>
    <n v="199.22"/>
    <s v="Delivered"/>
    <s v="Net Banking"/>
    <s v="02-2025"/>
    <x v="0"/>
    <x v="813"/>
    <s v="Profit"/>
    <s v="High (&gt;20%)"/>
  </r>
  <r>
    <s v="ODR00815"/>
    <d v="2025-01-24T00:00:00"/>
    <s v="Yuvraj Chauhan"/>
    <x v="0"/>
    <s v="Bhubaneswar"/>
    <s v="Furniture"/>
    <s v="Sofa"/>
    <s v="Sofa - Furniture"/>
    <x v="814"/>
    <n v="7"/>
    <n v="11"/>
    <n v="955.68"/>
    <s v="Delivered"/>
    <s v="UPI"/>
    <s v="01-2025"/>
    <x v="0"/>
    <x v="814"/>
    <s v="Profit"/>
    <s v="Mid (11-20%)"/>
  </r>
  <r>
    <s v="ODR00816"/>
    <d v="2024-09-02T00:00:00"/>
    <s v="Yuvraj Chauhan"/>
    <x v="2"/>
    <s v="Chennai"/>
    <s v="Technology"/>
    <s v="Tablet"/>
    <s v="Tablet - Technology"/>
    <x v="815"/>
    <n v="6"/>
    <n v="12"/>
    <n v="274.35000000000002"/>
    <s v="Returned"/>
    <s v="Cash"/>
    <s v="09-2024"/>
    <x v="1"/>
    <x v="815"/>
    <s v="Profit"/>
    <s v="Mid (11-20%)"/>
  </r>
  <r>
    <s v="ODR00817"/>
    <d v="2024-10-21T00:00:00"/>
    <s v="Aarav Patel"/>
    <x v="3"/>
    <s v="Pune"/>
    <s v="Technology"/>
    <s v="Laptop"/>
    <s v="Laptop - Technology"/>
    <x v="816"/>
    <n v="2"/>
    <n v="12"/>
    <n v="648.48"/>
    <s v="Delivered"/>
    <s v="Cash"/>
    <s v="10-2024"/>
    <x v="1"/>
    <x v="816"/>
    <s v="Profit"/>
    <s v="Mid (11-20%)"/>
  </r>
  <r>
    <s v="ODR00818"/>
    <d v="2024-08-10T00:00:00"/>
    <s v="Sneha Reddy"/>
    <x v="2"/>
    <s v="Hyderabad"/>
    <s v="Furniture"/>
    <s v="Cupboard"/>
    <s v="Cupboard - Furniture"/>
    <x v="817"/>
    <n v="7"/>
    <n v="12"/>
    <n v="2122.98"/>
    <s v="In Transit"/>
    <s v="Credit Card"/>
    <s v="08-2024"/>
    <x v="1"/>
    <x v="817"/>
    <s v="Profit"/>
    <s v="Mid (11-20%)"/>
  </r>
  <r>
    <s v="ODR00819"/>
    <d v="2025-04-13T00:00:00"/>
    <s v="Anaya Singh"/>
    <x v="3"/>
    <s v="Pune"/>
    <s v="Furniture"/>
    <s v="Cupboard"/>
    <s v="Cupboard - Furniture"/>
    <x v="818"/>
    <n v="7"/>
    <n v="17"/>
    <n v="2130.5700000000002"/>
    <s v="Returned"/>
    <s v="Credit Card"/>
    <s v="04-2025"/>
    <x v="0"/>
    <x v="818"/>
    <s v="Profit"/>
    <s v="Mid (11-20%)"/>
  </r>
  <r>
    <s v="ODR00820"/>
    <d v="2025-03-18T00:00:00"/>
    <s v="Saanvi Iyer"/>
    <x v="2"/>
    <s v="Hyderabad"/>
    <s v="Technology"/>
    <s v="Tablet"/>
    <s v="Tablet - Technology"/>
    <x v="819"/>
    <n v="4"/>
    <n v="15"/>
    <n v="737.69"/>
    <s v="In Transit"/>
    <s v="Net Banking"/>
    <s v="03-2025"/>
    <x v="0"/>
    <x v="819"/>
    <s v="Profit"/>
    <s v="Mid (11-20%)"/>
  </r>
  <r>
    <s v="ODR00821"/>
    <d v="2024-07-02T00:00:00"/>
    <s v="Tanishq Ghosh"/>
    <x v="3"/>
    <s v="Nagpur"/>
    <s v="Technology"/>
    <s v="Laptop"/>
    <s v="Laptop - Technology"/>
    <x v="820"/>
    <n v="9"/>
    <n v="8"/>
    <n v="1010.97"/>
    <s v="Returned"/>
    <s v="UPI"/>
    <s v="07-2024"/>
    <x v="1"/>
    <x v="820"/>
    <s v="Profit"/>
    <s v="Low (1-10%)"/>
  </r>
  <r>
    <s v="ODR00822"/>
    <d v="2024-05-21T00:00:00"/>
    <s v="Kriti Desai"/>
    <x v="2"/>
    <s v="Chennai"/>
    <s v="Furniture"/>
    <s v="Sofa"/>
    <s v="Sofa - Furniture"/>
    <x v="821"/>
    <n v="5"/>
    <n v="29"/>
    <n v="474.95"/>
    <s v="In Transit"/>
    <s v="Credit Card"/>
    <s v="05-2024"/>
    <x v="1"/>
    <x v="821"/>
    <s v="Profit"/>
    <s v="High (&gt;20%)"/>
  </r>
  <r>
    <s v="ODR00823"/>
    <d v="2024-11-24T00:00:00"/>
    <s v="Aarav Patel"/>
    <x v="2"/>
    <s v="Bangalore"/>
    <s v="Furniture"/>
    <s v="Table"/>
    <s v="Table - Furniture"/>
    <x v="822"/>
    <n v="5"/>
    <n v="25"/>
    <n v="226.87"/>
    <s v="In Transit"/>
    <s v="UPI"/>
    <s v="11-2024"/>
    <x v="1"/>
    <x v="822"/>
    <s v="Profit"/>
    <s v="High (&gt;20%)"/>
  </r>
  <r>
    <s v="ODR00824"/>
    <d v="2024-11-28T00:00:00"/>
    <s v="Anaya Singh"/>
    <x v="1"/>
    <s v="Lucknow"/>
    <s v="Technology"/>
    <s v="Laptop"/>
    <s v="Laptop - Technology"/>
    <x v="823"/>
    <n v="2"/>
    <n v="29"/>
    <n v="42.83"/>
    <s v="Returned"/>
    <s v="UPI"/>
    <s v="11-2024"/>
    <x v="1"/>
    <x v="823"/>
    <s v="Profit"/>
    <s v="High (&gt;20%)"/>
  </r>
  <r>
    <s v="ODR00825"/>
    <d v="2024-10-17T00:00:00"/>
    <s v="Vivaan Shah"/>
    <x v="3"/>
    <s v="Ahmedabad"/>
    <s v="Office Supplies"/>
    <s v="Envelope"/>
    <s v="Envelope - Office Supplies"/>
    <x v="824"/>
    <n v="9"/>
    <n v="2"/>
    <n v="2484.9699999999998"/>
    <s v="In Transit"/>
    <s v="Credit Card"/>
    <s v="10-2024"/>
    <x v="1"/>
    <x v="824"/>
    <s v="Profit"/>
    <s v="Low (1-10%)"/>
  </r>
  <r>
    <s v="ODR00826"/>
    <d v="2024-11-17T00:00:00"/>
    <s v="Aarav Patel"/>
    <x v="1"/>
    <s v="Chandigarh"/>
    <s v="Office Supplies"/>
    <s v="Envelope"/>
    <s v="Envelope - Office Supplies"/>
    <x v="825"/>
    <n v="2"/>
    <n v="14"/>
    <n v="84.47"/>
    <s v="Delivered"/>
    <s v="Cash"/>
    <s v="11-2024"/>
    <x v="1"/>
    <x v="825"/>
    <s v="Profit"/>
    <s v="Mid (11-20%)"/>
  </r>
  <r>
    <s v="ODR00827"/>
    <d v="2025-02-03T00:00:00"/>
    <s v="Arjun Verma"/>
    <x v="0"/>
    <s v="Patna"/>
    <s v="Office Supplies"/>
    <s v="Stapler"/>
    <s v="Stapler - Office Supplies"/>
    <x v="826"/>
    <n v="9"/>
    <n v="14"/>
    <n v="2237.8000000000002"/>
    <s v="In Transit"/>
    <s v="Net Banking"/>
    <s v="02-2025"/>
    <x v="0"/>
    <x v="826"/>
    <s v="Profit"/>
    <s v="Mid (11-20%)"/>
  </r>
  <r>
    <s v="ODR00828"/>
    <d v="2024-12-11T00:00:00"/>
    <s v="Ishaan Mehta"/>
    <x v="1"/>
    <s v="Lucknow"/>
    <s v="Furniture"/>
    <s v="Cupboard"/>
    <s v="Cupboard - Furniture"/>
    <x v="827"/>
    <n v="6"/>
    <n v="29"/>
    <n v="82.31"/>
    <s v="In Transit"/>
    <s v="Credit Card"/>
    <s v="12-2024"/>
    <x v="1"/>
    <x v="827"/>
    <s v="Profit"/>
    <s v="High (&gt;20%)"/>
  </r>
  <r>
    <s v="ODR00829"/>
    <d v="2024-12-27T00:00:00"/>
    <s v="Yuvraj Chauhan"/>
    <x v="1"/>
    <s v="Lucknow"/>
    <s v="Office Supplies"/>
    <s v="Pen"/>
    <s v="Pen - Office Supplies"/>
    <x v="828"/>
    <n v="5"/>
    <n v="3"/>
    <n v="1425.47"/>
    <s v="Delivered"/>
    <s v="Credit Card"/>
    <s v="12-2024"/>
    <x v="1"/>
    <x v="828"/>
    <s v="Profit"/>
    <s v="Low (1-10%)"/>
  </r>
  <r>
    <s v="ODR00830"/>
    <d v="2025-01-11T00:00:00"/>
    <s v="Arjun Verma"/>
    <x v="0"/>
    <s v="Bhubaneswar"/>
    <s v="Furniture"/>
    <s v="Chair"/>
    <s v="Chair - Furniture"/>
    <x v="829"/>
    <n v="6"/>
    <n v="19"/>
    <n v="727.52"/>
    <s v="Returned"/>
    <s v="Cash"/>
    <s v="01-2025"/>
    <x v="0"/>
    <x v="829"/>
    <s v="Profit"/>
    <s v="Mid (11-20%)"/>
  </r>
  <r>
    <s v="ODR00831"/>
    <d v="2024-05-31T00:00:00"/>
    <s v="Arjun Verma"/>
    <x v="1"/>
    <s v="Delhi"/>
    <s v="Technology"/>
    <s v="Laptop"/>
    <s v="Laptop - Technology"/>
    <x v="830"/>
    <n v="2"/>
    <n v="18"/>
    <n v="262.43"/>
    <s v="Returned"/>
    <s v="Credit Card"/>
    <s v="05-2024"/>
    <x v="1"/>
    <x v="830"/>
    <s v="Profit"/>
    <s v="Mid (11-20%)"/>
  </r>
  <r>
    <s v="ODR00832"/>
    <d v="2025-03-08T00:00:00"/>
    <s v="Ishaan Mehta"/>
    <x v="0"/>
    <s v="Kolkata"/>
    <s v="Office Supplies"/>
    <s v="Envelope"/>
    <s v="Envelope - Office Supplies"/>
    <x v="831"/>
    <n v="3"/>
    <n v="3"/>
    <n v="170"/>
    <s v="In Transit"/>
    <s v="Credit Card"/>
    <s v="03-2025"/>
    <x v="0"/>
    <x v="831"/>
    <s v="Profit"/>
    <s v="Low (1-10%)"/>
  </r>
  <r>
    <s v="ODR00833"/>
    <d v="2024-05-26T00:00:00"/>
    <s v="Meera Joshi"/>
    <x v="0"/>
    <s v="Patna"/>
    <s v="Furniture"/>
    <s v="Chair"/>
    <s v="Chair - Furniture"/>
    <x v="832"/>
    <n v="3"/>
    <n v="17"/>
    <n v="78.709999999999994"/>
    <s v="In Transit"/>
    <s v="Credit Card"/>
    <s v="05-2024"/>
    <x v="1"/>
    <x v="832"/>
    <s v="Profit"/>
    <s v="Mid (11-20%)"/>
  </r>
  <r>
    <s v="ODR00834"/>
    <d v="2024-06-24T00:00:00"/>
    <s v="Aarav Patel"/>
    <x v="1"/>
    <s v="Chandigarh"/>
    <s v="Furniture"/>
    <s v="Chair"/>
    <s v="Chair - Furniture"/>
    <x v="833"/>
    <n v="6"/>
    <n v="23"/>
    <n v="489.59"/>
    <s v="Delivered"/>
    <s v="Credit Card"/>
    <s v="06-2024"/>
    <x v="1"/>
    <x v="833"/>
    <s v="Profit"/>
    <s v="High (&gt;20%)"/>
  </r>
  <r>
    <s v="ODR00835"/>
    <d v="2024-10-25T00:00:00"/>
    <s v="Diya Sharma"/>
    <x v="3"/>
    <s v="Mumbai"/>
    <s v="Furniture"/>
    <s v="Chair"/>
    <s v="Chair - Furniture"/>
    <x v="834"/>
    <n v="6"/>
    <n v="5"/>
    <n v="422.15"/>
    <s v="Delivered"/>
    <s v="Net Banking"/>
    <s v="10-2024"/>
    <x v="1"/>
    <x v="834"/>
    <s v="Profit"/>
    <s v="Low (1-10%)"/>
  </r>
  <r>
    <s v="ODR00836"/>
    <d v="2025-04-01T00:00:00"/>
    <s v="Kriti Desai"/>
    <x v="2"/>
    <s v="Hyderabad"/>
    <s v="Technology"/>
    <s v="Printer"/>
    <s v="Printer - Technology"/>
    <x v="835"/>
    <n v="2"/>
    <n v="10"/>
    <n v="81.67"/>
    <s v="Returned"/>
    <s v="UPI"/>
    <s v="04-2025"/>
    <x v="0"/>
    <x v="835"/>
    <s v="Profit"/>
    <s v="Low (1-10%)"/>
  </r>
  <r>
    <s v="ODR00837"/>
    <d v="2024-07-31T00:00:00"/>
    <s v="Arjun Verma"/>
    <x v="1"/>
    <s v="Jaipur"/>
    <s v="Technology"/>
    <s v="Printer"/>
    <s v="Printer - Technology"/>
    <x v="836"/>
    <n v="9"/>
    <n v="27"/>
    <n v="796.8"/>
    <s v="In Transit"/>
    <s v="UPI"/>
    <s v="07-2024"/>
    <x v="1"/>
    <x v="836"/>
    <s v="Profit"/>
    <s v="High (&gt;20%)"/>
  </r>
  <r>
    <s v="ODR00838"/>
    <d v="2024-10-18T00:00:00"/>
    <s v="Saanvi Iyer"/>
    <x v="2"/>
    <s v="Bangalore"/>
    <s v="Technology"/>
    <s v="Mobile"/>
    <s v="Mobile - Technology"/>
    <x v="837"/>
    <n v="8"/>
    <n v="14"/>
    <n v="437.36"/>
    <s v="Returned"/>
    <s v="Net Banking"/>
    <s v="10-2024"/>
    <x v="1"/>
    <x v="837"/>
    <s v="Profit"/>
    <s v="Mid (11-20%)"/>
  </r>
  <r>
    <s v="ODR00839"/>
    <d v="2024-08-14T00:00:00"/>
    <s v="Diya Sharma"/>
    <x v="3"/>
    <s v="Indore"/>
    <s v="Furniture"/>
    <s v="Table"/>
    <s v="Table - Furniture"/>
    <x v="838"/>
    <n v="4"/>
    <n v="11"/>
    <n v="890.82"/>
    <s v="Delivered"/>
    <s v="Net Banking"/>
    <s v="08-2024"/>
    <x v="1"/>
    <x v="838"/>
    <s v="Profit"/>
    <s v="Mid (11-20%)"/>
  </r>
  <r>
    <s v="ODR00840"/>
    <d v="2024-06-13T00:00:00"/>
    <s v="Anaya Singh"/>
    <x v="1"/>
    <s v="Lucknow"/>
    <s v="Office Supplies"/>
    <s v="Stapler"/>
    <s v="Stapler - Office Supplies"/>
    <x v="839"/>
    <n v="4"/>
    <n v="30"/>
    <n v="276.37"/>
    <s v="Delivered"/>
    <s v="Credit Card"/>
    <s v="06-2024"/>
    <x v="1"/>
    <x v="839"/>
    <s v="Profit"/>
    <s v="High (&gt;20%)"/>
  </r>
  <r>
    <s v="ODR00841"/>
    <d v="2024-08-16T00:00:00"/>
    <s v="Kriti Desai"/>
    <x v="2"/>
    <s v="Chennai"/>
    <s v="Furniture"/>
    <s v="Table"/>
    <s v="Table - Furniture"/>
    <x v="840"/>
    <n v="7"/>
    <n v="6"/>
    <n v="249.14"/>
    <s v="Returned"/>
    <s v="Credit Card"/>
    <s v="08-2024"/>
    <x v="1"/>
    <x v="840"/>
    <s v="Profit"/>
    <s v="Low (1-10%)"/>
  </r>
  <r>
    <s v="ODR00842"/>
    <d v="2025-02-01T00:00:00"/>
    <s v="Diya Sharma"/>
    <x v="3"/>
    <s v="Nagpur"/>
    <s v="Office Supplies"/>
    <s v="Notebook"/>
    <s v="Notebook - Office Supplies"/>
    <x v="841"/>
    <n v="9"/>
    <n v="20"/>
    <n v="160.6"/>
    <s v="Returned"/>
    <s v="UPI"/>
    <s v="02-2025"/>
    <x v="0"/>
    <x v="841"/>
    <s v="Profit"/>
    <s v="Mid (11-20%)"/>
  </r>
  <r>
    <s v="ODR00843"/>
    <d v="2024-09-23T00:00:00"/>
    <s v="Arjun Verma"/>
    <x v="0"/>
    <s v="Kolkata"/>
    <s v="Office Supplies"/>
    <s v="Notebook"/>
    <s v="Notebook - Office Supplies"/>
    <x v="842"/>
    <n v="2"/>
    <n v="6"/>
    <n v="35.25"/>
    <s v="In Transit"/>
    <s v="Credit Card"/>
    <s v="09-2024"/>
    <x v="1"/>
    <x v="842"/>
    <s v="Profit"/>
    <s v="Low (1-10%)"/>
  </r>
  <r>
    <s v="ODR00844"/>
    <d v="2024-11-11T00:00:00"/>
    <s v="Kabir Nair"/>
    <x v="3"/>
    <s v="Ahmedabad"/>
    <s v="Office Supplies"/>
    <s v="Stapler"/>
    <s v="Stapler - Office Supplies"/>
    <x v="843"/>
    <n v="1"/>
    <n v="13"/>
    <n v="151.02000000000001"/>
    <s v="Delivered"/>
    <s v="UPI"/>
    <s v="11-2024"/>
    <x v="1"/>
    <x v="843"/>
    <s v="Profit"/>
    <s v="Mid (11-20%)"/>
  </r>
  <r>
    <s v="ODR00845"/>
    <d v="2024-07-01T00:00:00"/>
    <s v="Tanishq Ghosh"/>
    <x v="2"/>
    <s v="Chennai"/>
    <s v="Technology"/>
    <s v="Tablet"/>
    <s v="Tablet - Technology"/>
    <x v="844"/>
    <n v="5"/>
    <n v="15"/>
    <n v="1264.83"/>
    <s v="In Transit"/>
    <s v="Net Banking"/>
    <s v="07-2024"/>
    <x v="1"/>
    <x v="844"/>
    <s v="Profit"/>
    <s v="Mid (11-20%)"/>
  </r>
  <r>
    <s v="ODR00846"/>
    <d v="2024-10-09T00:00:00"/>
    <s v="Sneha Reddy"/>
    <x v="3"/>
    <s v="Nagpur"/>
    <s v="Furniture"/>
    <s v="Cupboard"/>
    <s v="Cupboard - Furniture"/>
    <x v="845"/>
    <n v="1"/>
    <n v="29"/>
    <n v="46.25"/>
    <s v="Delivered"/>
    <s v="UPI"/>
    <s v="10-2024"/>
    <x v="1"/>
    <x v="845"/>
    <s v="Profit"/>
    <s v="High (&gt;20%)"/>
  </r>
  <r>
    <s v="ODR00847"/>
    <d v="2024-12-02T00:00:00"/>
    <s v="Anaya Singh"/>
    <x v="3"/>
    <s v="Pune"/>
    <s v="Furniture"/>
    <s v="Chair"/>
    <s v="Chair - Furniture"/>
    <x v="846"/>
    <n v="6"/>
    <n v="1"/>
    <n v="1365.38"/>
    <s v="In Transit"/>
    <s v="Cash"/>
    <s v="12-2024"/>
    <x v="1"/>
    <x v="846"/>
    <s v="Profit"/>
    <s v="Low (1-10%)"/>
  </r>
  <r>
    <s v="ODR00848"/>
    <d v="2024-09-10T00:00:00"/>
    <s v="Sneha Reddy"/>
    <x v="0"/>
    <s v="Patna"/>
    <s v="Technology"/>
    <s v="Mobile"/>
    <s v="Mobile - Technology"/>
    <x v="847"/>
    <n v="8"/>
    <n v="9"/>
    <n v="722.81"/>
    <s v="Returned"/>
    <s v="Cash"/>
    <s v="09-2024"/>
    <x v="1"/>
    <x v="847"/>
    <s v="Profit"/>
    <s v="Low (1-10%)"/>
  </r>
  <r>
    <s v="ODR00849"/>
    <d v="2024-05-18T00:00:00"/>
    <s v="Ishaan Mehta"/>
    <x v="2"/>
    <s v="Chennai"/>
    <s v="Furniture"/>
    <s v="Sofa"/>
    <s v="Sofa - Furniture"/>
    <x v="848"/>
    <n v="9"/>
    <n v="10"/>
    <n v="688.09"/>
    <s v="In Transit"/>
    <s v="Cash"/>
    <s v="05-2024"/>
    <x v="1"/>
    <x v="848"/>
    <s v="Profit"/>
    <s v="Low (1-10%)"/>
  </r>
  <r>
    <s v="ODR00850"/>
    <d v="2024-06-01T00:00:00"/>
    <s v="Kriti Desai"/>
    <x v="0"/>
    <s v="Bhubaneswar"/>
    <s v="Office Supplies"/>
    <s v="Pen"/>
    <s v="Pen - Office Supplies"/>
    <x v="849"/>
    <n v="10"/>
    <n v="30"/>
    <n v="2503.6"/>
    <s v="Returned"/>
    <s v="UPI"/>
    <s v="06-2024"/>
    <x v="1"/>
    <x v="849"/>
    <s v="Profit"/>
    <s v="High (&gt;20%)"/>
  </r>
  <r>
    <s v="ODR00851"/>
    <d v="2024-08-05T00:00:00"/>
    <s v="Tanishq Ghosh"/>
    <x v="0"/>
    <s v="Bhubaneswar"/>
    <s v="Office Supplies"/>
    <s v="Envelope"/>
    <s v="Envelope - Office Supplies"/>
    <x v="850"/>
    <n v="9"/>
    <n v="28"/>
    <n v="482.3"/>
    <s v="In Transit"/>
    <s v="Net Banking"/>
    <s v="08-2024"/>
    <x v="1"/>
    <x v="850"/>
    <s v="Profit"/>
    <s v="High (&gt;20%)"/>
  </r>
  <r>
    <s v="ODR00852"/>
    <d v="2024-09-26T00:00:00"/>
    <s v="Yuvraj Chauhan"/>
    <x v="3"/>
    <s v="Nagpur"/>
    <s v="Office Supplies"/>
    <s v="Envelope"/>
    <s v="Envelope - Office Supplies"/>
    <x v="851"/>
    <n v="3"/>
    <n v="26"/>
    <n v="270.97000000000003"/>
    <s v="In Transit"/>
    <s v="UPI"/>
    <s v="09-2024"/>
    <x v="1"/>
    <x v="851"/>
    <s v="Profit"/>
    <s v="High (&gt;20%)"/>
  </r>
  <r>
    <s v="ODR00853"/>
    <d v="2025-01-22T00:00:00"/>
    <s v="Kriti Desai"/>
    <x v="1"/>
    <s v="Delhi"/>
    <s v="Technology"/>
    <s v="Mobile"/>
    <s v="Mobile - Technology"/>
    <x v="852"/>
    <n v="10"/>
    <n v="16"/>
    <n v="2692.54"/>
    <s v="Delivered"/>
    <s v="Credit Card"/>
    <s v="01-2025"/>
    <x v="0"/>
    <x v="852"/>
    <s v="Profit"/>
    <s v="Mid (11-20%)"/>
  </r>
  <r>
    <s v="ODR00854"/>
    <d v="2025-03-29T00:00:00"/>
    <s v="Diya Sharma"/>
    <x v="1"/>
    <s v="Delhi"/>
    <s v="Technology"/>
    <s v="Laptop"/>
    <s v="Laptop - Technology"/>
    <x v="853"/>
    <n v="2"/>
    <n v="30"/>
    <n v="110.46"/>
    <s v="Returned"/>
    <s v="Cash"/>
    <s v="03-2025"/>
    <x v="0"/>
    <x v="853"/>
    <s v="Profit"/>
    <s v="High (&gt;20%)"/>
  </r>
  <r>
    <s v="ODR00855"/>
    <d v="2024-10-21T00:00:00"/>
    <s v="Aarav Patel"/>
    <x v="1"/>
    <s v="Jaipur"/>
    <s v="Technology"/>
    <s v="Printer"/>
    <s v="Printer - Technology"/>
    <x v="854"/>
    <n v="4"/>
    <n v="16"/>
    <n v="992.09"/>
    <s v="Returned"/>
    <s v="Credit Card"/>
    <s v="10-2024"/>
    <x v="1"/>
    <x v="854"/>
    <s v="Profit"/>
    <s v="Mid (11-20%)"/>
  </r>
  <r>
    <s v="ODR00856"/>
    <d v="2024-07-02T00:00:00"/>
    <s v="Diya Sharma"/>
    <x v="3"/>
    <s v="Indore"/>
    <s v="Office Supplies"/>
    <s v="Stapler"/>
    <s v="Stapler - Office Supplies"/>
    <x v="855"/>
    <n v="6"/>
    <n v="19"/>
    <n v="1813.43"/>
    <s v="In Transit"/>
    <s v="Credit Card"/>
    <s v="07-2024"/>
    <x v="1"/>
    <x v="855"/>
    <s v="Profit"/>
    <s v="Mid (11-20%)"/>
  </r>
  <r>
    <s v="ODR00857"/>
    <d v="2025-04-01T00:00:00"/>
    <s v="Vivaan Shah"/>
    <x v="3"/>
    <s v="Nagpur"/>
    <s v="Technology"/>
    <s v="Mobile"/>
    <s v="Mobile - Technology"/>
    <x v="856"/>
    <n v="9"/>
    <n v="30"/>
    <n v="694.19"/>
    <s v="Delivered"/>
    <s v="UPI"/>
    <s v="04-2025"/>
    <x v="0"/>
    <x v="856"/>
    <s v="Profit"/>
    <s v="High (&gt;20%)"/>
  </r>
  <r>
    <s v="ODR00858"/>
    <d v="2024-08-17T00:00:00"/>
    <s v="Ishaan Mehta"/>
    <x v="0"/>
    <s v="Bhubaneswar"/>
    <s v="Furniture"/>
    <s v="Table"/>
    <s v="Table - Furniture"/>
    <x v="857"/>
    <n v="1"/>
    <n v="13"/>
    <n v="47.68"/>
    <s v="Returned"/>
    <s v="Credit Card"/>
    <s v="08-2024"/>
    <x v="1"/>
    <x v="857"/>
    <s v="Profit"/>
    <s v="Mid (11-20%)"/>
  </r>
  <r>
    <s v="ODR00859"/>
    <d v="2024-06-02T00:00:00"/>
    <s v="Sneha Reddy"/>
    <x v="2"/>
    <s v="Hyderabad"/>
    <s v="Technology"/>
    <s v="Tablet"/>
    <s v="Tablet - Technology"/>
    <x v="858"/>
    <n v="2"/>
    <n v="22"/>
    <n v="549.17999999999995"/>
    <s v="Delivered"/>
    <s v="UPI"/>
    <s v="06-2024"/>
    <x v="1"/>
    <x v="858"/>
    <s v="Profit"/>
    <s v="High (&gt;20%)"/>
  </r>
  <r>
    <s v="ODR00860"/>
    <d v="2024-12-28T00:00:00"/>
    <s v="Anaya Singh"/>
    <x v="2"/>
    <s v="Hyderabad"/>
    <s v="Furniture"/>
    <s v="Chair"/>
    <s v="Chair - Furniture"/>
    <x v="859"/>
    <n v="8"/>
    <n v="24"/>
    <n v="1052.79"/>
    <s v="Delivered"/>
    <s v="Credit Card"/>
    <s v="12-2024"/>
    <x v="1"/>
    <x v="859"/>
    <s v="Profit"/>
    <s v="High (&gt;20%)"/>
  </r>
  <r>
    <s v="ODR00861"/>
    <d v="2024-05-15T00:00:00"/>
    <s v="Tanishq Ghosh"/>
    <x v="0"/>
    <s v="Patna"/>
    <s v="Technology"/>
    <s v="Laptop"/>
    <s v="Laptop - Technology"/>
    <x v="860"/>
    <n v="1"/>
    <n v="24"/>
    <n v="22.49"/>
    <s v="Delivered"/>
    <s v="Net Banking"/>
    <s v="05-2024"/>
    <x v="1"/>
    <x v="860"/>
    <s v="Profit"/>
    <s v="High (&gt;20%)"/>
  </r>
  <r>
    <s v="ODR00862"/>
    <d v="2025-04-29T00:00:00"/>
    <s v="Kriti Desai"/>
    <x v="2"/>
    <s v="Bangalore"/>
    <s v="Technology"/>
    <s v="Mobile"/>
    <s v="Mobile - Technology"/>
    <x v="861"/>
    <n v="10"/>
    <n v="11"/>
    <n v="341"/>
    <s v="Returned"/>
    <s v="Credit Card"/>
    <s v="04-2025"/>
    <x v="0"/>
    <x v="861"/>
    <s v="Profit"/>
    <s v="Mid (11-20%)"/>
  </r>
  <r>
    <s v="ODR00863"/>
    <d v="2024-06-28T00:00:00"/>
    <s v="Anaya Singh"/>
    <x v="3"/>
    <s v="Indore"/>
    <s v="Furniture"/>
    <s v="Cupboard"/>
    <s v="Cupboard - Furniture"/>
    <x v="862"/>
    <n v="5"/>
    <n v="10"/>
    <n v="235.03"/>
    <s v="Returned"/>
    <s v="Credit Card"/>
    <s v="06-2024"/>
    <x v="1"/>
    <x v="862"/>
    <s v="Profit"/>
    <s v="Low (1-10%)"/>
  </r>
  <r>
    <s v="ODR00864"/>
    <d v="2025-01-13T00:00:00"/>
    <s v="Arjun Verma"/>
    <x v="1"/>
    <s v="Lucknow"/>
    <s v="Office Supplies"/>
    <s v="Pen"/>
    <s v="Pen - Office Supplies"/>
    <x v="863"/>
    <n v="1"/>
    <n v="27"/>
    <n v="145.09"/>
    <s v="Returned"/>
    <s v="UPI"/>
    <s v="01-2025"/>
    <x v="0"/>
    <x v="863"/>
    <s v="Profit"/>
    <s v="High (&gt;20%)"/>
  </r>
  <r>
    <s v="ODR00865"/>
    <d v="2024-10-10T00:00:00"/>
    <s v="Meera Joshi"/>
    <x v="2"/>
    <s v="Chennai"/>
    <s v="Furniture"/>
    <s v="Chair"/>
    <s v="Chair - Furniture"/>
    <x v="864"/>
    <n v="4"/>
    <n v="15"/>
    <n v="1196.26"/>
    <s v="Returned"/>
    <s v="Cash"/>
    <s v="10-2024"/>
    <x v="1"/>
    <x v="864"/>
    <s v="Profit"/>
    <s v="Mid (11-20%)"/>
  </r>
  <r>
    <s v="ODR00866"/>
    <d v="2024-06-24T00:00:00"/>
    <s v="Diya Sharma"/>
    <x v="1"/>
    <s v="Jaipur"/>
    <s v="Furniture"/>
    <s v="Table"/>
    <s v="Table - Furniture"/>
    <x v="865"/>
    <n v="3"/>
    <n v="28"/>
    <n v="645.46"/>
    <s v="Returned"/>
    <s v="Credit Card"/>
    <s v="06-2024"/>
    <x v="1"/>
    <x v="865"/>
    <s v="Profit"/>
    <s v="High (&gt;20%)"/>
  </r>
  <r>
    <s v="ODR00867"/>
    <d v="2024-08-04T00:00:00"/>
    <s v="Sneha Reddy"/>
    <x v="3"/>
    <s v="Ahmedabad"/>
    <s v="Technology"/>
    <s v="Printer"/>
    <s v="Printer - Technology"/>
    <x v="866"/>
    <n v="9"/>
    <n v="17"/>
    <n v="2050.6799999999998"/>
    <s v="Returned"/>
    <s v="Cash"/>
    <s v="08-2024"/>
    <x v="1"/>
    <x v="866"/>
    <s v="Profit"/>
    <s v="Mid (11-20%)"/>
  </r>
  <r>
    <s v="ODR00868"/>
    <d v="2024-07-30T00:00:00"/>
    <s v="Saanvi Iyer"/>
    <x v="2"/>
    <s v="Hyderabad"/>
    <s v="Technology"/>
    <s v="Mobile"/>
    <s v="Mobile - Technology"/>
    <x v="867"/>
    <n v="8"/>
    <n v="1"/>
    <n v="2236.56"/>
    <s v="Delivered"/>
    <s v="UPI"/>
    <s v="07-2024"/>
    <x v="1"/>
    <x v="867"/>
    <s v="Profit"/>
    <s v="Low (1-10%)"/>
  </r>
  <r>
    <s v="ODR00869"/>
    <d v="2024-05-16T00:00:00"/>
    <s v="Riya Kapoor"/>
    <x v="1"/>
    <s v="Jaipur"/>
    <s v="Furniture"/>
    <s v="Table"/>
    <s v="Table - Furniture"/>
    <x v="868"/>
    <n v="6"/>
    <n v="28"/>
    <n v="1243.8499999999999"/>
    <s v="In Transit"/>
    <s v="UPI"/>
    <s v="05-2024"/>
    <x v="1"/>
    <x v="868"/>
    <s v="Profit"/>
    <s v="High (&gt;20%)"/>
  </r>
  <r>
    <s v="ODR00870"/>
    <d v="2024-06-01T00:00:00"/>
    <s v="Meera Joshi"/>
    <x v="1"/>
    <s v="Chandigarh"/>
    <s v="Furniture"/>
    <s v="Chair"/>
    <s v="Chair - Furniture"/>
    <x v="869"/>
    <n v="7"/>
    <n v="11"/>
    <n v="556.62"/>
    <s v="Delivered"/>
    <s v="Credit Card"/>
    <s v="06-2024"/>
    <x v="1"/>
    <x v="869"/>
    <s v="Profit"/>
    <s v="Mid (11-20%)"/>
  </r>
  <r>
    <s v="ODR00871"/>
    <d v="2024-07-28T00:00:00"/>
    <s v="Anaya Singh"/>
    <x v="0"/>
    <s v="Kolkata"/>
    <s v="Furniture"/>
    <s v="Cupboard"/>
    <s v="Cupboard - Furniture"/>
    <x v="870"/>
    <n v="10"/>
    <n v="8"/>
    <n v="1147.53"/>
    <s v="In Transit"/>
    <s v="Credit Card"/>
    <s v="07-2024"/>
    <x v="1"/>
    <x v="870"/>
    <s v="Profit"/>
    <s v="Low (1-10%)"/>
  </r>
  <r>
    <s v="ODR00872"/>
    <d v="2025-03-10T00:00:00"/>
    <s v="Arjun Verma"/>
    <x v="1"/>
    <s v="Chandigarh"/>
    <s v="Furniture"/>
    <s v="Cupboard"/>
    <s v="Cupboard - Furniture"/>
    <x v="871"/>
    <n v="4"/>
    <n v="14"/>
    <n v="208.99"/>
    <s v="Returned"/>
    <s v="Cash"/>
    <s v="03-2025"/>
    <x v="0"/>
    <x v="871"/>
    <s v="Profit"/>
    <s v="Mid (11-20%)"/>
  </r>
  <r>
    <s v="ODR00873"/>
    <d v="2024-12-03T00:00:00"/>
    <s v="Aarav Patel"/>
    <x v="1"/>
    <s v="Delhi"/>
    <s v="Technology"/>
    <s v="Tablet"/>
    <s v="Tablet - Technology"/>
    <x v="872"/>
    <n v="9"/>
    <n v="14"/>
    <n v="645.59"/>
    <s v="Delivered"/>
    <s v="UPI"/>
    <s v="12-2024"/>
    <x v="1"/>
    <x v="872"/>
    <s v="Profit"/>
    <s v="Mid (11-20%)"/>
  </r>
  <r>
    <s v="ODR00874"/>
    <d v="2024-05-19T00:00:00"/>
    <s v="Vivaan Shah"/>
    <x v="1"/>
    <s v="Chandigarh"/>
    <s v="Office Supplies"/>
    <s v="Pen"/>
    <s v="Pen - Office Supplies"/>
    <x v="873"/>
    <n v="7"/>
    <n v="22"/>
    <n v="258.10000000000002"/>
    <s v="Delivered"/>
    <s v="Net Banking"/>
    <s v="05-2024"/>
    <x v="1"/>
    <x v="873"/>
    <s v="Profit"/>
    <s v="High (&gt;20%)"/>
  </r>
  <r>
    <s v="ODR00875"/>
    <d v="2025-04-07T00:00:00"/>
    <s v="Arjun Verma"/>
    <x v="3"/>
    <s v="Nagpur"/>
    <s v="Furniture"/>
    <s v="Table"/>
    <s v="Table - Furniture"/>
    <x v="874"/>
    <n v="9"/>
    <n v="9"/>
    <n v="1017.9"/>
    <s v="Delivered"/>
    <s v="Credit Card"/>
    <s v="04-2025"/>
    <x v="0"/>
    <x v="874"/>
    <s v="Profit"/>
    <s v="Low (1-10%)"/>
  </r>
  <r>
    <s v="ODR00876"/>
    <d v="2024-07-27T00:00:00"/>
    <s v="Tanishq Ghosh"/>
    <x v="1"/>
    <s v="Chandigarh"/>
    <s v="Office Supplies"/>
    <s v="Notebook"/>
    <s v="Notebook - Office Supplies"/>
    <x v="875"/>
    <n v="4"/>
    <n v="18"/>
    <n v="666.36"/>
    <s v="Delivered"/>
    <s v="UPI"/>
    <s v="07-2024"/>
    <x v="1"/>
    <x v="875"/>
    <s v="Profit"/>
    <s v="Mid (11-20%)"/>
  </r>
  <r>
    <s v="ODR00877"/>
    <d v="2024-12-29T00:00:00"/>
    <s v="Riya Kapoor"/>
    <x v="1"/>
    <s v="Lucknow"/>
    <s v="Furniture"/>
    <s v="Chair"/>
    <s v="Chair - Furniture"/>
    <x v="876"/>
    <n v="5"/>
    <n v="2"/>
    <n v="935.8"/>
    <s v="In Transit"/>
    <s v="Cash"/>
    <s v="12-2024"/>
    <x v="1"/>
    <x v="876"/>
    <s v="Profit"/>
    <s v="Low (1-10%)"/>
  </r>
  <r>
    <s v="ODR00878"/>
    <d v="2025-03-18T00:00:00"/>
    <s v="Krishna Das"/>
    <x v="2"/>
    <s v="Hyderabad"/>
    <s v="Furniture"/>
    <s v="Sofa"/>
    <s v="Sofa - Furniture"/>
    <x v="877"/>
    <n v="7"/>
    <n v="5"/>
    <n v="1330.41"/>
    <s v="Delivered"/>
    <s v="UPI"/>
    <s v="03-2025"/>
    <x v="0"/>
    <x v="877"/>
    <s v="Profit"/>
    <s v="Low (1-10%)"/>
  </r>
  <r>
    <s v="ODR00879"/>
    <d v="2025-04-12T00:00:00"/>
    <s v="Kabir Nair"/>
    <x v="3"/>
    <s v="Indore"/>
    <s v="Office Supplies"/>
    <s v="Notebook"/>
    <s v="Notebook - Office Supplies"/>
    <x v="878"/>
    <n v="2"/>
    <n v="28"/>
    <n v="254.55"/>
    <s v="Delivered"/>
    <s v="Cash"/>
    <s v="04-2025"/>
    <x v="0"/>
    <x v="878"/>
    <s v="Profit"/>
    <s v="High (&gt;20%)"/>
  </r>
  <r>
    <s v="ODR00880"/>
    <d v="2025-01-31T00:00:00"/>
    <s v="Ishaan Mehta"/>
    <x v="1"/>
    <s v="Delhi"/>
    <s v="Furniture"/>
    <s v="Cupboard"/>
    <s v="Cupboard - Furniture"/>
    <x v="879"/>
    <n v="4"/>
    <n v="8"/>
    <n v="555.17999999999995"/>
    <s v="Delivered"/>
    <s v="Credit Card"/>
    <s v="01-2025"/>
    <x v="0"/>
    <x v="879"/>
    <s v="Profit"/>
    <s v="Low (1-10%)"/>
  </r>
  <r>
    <s v="ODR00881"/>
    <d v="2025-01-20T00:00:00"/>
    <s v="Aarav Patel"/>
    <x v="1"/>
    <s v="Delhi"/>
    <s v="Furniture"/>
    <s v="Chair"/>
    <s v="Chair - Furniture"/>
    <x v="880"/>
    <n v="6"/>
    <n v="17"/>
    <n v="520.75"/>
    <s v="In Transit"/>
    <s v="Cash"/>
    <s v="01-2025"/>
    <x v="0"/>
    <x v="880"/>
    <s v="Profit"/>
    <s v="Mid (11-20%)"/>
  </r>
  <r>
    <s v="ODR00882"/>
    <d v="2024-12-15T00:00:00"/>
    <s v="Vivaan Shah"/>
    <x v="2"/>
    <s v="Hyderabad"/>
    <s v="Technology"/>
    <s v="Mobile"/>
    <s v="Mobile - Technology"/>
    <x v="881"/>
    <n v="10"/>
    <n v="6"/>
    <n v="219.38"/>
    <s v="Delivered"/>
    <s v="Net Banking"/>
    <s v="12-2024"/>
    <x v="1"/>
    <x v="881"/>
    <s v="Profit"/>
    <s v="Low (1-10%)"/>
  </r>
  <r>
    <s v="ODR00883"/>
    <d v="2024-10-26T00:00:00"/>
    <s v="Anaya Singh"/>
    <x v="1"/>
    <s v="Lucknow"/>
    <s v="Technology"/>
    <s v="Tablet"/>
    <s v="Tablet - Technology"/>
    <x v="882"/>
    <n v="5"/>
    <n v="29"/>
    <n v="903.11"/>
    <s v="In Transit"/>
    <s v="Cash"/>
    <s v="10-2024"/>
    <x v="1"/>
    <x v="882"/>
    <s v="Profit"/>
    <s v="High (&gt;20%)"/>
  </r>
  <r>
    <s v="ODR00884"/>
    <d v="2024-08-06T00:00:00"/>
    <s v="Kabir Nair"/>
    <x v="2"/>
    <s v="Bangalore"/>
    <s v="Office Supplies"/>
    <s v="Stapler"/>
    <s v="Stapler - Office Supplies"/>
    <x v="883"/>
    <n v="8"/>
    <n v="5"/>
    <n v="1279.6099999999999"/>
    <s v="In Transit"/>
    <s v="Net Banking"/>
    <s v="08-2024"/>
    <x v="1"/>
    <x v="883"/>
    <s v="Profit"/>
    <s v="Low (1-10%)"/>
  </r>
  <r>
    <s v="ODR00885"/>
    <d v="2024-07-12T00:00:00"/>
    <s v="Kabir Nair"/>
    <x v="0"/>
    <s v="Kolkata"/>
    <s v="Technology"/>
    <s v="Tablet"/>
    <s v="Tablet - Technology"/>
    <x v="884"/>
    <n v="2"/>
    <n v="16"/>
    <n v="93.63"/>
    <s v="In Transit"/>
    <s v="Cash"/>
    <s v="07-2024"/>
    <x v="1"/>
    <x v="884"/>
    <s v="Profit"/>
    <s v="Mid (11-20%)"/>
  </r>
  <r>
    <s v="ODR00886"/>
    <d v="2025-05-01T00:00:00"/>
    <s v="Tanishq Ghosh"/>
    <x v="0"/>
    <s v="Kolkata"/>
    <s v="Office Supplies"/>
    <s v="Envelope"/>
    <s v="Envelope - Office Supplies"/>
    <x v="885"/>
    <n v="5"/>
    <n v="15"/>
    <n v="1298.6199999999999"/>
    <s v="Delivered"/>
    <s v="Net Banking"/>
    <s v="05-2025"/>
    <x v="0"/>
    <x v="885"/>
    <s v="Profit"/>
    <s v="Mid (11-20%)"/>
  </r>
  <r>
    <s v="ODR00887"/>
    <d v="2024-05-21T00:00:00"/>
    <s v="Riya Kapoor"/>
    <x v="3"/>
    <s v="Nagpur"/>
    <s v="Office Supplies"/>
    <s v="Envelope"/>
    <s v="Envelope - Office Supplies"/>
    <x v="886"/>
    <n v="6"/>
    <n v="19"/>
    <n v="234.81"/>
    <s v="In Transit"/>
    <s v="Credit Card"/>
    <s v="05-2024"/>
    <x v="1"/>
    <x v="886"/>
    <s v="Profit"/>
    <s v="Mid (11-20%)"/>
  </r>
  <r>
    <s v="ODR00888"/>
    <d v="2024-06-26T00:00:00"/>
    <s v="Tanishq Ghosh"/>
    <x v="2"/>
    <s v="Bangalore"/>
    <s v="Furniture"/>
    <s v="Cupboard"/>
    <s v="Cupboard - Furniture"/>
    <x v="887"/>
    <n v="10"/>
    <n v="22"/>
    <n v="1088.74"/>
    <s v="Delivered"/>
    <s v="UPI"/>
    <s v="06-2024"/>
    <x v="1"/>
    <x v="887"/>
    <s v="Profit"/>
    <s v="High (&gt;20%)"/>
  </r>
  <r>
    <s v="ODR00889"/>
    <d v="2024-09-28T00:00:00"/>
    <s v="Anaya Singh"/>
    <x v="2"/>
    <s v="Chennai"/>
    <s v="Furniture"/>
    <s v="Cupboard"/>
    <s v="Cupboard - Furniture"/>
    <x v="888"/>
    <n v="6"/>
    <n v="2"/>
    <n v="434.92"/>
    <s v="In Transit"/>
    <s v="Net Banking"/>
    <s v="09-2024"/>
    <x v="1"/>
    <x v="888"/>
    <s v="Profit"/>
    <s v="Low (1-10%)"/>
  </r>
  <r>
    <s v="ODR00890"/>
    <d v="2024-08-09T00:00:00"/>
    <s v="Yuvraj Chauhan"/>
    <x v="3"/>
    <s v="Pune"/>
    <s v="Office Supplies"/>
    <s v="Notebook"/>
    <s v="Notebook - Office Supplies"/>
    <x v="889"/>
    <n v="4"/>
    <n v="17"/>
    <n v="177.21"/>
    <s v="In Transit"/>
    <s v="UPI"/>
    <s v="08-2024"/>
    <x v="1"/>
    <x v="889"/>
    <s v="Profit"/>
    <s v="Mid (11-20%)"/>
  </r>
  <r>
    <s v="ODR00891"/>
    <d v="2025-04-19T00:00:00"/>
    <s v="Vivaan Shah"/>
    <x v="3"/>
    <s v="Indore"/>
    <s v="Technology"/>
    <s v="Mobile"/>
    <s v="Mobile - Technology"/>
    <x v="890"/>
    <n v="1"/>
    <n v="27"/>
    <n v="22.09"/>
    <s v="Returned"/>
    <s v="UPI"/>
    <s v="04-2025"/>
    <x v="0"/>
    <x v="890"/>
    <s v="Profit"/>
    <s v="High (&gt;20%)"/>
  </r>
  <r>
    <s v="ODR00892"/>
    <d v="2025-03-15T00:00:00"/>
    <s v="Ishaan Mehta"/>
    <x v="0"/>
    <s v="Bhubaneswar"/>
    <s v="Technology"/>
    <s v="Tablet"/>
    <s v="Tablet - Technology"/>
    <x v="891"/>
    <n v="9"/>
    <n v="21"/>
    <n v="148.99"/>
    <s v="In Transit"/>
    <s v="Cash"/>
    <s v="03-2025"/>
    <x v="0"/>
    <x v="891"/>
    <s v="Profit"/>
    <s v="High (&gt;20%)"/>
  </r>
  <r>
    <s v="ODR00893"/>
    <d v="2025-02-03T00:00:00"/>
    <s v="Riya Kapoor"/>
    <x v="3"/>
    <s v="Mumbai"/>
    <s v="Furniture"/>
    <s v="Chair"/>
    <s v="Chair - Furniture"/>
    <x v="892"/>
    <n v="3"/>
    <n v="12"/>
    <n v="166.77"/>
    <s v="In Transit"/>
    <s v="Cash"/>
    <s v="02-2025"/>
    <x v="0"/>
    <x v="892"/>
    <s v="Profit"/>
    <s v="Mid (11-20%)"/>
  </r>
  <r>
    <s v="ODR00894"/>
    <d v="2025-05-10T00:00:00"/>
    <s v="Kriti Desai"/>
    <x v="2"/>
    <s v="Bangalore"/>
    <s v="Furniture"/>
    <s v="Sofa"/>
    <s v="Sofa - Furniture"/>
    <x v="893"/>
    <n v="1"/>
    <n v="27"/>
    <n v="62.91"/>
    <s v="In Transit"/>
    <s v="Cash"/>
    <s v="05-2025"/>
    <x v="0"/>
    <x v="893"/>
    <s v="Profit"/>
    <s v="High (&gt;20%)"/>
  </r>
  <r>
    <s v="ODR00895"/>
    <d v="2024-07-22T00:00:00"/>
    <s v="Anaya Singh"/>
    <x v="1"/>
    <s v="Chandigarh"/>
    <s v="Furniture"/>
    <s v="Sofa"/>
    <s v="Sofa - Furniture"/>
    <x v="894"/>
    <n v="9"/>
    <n v="6"/>
    <n v="782.56"/>
    <s v="Delivered"/>
    <s v="Net Banking"/>
    <s v="07-2024"/>
    <x v="1"/>
    <x v="894"/>
    <s v="Profit"/>
    <s v="Low (1-10%)"/>
  </r>
  <r>
    <s v="ODR00896"/>
    <d v="2025-01-24T00:00:00"/>
    <s v="Krishna Das"/>
    <x v="1"/>
    <s v="Chandigarh"/>
    <s v="Furniture"/>
    <s v="Table"/>
    <s v="Table - Furniture"/>
    <x v="895"/>
    <n v="1"/>
    <n v="3"/>
    <n v="172.11"/>
    <s v="Returned"/>
    <s v="Net Banking"/>
    <s v="01-2025"/>
    <x v="0"/>
    <x v="895"/>
    <s v="Profit"/>
    <s v="Low (1-10%)"/>
  </r>
  <r>
    <s v="ODR00897"/>
    <d v="2024-11-12T00:00:00"/>
    <s v="Anaya Singh"/>
    <x v="1"/>
    <s v="Lucknow"/>
    <s v="Office Supplies"/>
    <s v="Notebook"/>
    <s v="Notebook - Office Supplies"/>
    <x v="896"/>
    <n v="7"/>
    <n v="10"/>
    <n v="416.86"/>
    <s v="Returned"/>
    <s v="Cash"/>
    <s v="11-2024"/>
    <x v="1"/>
    <x v="896"/>
    <s v="Profit"/>
    <s v="Low (1-10%)"/>
  </r>
  <r>
    <s v="ODR00898"/>
    <d v="2025-03-12T00:00:00"/>
    <s v="Saanvi Iyer"/>
    <x v="3"/>
    <s v="Mumbai"/>
    <s v="Office Supplies"/>
    <s v="Notebook"/>
    <s v="Notebook - Office Supplies"/>
    <x v="897"/>
    <n v="7"/>
    <n v="11"/>
    <n v="1184.03"/>
    <s v="Delivered"/>
    <s v="Credit Card"/>
    <s v="03-2025"/>
    <x v="0"/>
    <x v="897"/>
    <s v="Profit"/>
    <s v="Mid (11-20%)"/>
  </r>
  <r>
    <s v="ODR00899"/>
    <d v="2024-05-19T00:00:00"/>
    <s v="Krishna Das"/>
    <x v="0"/>
    <s v="Patna"/>
    <s v="Furniture"/>
    <s v="Table"/>
    <s v="Table - Furniture"/>
    <x v="898"/>
    <n v="9"/>
    <n v="17"/>
    <n v="2074.2800000000002"/>
    <s v="Returned"/>
    <s v="Cash"/>
    <s v="05-2024"/>
    <x v="1"/>
    <x v="898"/>
    <s v="Profit"/>
    <s v="Mid (11-20%)"/>
  </r>
  <r>
    <s v="ODR00900"/>
    <d v="2024-12-19T00:00:00"/>
    <s v="Kabir Nair"/>
    <x v="2"/>
    <s v="Bangalore"/>
    <s v="Office Supplies"/>
    <s v="Notebook"/>
    <s v="Notebook - Office Supplies"/>
    <x v="899"/>
    <n v="3"/>
    <n v="13"/>
    <n v="76.23"/>
    <s v="Returned"/>
    <s v="Cash"/>
    <s v="12-2024"/>
    <x v="1"/>
    <x v="899"/>
    <s v="Profit"/>
    <s v="Mid (11-20%)"/>
  </r>
  <r>
    <s v="ODR00901"/>
    <d v="2025-02-02T00:00:00"/>
    <s v="Vivaan Shah"/>
    <x v="0"/>
    <s v="Bhubaneswar"/>
    <s v="Technology"/>
    <s v="Printer"/>
    <s v="Printer - Technology"/>
    <x v="900"/>
    <n v="3"/>
    <n v="22"/>
    <n v="476.6"/>
    <s v="Delivered"/>
    <s v="Cash"/>
    <s v="02-2025"/>
    <x v="0"/>
    <x v="900"/>
    <s v="Profit"/>
    <s v="High (&gt;20%)"/>
  </r>
  <r>
    <s v="ODR00902"/>
    <d v="2024-09-01T00:00:00"/>
    <s v="Kabir Nair"/>
    <x v="3"/>
    <s v="Indore"/>
    <s v="Technology"/>
    <s v="Tablet"/>
    <s v="Tablet - Technology"/>
    <x v="901"/>
    <n v="5"/>
    <n v="23"/>
    <n v="322.92"/>
    <s v="In Transit"/>
    <s v="Cash"/>
    <s v="09-2024"/>
    <x v="1"/>
    <x v="901"/>
    <s v="Profit"/>
    <s v="High (&gt;20%)"/>
  </r>
  <r>
    <s v="ODR00903"/>
    <d v="2024-08-03T00:00:00"/>
    <s v="Kabir Nair"/>
    <x v="3"/>
    <s v="Indore"/>
    <s v="Furniture"/>
    <s v="Chair"/>
    <s v="Chair - Furniture"/>
    <x v="902"/>
    <n v="1"/>
    <n v="2"/>
    <n v="183.03"/>
    <s v="In Transit"/>
    <s v="UPI"/>
    <s v="08-2024"/>
    <x v="1"/>
    <x v="902"/>
    <s v="Profit"/>
    <s v="Low (1-10%)"/>
  </r>
  <r>
    <s v="ODR00904"/>
    <d v="2025-04-16T00:00:00"/>
    <s v="Anaya Singh"/>
    <x v="1"/>
    <s v="Delhi"/>
    <s v="Technology"/>
    <s v="Tablet"/>
    <s v="Tablet - Technology"/>
    <x v="903"/>
    <n v="8"/>
    <n v="0"/>
    <n v="1221.69"/>
    <s v="In Transit"/>
    <s v="Cash"/>
    <s v="04-2025"/>
    <x v="0"/>
    <x v="903"/>
    <s v="Profit"/>
    <s v="No Discount"/>
  </r>
  <r>
    <s v="ODR00905"/>
    <d v="2024-12-16T00:00:00"/>
    <s v="Diya Sharma"/>
    <x v="1"/>
    <s v="Lucknow"/>
    <s v="Furniture"/>
    <s v="Chair"/>
    <s v="Chair - Furniture"/>
    <x v="904"/>
    <n v="5"/>
    <n v="13"/>
    <n v="230.44"/>
    <s v="In Transit"/>
    <s v="Credit Card"/>
    <s v="12-2024"/>
    <x v="1"/>
    <x v="904"/>
    <s v="Profit"/>
    <s v="Mid (11-20%)"/>
  </r>
  <r>
    <s v="ODR00906"/>
    <d v="2024-12-16T00:00:00"/>
    <s v="Riya Kapoor"/>
    <x v="1"/>
    <s v="Lucknow"/>
    <s v="Technology"/>
    <s v="Mobile"/>
    <s v="Mobile - Technology"/>
    <x v="905"/>
    <n v="10"/>
    <n v="29"/>
    <n v="818.96"/>
    <s v="In Transit"/>
    <s v="Credit Card"/>
    <s v="12-2024"/>
    <x v="1"/>
    <x v="905"/>
    <s v="Profit"/>
    <s v="High (&gt;20%)"/>
  </r>
  <r>
    <s v="ODR00907"/>
    <d v="2024-09-06T00:00:00"/>
    <s v="Krishna Das"/>
    <x v="0"/>
    <s v="Patna"/>
    <s v="Office Supplies"/>
    <s v="Envelope"/>
    <s v="Envelope - Office Supplies"/>
    <x v="906"/>
    <n v="6"/>
    <n v="8"/>
    <n v="796.14"/>
    <s v="Delivered"/>
    <s v="Credit Card"/>
    <s v="09-2024"/>
    <x v="1"/>
    <x v="906"/>
    <s v="Profit"/>
    <s v="Low (1-10%)"/>
  </r>
  <r>
    <s v="ODR00908"/>
    <d v="2024-11-19T00:00:00"/>
    <s v="Arjun Verma"/>
    <x v="3"/>
    <s v="Ahmedabad"/>
    <s v="Technology"/>
    <s v="Tablet"/>
    <s v="Tablet - Technology"/>
    <x v="907"/>
    <n v="4"/>
    <n v="19"/>
    <n v="108.23"/>
    <s v="Delivered"/>
    <s v="Credit Card"/>
    <s v="11-2024"/>
    <x v="1"/>
    <x v="907"/>
    <s v="Profit"/>
    <s v="Mid (11-20%)"/>
  </r>
  <r>
    <s v="ODR00909"/>
    <d v="2025-04-09T00:00:00"/>
    <s v="Riya Kapoor"/>
    <x v="2"/>
    <s v="Hyderabad"/>
    <s v="Furniture"/>
    <s v="Cupboard"/>
    <s v="Cupboard - Furniture"/>
    <x v="908"/>
    <n v="4"/>
    <n v="5"/>
    <n v="563.72"/>
    <s v="Delivered"/>
    <s v="Net Banking"/>
    <s v="04-2025"/>
    <x v="0"/>
    <x v="908"/>
    <s v="Profit"/>
    <s v="Low (1-10%)"/>
  </r>
  <r>
    <s v="ODR00910"/>
    <d v="2025-05-04T00:00:00"/>
    <s v="Tanishq Ghosh"/>
    <x v="1"/>
    <s v="Lucknow"/>
    <s v="Technology"/>
    <s v="Laptop"/>
    <s v="Laptop - Technology"/>
    <x v="909"/>
    <n v="7"/>
    <n v="14"/>
    <n v="1930.27"/>
    <s v="Delivered"/>
    <s v="Cash"/>
    <s v="05-2025"/>
    <x v="0"/>
    <x v="909"/>
    <s v="Profit"/>
    <s v="Mid (11-20%)"/>
  </r>
  <r>
    <s v="ODR00911"/>
    <d v="2025-02-28T00:00:00"/>
    <s v="Arjun Verma"/>
    <x v="1"/>
    <s v="Delhi"/>
    <s v="Office Supplies"/>
    <s v="Notebook"/>
    <s v="Notebook - Office Supplies"/>
    <x v="910"/>
    <n v="9"/>
    <n v="16"/>
    <n v="248.42"/>
    <s v="Delivered"/>
    <s v="Net Banking"/>
    <s v="02-2025"/>
    <x v="0"/>
    <x v="910"/>
    <s v="Profit"/>
    <s v="Mid (11-20%)"/>
  </r>
  <r>
    <s v="ODR00912"/>
    <d v="2025-03-03T00:00:00"/>
    <s v="Riya Kapoor"/>
    <x v="1"/>
    <s v="Chandigarh"/>
    <s v="Furniture"/>
    <s v="Sofa"/>
    <s v="Sofa - Furniture"/>
    <x v="911"/>
    <n v="10"/>
    <n v="23"/>
    <n v="225.15"/>
    <s v="In Transit"/>
    <s v="Cash"/>
    <s v="03-2025"/>
    <x v="0"/>
    <x v="911"/>
    <s v="Profit"/>
    <s v="High (&gt;20%)"/>
  </r>
  <r>
    <s v="ODR00913"/>
    <d v="2024-12-29T00:00:00"/>
    <s v="Saanvi Iyer"/>
    <x v="2"/>
    <s v="Hyderabad"/>
    <s v="Technology"/>
    <s v="Mobile"/>
    <s v="Mobile - Technology"/>
    <x v="912"/>
    <n v="7"/>
    <n v="0"/>
    <n v="569.9"/>
    <s v="In Transit"/>
    <s v="Credit Card"/>
    <s v="12-2024"/>
    <x v="1"/>
    <x v="912"/>
    <s v="Profit"/>
    <s v="No Discount"/>
  </r>
  <r>
    <s v="ODR00914"/>
    <d v="2024-06-10T00:00:00"/>
    <s v="Kriti Desai"/>
    <x v="1"/>
    <s v="Chandigarh"/>
    <s v="Furniture"/>
    <s v="Table"/>
    <s v="Table - Furniture"/>
    <x v="913"/>
    <n v="10"/>
    <n v="9"/>
    <n v="751.97"/>
    <s v="Delivered"/>
    <s v="Cash"/>
    <s v="06-2024"/>
    <x v="1"/>
    <x v="913"/>
    <s v="Profit"/>
    <s v="Low (1-10%)"/>
  </r>
  <r>
    <s v="ODR00915"/>
    <d v="2024-06-10T00:00:00"/>
    <s v="Tanishq Ghosh"/>
    <x v="1"/>
    <s v="Lucknow"/>
    <s v="Technology"/>
    <s v="Tablet"/>
    <s v="Tablet - Technology"/>
    <x v="914"/>
    <n v="8"/>
    <n v="10"/>
    <n v="889.19"/>
    <s v="In Transit"/>
    <s v="Credit Card"/>
    <s v="06-2024"/>
    <x v="1"/>
    <x v="914"/>
    <s v="Profit"/>
    <s v="Low (1-10%)"/>
  </r>
  <r>
    <s v="ODR00916"/>
    <d v="2025-01-13T00:00:00"/>
    <s v="Saanvi Iyer"/>
    <x v="3"/>
    <s v="Indore"/>
    <s v="Technology"/>
    <s v="Laptop"/>
    <s v="Laptop - Technology"/>
    <x v="915"/>
    <n v="2"/>
    <n v="27"/>
    <n v="133.56"/>
    <s v="Returned"/>
    <s v="Net Banking"/>
    <s v="01-2025"/>
    <x v="0"/>
    <x v="915"/>
    <s v="Profit"/>
    <s v="High (&gt;20%)"/>
  </r>
  <r>
    <s v="ODR00917"/>
    <d v="2024-08-29T00:00:00"/>
    <s v="Yuvraj Chauhan"/>
    <x v="1"/>
    <s v="Jaipur"/>
    <s v="Technology"/>
    <s v="Printer"/>
    <s v="Printer - Technology"/>
    <x v="916"/>
    <n v="6"/>
    <n v="12"/>
    <n v="1266.48"/>
    <s v="In Transit"/>
    <s v="UPI"/>
    <s v="08-2024"/>
    <x v="1"/>
    <x v="916"/>
    <s v="Profit"/>
    <s v="Mid (11-20%)"/>
  </r>
  <r>
    <s v="ODR00918"/>
    <d v="2024-05-28T00:00:00"/>
    <s v="Tanishq Ghosh"/>
    <x v="0"/>
    <s v="Patna"/>
    <s v="Technology"/>
    <s v="Printer"/>
    <s v="Printer - Technology"/>
    <x v="917"/>
    <n v="8"/>
    <n v="13"/>
    <n v="538.96"/>
    <s v="In Transit"/>
    <s v="Net Banking"/>
    <s v="05-2024"/>
    <x v="1"/>
    <x v="917"/>
    <s v="Profit"/>
    <s v="Mid (11-20%)"/>
  </r>
  <r>
    <s v="ODR00919"/>
    <d v="2025-03-29T00:00:00"/>
    <s v="Riya Kapoor"/>
    <x v="2"/>
    <s v="Chennai"/>
    <s v="Furniture"/>
    <s v="Sofa"/>
    <s v="Sofa - Furniture"/>
    <x v="918"/>
    <n v="10"/>
    <n v="23"/>
    <n v="692.83"/>
    <s v="In Transit"/>
    <s v="Credit Card"/>
    <s v="03-2025"/>
    <x v="0"/>
    <x v="918"/>
    <s v="Profit"/>
    <s v="High (&gt;20%)"/>
  </r>
  <r>
    <s v="ODR00920"/>
    <d v="2025-02-06T00:00:00"/>
    <s v="Yuvraj Chauhan"/>
    <x v="0"/>
    <s v="Kolkata"/>
    <s v="Furniture"/>
    <s v="Table"/>
    <s v="Table - Furniture"/>
    <x v="919"/>
    <n v="8"/>
    <n v="24"/>
    <n v="1287.47"/>
    <s v="In Transit"/>
    <s v="Net Banking"/>
    <s v="02-2025"/>
    <x v="0"/>
    <x v="919"/>
    <s v="Profit"/>
    <s v="High (&gt;20%)"/>
  </r>
  <r>
    <s v="ODR00921"/>
    <d v="2025-04-30T00:00:00"/>
    <s v="Ishaan Mehta"/>
    <x v="0"/>
    <s v="Kolkata"/>
    <s v="Technology"/>
    <s v="Tablet"/>
    <s v="Tablet - Technology"/>
    <x v="920"/>
    <n v="7"/>
    <n v="16"/>
    <n v="491.6"/>
    <s v="Returned"/>
    <s v="UPI"/>
    <s v="04-2025"/>
    <x v="0"/>
    <x v="920"/>
    <s v="Profit"/>
    <s v="Mid (11-20%)"/>
  </r>
  <r>
    <s v="ODR00922"/>
    <d v="2024-07-25T00:00:00"/>
    <s v="Riya Kapoor"/>
    <x v="3"/>
    <s v="Ahmedabad"/>
    <s v="Furniture"/>
    <s v="Chair"/>
    <s v="Chair - Furniture"/>
    <x v="921"/>
    <n v="1"/>
    <n v="7.0000000000000009"/>
    <n v="213.39"/>
    <s v="Delivered"/>
    <s v="UPI"/>
    <s v="07-2024"/>
    <x v="1"/>
    <x v="921"/>
    <s v="Profit"/>
    <s v="Low (1-10%)"/>
  </r>
  <r>
    <s v="ODR00923"/>
    <d v="2024-11-15T00:00:00"/>
    <s v="Vivaan Shah"/>
    <x v="0"/>
    <s v="Patna"/>
    <s v="Technology"/>
    <s v="Tablet"/>
    <s v="Tablet - Technology"/>
    <x v="922"/>
    <n v="3"/>
    <n v="6"/>
    <n v="625.66999999999996"/>
    <s v="Returned"/>
    <s v="UPI"/>
    <s v="11-2024"/>
    <x v="1"/>
    <x v="922"/>
    <s v="Profit"/>
    <s v="Low (1-10%)"/>
  </r>
  <r>
    <s v="ODR00924"/>
    <d v="2025-03-28T00:00:00"/>
    <s v="Krishna Das"/>
    <x v="1"/>
    <s v="Jaipur"/>
    <s v="Technology"/>
    <s v="Tablet"/>
    <s v="Tablet - Technology"/>
    <x v="923"/>
    <n v="5"/>
    <n v="10"/>
    <n v="589.19000000000005"/>
    <s v="In Transit"/>
    <s v="UPI"/>
    <s v="03-2025"/>
    <x v="0"/>
    <x v="923"/>
    <s v="Profit"/>
    <s v="Low (1-10%)"/>
  </r>
  <r>
    <s v="ODR00925"/>
    <d v="2024-07-23T00:00:00"/>
    <s v="Ishaan Mehta"/>
    <x v="0"/>
    <s v="Kolkata"/>
    <s v="Technology"/>
    <s v="Mobile"/>
    <s v="Mobile - Technology"/>
    <x v="924"/>
    <n v="9"/>
    <n v="23"/>
    <n v="677.41"/>
    <s v="Returned"/>
    <s v="Credit Card"/>
    <s v="07-2024"/>
    <x v="1"/>
    <x v="924"/>
    <s v="Profit"/>
    <s v="High (&gt;20%)"/>
  </r>
  <r>
    <s v="ODR00926"/>
    <d v="2024-09-11T00:00:00"/>
    <s v="Saanvi Iyer"/>
    <x v="3"/>
    <s v="Ahmedabad"/>
    <s v="Office Supplies"/>
    <s v="Notebook"/>
    <s v="Notebook - Office Supplies"/>
    <x v="925"/>
    <n v="10"/>
    <n v="29"/>
    <n v="627.5"/>
    <s v="Returned"/>
    <s v="Net Banking"/>
    <s v="09-2024"/>
    <x v="1"/>
    <x v="925"/>
    <s v="Profit"/>
    <s v="High (&gt;20%)"/>
  </r>
  <r>
    <s v="ODR00927"/>
    <d v="2024-12-23T00:00:00"/>
    <s v="Krishna Das"/>
    <x v="1"/>
    <s v="Lucknow"/>
    <s v="Office Supplies"/>
    <s v="Envelope"/>
    <s v="Envelope - Office Supplies"/>
    <x v="926"/>
    <n v="10"/>
    <n v="11"/>
    <n v="767.39"/>
    <s v="In Transit"/>
    <s v="Cash"/>
    <s v="12-2024"/>
    <x v="1"/>
    <x v="926"/>
    <s v="Profit"/>
    <s v="Mid (11-20%)"/>
  </r>
  <r>
    <s v="ODR00928"/>
    <d v="2024-09-18T00:00:00"/>
    <s v="Ishaan Mehta"/>
    <x v="1"/>
    <s v="Chandigarh"/>
    <s v="Office Supplies"/>
    <s v="Stapler"/>
    <s v="Stapler - Office Supplies"/>
    <x v="927"/>
    <n v="3"/>
    <n v="13"/>
    <n v="717.44"/>
    <s v="In Transit"/>
    <s v="Cash"/>
    <s v="09-2024"/>
    <x v="1"/>
    <x v="927"/>
    <s v="Profit"/>
    <s v="Mid (11-20%)"/>
  </r>
  <r>
    <s v="ODR00929"/>
    <d v="2024-12-13T00:00:00"/>
    <s v="Aarav Patel"/>
    <x v="0"/>
    <s v="Bhubaneswar"/>
    <s v="Office Supplies"/>
    <s v="Stapler"/>
    <s v="Stapler - Office Supplies"/>
    <x v="928"/>
    <n v="4"/>
    <n v="25"/>
    <n v="820.47"/>
    <s v="Returned"/>
    <s v="UPI"/>
    <s v="12-2024"/>
    <x v="1"/>
    <x v="928"/>
    <s v="Profit"/>
    <s v="High (&gt;20%)"/>
  </r>
  <r>
    <s v="ODR00930"/>
    <d v="2025-03-12T00:00:00"/>
    <s v="Aarav Patel"/>
    <x v="0"/>
    <s v="Patna"/>
    <s v="Office Supplies"/>
    <s v="Envelope"/>
    <s v="Envelope - Office Supplies"/>
    <x v="929"/>
    <n v="5"/>
    <n v="15"/>
    <n v="1697.4"/>
    <s v="Returned"/>
    <s v="Net Banking"/>
    <s v="03-2025"/>
    <x v="0"/>
    <x v="929"/>
    <s v="Profit"/>
    <s v="Mid (11-20%)"/>
  </r>
  <r>
    <s v="ODR00931"/>
    <d v="2025-03-31T00:00:00"/>
    <s v="Krishna Das"/>
    <x v="2"/>
    <s v="Bangalore"/>
    <s v="Office Supplies"/>
    <s v="Envelope"/>
    <s v="Envelope - Office Supplies"/>
    <x v="930"/>
    <n v="3"/>
    <n v="24"/>
    <n v="213.32"/>
    <s v="Delivered"/>
    <s v="Credit Card"/>
    <s v="03-2025"/>
    <x v="0"/>
    <x v="930"/>
    <s v="Profit"/>
    <s v="High (&gt;20%)"/>
  </r>
  <r>
    <s v="ODR00932"/>
    <d v="2024-11-13T00:00:00"/>
    <s v="Vivaan Shah"/>
    <x v="0"/>
    <s v="Patna"/>
    <s v="Technology"/>
    <s v="Mobile"/>
    <s v="Mobile - Technology"/>
    <x v="931"/>
    <n v="10"/>
    <n v="19"/>
    <n v="155.97999999999999"/>
    <s v="In Transit"/>
    <s v="Net Banking"/>
    <s v="11-2024"/>
    <x v="1"/>
    <x v="931"/>
    <s v="Profit"/>
    <s v="Mid (11-20%)"/>
  </r>
  <r>
    <s v="ODR00933"/>
    <d v="2025-04-25T00:00:00"/>
    <s v="Vivaan Shah"/>
    <x v="1"/>
    <s v="Lucknow"/>
    <s v="Office Supplies"/>
    <s v="Notebook"/>
    <s v="Notebook - Office Supplies"/>
    <x v="932"/>
    <n v="6"/>
    <n v="21"/>
    <n v="756.37"/>
    <s v="Returned"/>
    <s v="Credit Card"/>
    <s v="04-2025"/>
    <x v="0"/>
    <x v="932"/>
    <s v="Profit"/>
    <s v="High (&gt;20%)"/>
  </r>
  <r>
    <s v="ODR00934"/>
    <d v="2025-01-06T00:00:00"/>
    <s v="Arjun Verma"/>
    <x v="2"/>
    <s v="Hyderabad"/>
    <s v="Technology"/>
    <s v="Printer"/>
    <s v="Printer - Technology"/>
    <x v="933"/>
    <n v="6"/>
    <n v="15"/>
    <n v="2022.04"/>
    <s v="In Transit"/>
    <s v="Cash"/>
    <s v="01-2025"/>
    <x v="0"/>
    <x v="933"/>
    <s v="Profit"/>
    <s v="Mid (11-20%)"/>
  </r>
  <r>
    <s v="ODR00935"/>
    <d v="2025-01-26T00:00:00"/>
    <s v="Kriti Desai"/>
    <x v="2"/>
    <s v="Chennai"/>
    <s v="Furniture"/>
    <s v="Table"/>
    <s v="Table - Furniture"/>
    <x v="934"/>
    <n v="6"/>
    <n v="9"/>
    <n v="216.06"/>
    <s v="Returned"/>
    <s v="Credit Card"/>
    <s v="01-2025"/>
    <x v="0"/>
    <x v="934"/>
    <s v="Profit"/>
    <s v="Low (1-10%)"/>
  </r>
  <r>
    <s v="ODR00936"/>
    <d v="2024-10-10T00:00:00"/>
    <s v="Diya Sharma"/>
    <x v="2"/>
    <s v="Hyderabad"/>
    <s v="Technology"/>
    <s v="Laptop"/>
    <s v="Laptop - Technology"/>
    <x v="935"/>
    <n v="6"/>
    <n v="29"/>
    <n v="106.86"/>
    <s v="Delivered"/>
    <s v="Cash"/>
    <s v="10-2024"/>
    <x v="1"/>
    <x v="935"/>
    <s v="Profit"/>
    <s v="High (&gt;20%)"/>
  </r>
  <r>
    <s v="ODR00937"/>
    <d v="2024-06-03T00:00:00"/>
    <s v="Diya Sharma"/>
    <x v="2"/>
    <s v="Bangalore"/>
    <s v="Office Supplies"/>
    <s v="Envelope"/>
    <s v="Envelope - Office Supplies"/>
    <x v="936"/>
    <n v="5"/>
    <n v="22"/>
    <n v="898.54"/>
    <s v="In Transit"/>
    <s v="Cash"/>
    <s v="06-2024"/>
    <x v="1"/>
    <x v="936"/>
    <s v="Profit"/>
    <s v="High (&gt;20%)"/>
  </r>
  <r>
    <s v="ODR00938"/>
    <d v="2025-01-02T00:00:00"/>
    <s v="Arjun Verma"/>
    <x v="2"/>
    <s v="Chennai"/>
    <s v="Technology"/>
    <s v="Printer"/>
    <s v="Printer - Technology"/>
    <x v="937"/>
    <n v="8"/>
    <n v="1"/>
    <n v="255.84"/>
    <s v="Returned"/>
    <s v="Net Banking"/>
    <s v="01-2025"/>
    <x v="0"/>
    <x v="937"/>
    <s v="Profit"/>
    <s v="Low (1-10%)"/>
  </r>
  <r>
    <s v="ODR00939"/>
    <d v="2024-09-19T00:00:00"/>
    <s v="Krishna Das"/>
    <x v="1"/>
    <s v="Chandigarh"/>
    <s v="Technology"/>
    <s v="Printer"/>
    <s v="Printer - Technology"/>
    <x v="938"/>
    <n v="8"/>
    <n v="27"/>
    <n v="158.77000000000001"/>
    <s v="In Transit"/>
    <s v="UPI"/>
    <s v="09-2024"/>
    <x v="1"/>
    <x v="938"/>
    <s v="Profit"/>
    <s v="High (&gt;20%)"/>
  </r>
  <r>
    <s v="ODR00940"/>
    <d v="2025-02-06T00:00:00"/>
    <s v="Kabir Nair"/>
    <x v="0"/>
    <s v="Kolkata"/>
    <s v="Office Supplies"/>
    <s v="Notebook"/>
    <s v="Notebook - Office Supplies"/>
    <x v="939"/>
    <n v="6"/>
    <n v="25"/>
    <n v="125.21"/>
    <s v="In Transit"/>
    <s v="Cash"/>
    <s v="02-2025"/>
    <x v="0"/>
    <x v="939"/>
    <s v="Profit"/>
    <s v="High (&gt;20%)"/>
  </r>
  <r>
    <s v="ODR00941"/>
    <d v="2025-03-16T00:00:00"/>
    <s v="Riya Kapoor"/>
    <x v="1"/>
    <s v="Delhi"/>
    <s v="Furniture"/>
    <s v="Table"/>
    <s v="Table - Furniture"/>
    <x v="940"/>
    <n v="5"/>
    <n v="24"/>
    <n v="696.09"/>
    <s v="Delivered"/>
    <s v="Credit Card"/>
    <s v="03-2025"/>
    <x v="0"/>
    <x v="940"/>
    <s v="Profit"/>
    <s v="High (&gt;20%)"/>
  </r>
  <r>
    <s v="ODR00942"/>
    <d v="2024-11-08T00:00:00"/>
    <s v="Tanishq Ghosh"/>
    <x v="1"/>
    <s v="Chandigarh"/>
    <s v="Furniture"/>
    <s v="Sofa"/>
    <s v="Sofa - Furniture"/>
    <x v="384"/>
    <n v="2"/>
    <n v="29"/>
    <n v="76.08"/>
    <s v="In Transit"/>
    <s v="Credit Card"/>
    <s v="11-2024"/>
    <x v="1"/>
    <x v="941"/>
    <s v="Profit"/>
    <s v="High (&gt;20%)"/>
  </r>
  <r>
    <s v="ODR00943"/>
    <d v="2024-12-15T00:00:00"/>
    <s v="Yuvraj Chauhan"/>
    <x v="0"/>
    <s v="Bhubaneswar"/>
    <s v="Technology"/>
    <s v="Printer"/>
    <s v="Printer - Technology"/>
    <x v="941"/>
    <n v="2"/>
    <n v="8"/>
    <n v="139.36000000000001"/>
    <s v="In Transit"/>
    <s v="Cash"/>
    <s v="12-2024"/>
    <x v="1"/>
    <x v="942"/>
    <s v="Profit"/>
    <s v="Low (1-10%)"/>
  </r>
  <r>
    <s v="ODR00944"/>
    <d v="2024-07-12T00:00:00"/>
    <s v="Kabir Nair"/>
    <x v="2"/>
    <s v="Bangalore"/>
    <s v="Technology"/>
    <s v="Printer"/>
    <s v="Printer - Technology"/>
    <x v="942"/>
    <n v="2"/>
    <n v="17"/>
    <n v="402.86"/>
    <s v="In Transit"/>
    <s v="Cash"/>
    <s v="07-2024"/>
    <x v="1"/>
    <x v="943"/>
    <s v="Profit"/>
    <s v="Mid (11-20%)"/>
  </r>
  <r>
    <s v="ODR00945"/>
    <d v="2024-11-27T00:00:00"/>
    <s v="Saanvi Iyer"/>
    <x v="3"/>
    <s v="Nagpur"/>
    <s v="Office Supplies"/>
    <s v="Notebook"/>
    <s v="Notebook - Office Supplies"/>
    <x v="943"/>
    <n v="6"/>
    <n v="25"/>
    <n v="679.56"/>
    <s v="Returned"/>
    <s v="UPI"/>
    <s v="11-2024"/>
    <x v="1"/>
    <x v="944"/>
    <s v="Profit"/>
    <s v="High (&gt;20%)"/>
  </r>
  <r>
    <s v="ODR00946"/>
    <d v="2025-02-13T00:00:00"/>
    <s v="Krishna Das"/>
    <x v="3"/>
    <s v="Ahmedabad"/>
    <s v="Technology"/>
    <s v="Laptop"/>
    <s v="Laptop - Technology"/>
    <x v="944"/>
    <n v="8"/>
    <n v="17"/>
    <n v="2191.15"/>
    <s v="Delivered"/>
    <s v="UPI"/>
    <s v="02-2025"/>
    <x v="0"/>
    <x v="945"/>
    <s v="Profit"/>
    <s v="Mid (11-20%)"/>
  </r>
  <r>
    <s v="ODR00947"/>
    <d v="2024-08-24T00:00:00"/>
    <s v="Anaya Singh"/>
    <x v="1"/>
    <s v="Jaipur"/>
    <s v="Office Supplies"/>
    <s v="Envelope"/>
    <s v="Envelope - Office Supplies"/>
    <x v="945"/>
    <n v="5"/>
    <n v="13"/>
    <n v="465.92"/>
    <s v="In Transit"/>
    <s v="Cash"/>
    <s v="08-2024"/>
    <x v="1"/>
    <x v="946"/>
    <s v="Profit"/>
    <s v="Mid (11-20%)"/>
  </r>
  <r>
    <s v="ODR00948"/>
    <d v="2024-05-14T00:00:00"/>
    <s v="Vivaan Shah"/>
    <x v="2"/>
    <s v="Hyderabad"/>
    <s v="Furniture"/>
    <s v="Chair"/>
    <s v="Chair - Furniture"/>
    <x v="946"/>
    <n v="7"/>
    <n v="25"/>
    <n v="1383.81"/>
    <s v="In Transit"/>
    <s v="Net Banking"/>
    <s v="05-2024"/>
    <x v="1"/>
    <x v="947"/>
    <s v="Profit"/>
    <s v="High (&gt;20%)"/>
  </r>
  <r>
    <s v="ODR00949"/>
    <d v="2025-02-06T00:00:00"/>
    <s v="Meera Joshi"/>
    <x v="0"/>
    <s v="Patna"/>
    <s v="Furniture"/>
    <s v="Chair"/>
    <s v="Chair - Furniture"/>
    <x v="947"/>
    <n v="10"/>
    <n v="29"/>
    <n v="924"/>
    <s v="In Transit"/>
    <s v="Net Banking"/>
    <s v="02-2025"/>
    <x v="0"/>
    <x v="948"/>
    <s v="Profit"/>
    <s v="High (&gt;20%)"/>
  </r>
  <r>
    <s v="ODR00950"/>
    <d v="2024-06-15T00:00:00"/>
    <s v="Arjun Verma"/>
    <x v="0"/>
    <s v="Bhubaneswar"/>
    <s v="Furniture"/>
    <s v="Chair"/>
    <s v="Chair - Furniture"/>
    <x v="948"/>
    <n v="6"/>
    <n v="6"/>
    <n v="629.6"/>
    <s v="Returned"/>
    <s v="UPI"/>
    <s v="06-2024"/>
    <x v="1"/>
    <x v="949"/>
    <s v="Profit"/>
    <s v="Low (1-10%)"/>
  </r>
  <r>
    <s v="ODR00951"/>
    <d v="2025-02-18T00:00:00"/>
    <s v="Meera Joshi"/>
    <x v="3"/>
    <s v="Ahmedabad"/>
    <s v="Furniture"/>
    <s v="Sofa"/>
    <s v="Sofa - Furniture"/>
    <x v="949"/>
    <n v="7"/>
    <n v="18"/>
    <n v="1178.2"/>
    <s v="In Transit"/>
    <s v="Net Banking"/>
    <s v="02-2025"/>
    <x v="0"/>
    <x v="950"/>
    <s v="Profit"/>
    <s v="Mid (11-20%)"/>
  </r>
  <r>
    <s v="ODR00952"/>
    <d v="2024-10-12T00:00:00"/>
    <s v="Yuvraj Chauhan"/>
    <x v="0"/>
    <s v="Patna"/>
    <s v="Furniture"/>
    <s v="Table"/>
    <s v="Table - Furniture"/>
    <x v="950"/>
    <n v="8"/>
    <n v="0"/>
    <n v="516.08000000000004"/>
    <s v="Delivered"/>
    <s v="UPI"/>
    <s v="10-2024"/>
    <x v="1"/>
    <x v="951"/>
    <s v="Profit"/>
    <s v="No Discount"/>
  </r>
  <r>
    <s v="ODR00953"/>
    <d v="2024-10-19T00:00:00"/>
    <s v="Arjun Verma"/>
    <x v="3"/>
    <s v="Ahmedabad"/>
    <s v="Technology"/>
    <s v="Printer"/>
    <s v="Printer - Technology"/>
    <x v="951"/>
    <n v="10"/>
    <n v="22"/>
    <n v="824.91"/>
    <s v="Delivered"/>
    <s v="Net Banking"/>
    <s v="10-2024"/>
    <x v="1"/>
    <x v="952"/>
    <s v="Profit"/>
    <s v="High (&gt;20%)"/>
  </r>
  <r>
    <s v="ODR00954"/>
    <d v="2024-11-18T00:00:00"/>
    <s v="Vivaan Shah"/>
    <x v="3"/>
    <s v="Mumbai"/>
    <s v="Office Supplies"/>
    <s v="Notebook"/>
    <s v="Notebook - Office Supplies"/>
    <x v="952"/>
    <n v="9"/>
    <n v="16"/>
    <n v="1283.49"/>
    <s v="In Transit"/>
    <s v="UPI"/>
    <s v="11-2024"/>
    <x v="1"/>
    <x v="953"/>
    <s v="Profit"/>
    <s v="Mid (11-20%)"/>
  </r>
  <r>
    <s v="ODR00955"/>
    <d v="2025-04-21T00:00:00"/>
    <s v="Arjun Verma"/>
    <x v="1"/>
    <s v="Chandigarh"/>
    <s v="Office Supplies"/>
    <s v="Stapler"/>
    <s v="Stapler - Office Supplies"/>
    <x v="953"/>
    <n v="6"/>
    <n v="11"/>
    <n v="731.96"/>
    <s v="In Transit"/>
    <s v="UPI"/>
    <s v="04-2025"/>
    <x v="0"/>
    <x v="954"/>
    <s v="Profit"/>
    <s v="Mid (11-20%)"/>
  </r>
  <r>
    <s v="ODR00956"/>
    <d v="2024-08-20T00:00:00"/>
    <s v="Saanvi Iyer"/>
    <x v="3"/>
    <s v="Ahmedabad"/>
    <s v="Technology"/>
    <s v="Tablet"/>
    <s v="Tablet - Technology"/>
    <x v="954"/>
    <n v="1"/>
    <n v="24"/>
    <n v="31.44"/>
    <s v="Returned"/>
    <s v="Cash"/>
    <s v="08-2024"/>
    <x v="1"/>
    <x v="955"/>
    <s v="Profit"/>
    <s v="High (&gt;20%)"/>
  </r>
  <r>
    <s v="ODR00957"/>
    <d v="2025-01-16T00:00:00"/>
    <s v="Vivaan Shah"/>
    <x v="0"/>
    <s v="Kolkata"/>
    <s v="Office Supplies"/>
    <s v="Stapler"/>
    <s v="Stapler - Office Supplies"/>
    <x v="955"/>
    <n v="8"/>
    <n v="29"/>
    <n v="316.01"/>
    <s v="Delivered"/>
    <s v="Cash"/>
    <s v="01-2025"/>
    <x v="0"/>
    <x v="956"/>
    <s v="Profit"/>
    <s v="High (&gt;20%)"/>
  </r>
  <r>
    <s v="ODR00958"/>
    <d v="2025-04-18T00:00:00"/>
    <s v="Arjun Verma"/>
    <x v="1"/>
    <s v="Lucknow"/>
    <s v="Office Supplies"/>
    <s v="Stapler"/>
    <s v="Stapler - Office Supplies"/>
    <x v="956"/>
    <n v="9"/>
    <n v="17"/>
    <n v="1185.3800000000001"/>
    <s v="Delivered"/>
    <s v="Cash"/>
    <s v="04-2025"/>
    <x v="0"/>
    <x v="957"/>
    <s v="Profit"/>
    <s v="Mid (11-20%)"/>
  </r>
  <r>
    <s v="ODR00959"/>
    <d v="2024-07-17T00:00:00"/>
    <s v="Kriti Desai"/>
    <x v="0"/>
    <s v="Kolkata"/>
    <s v="Furniture"/>
    <s v="Cupboard"/>
    <s v="Cupboard - Furniture"/>
    <x v="957"/>
    <n v="2"/>
    <n v="20"/>
    <n v="316.36"/>
    <s v="In Transit"/>
    <s v="Credit Card"/>
    <s v="07-2024"/>
    <x v="1"/>
    <x v="958"/>
    <s v="Profit"/>
    <s v="Mid (11-20%)"/>
  </r>
  <r>
    <s v="ODR00960"/>
    <d v="2024-06-10T00:00:00"/>
    <s v="Kabir Nair"/>
    <x v="0"/>
    <s v="Patna"/>
    <s v="Furniture"/>
    <s v="Cupboard"/>
    <s v="Cupboard - Furniture"/>
    <x v="958"/>
    <n v="6"/>
    <n v="26"/>
    <n v="42.99"/>
    <s v="Returned"/>
    <s v="Net Banking"/>
    <s v="06-2024"/>
    <x v="1"/>
    <x v="959"/>
    <s v="Profit"/>
    <s v="High (&gt;20%)"/>
  </r>
  <r>
    <s v="ODR00961"/>
    <d v="2024-11-03T00:00:00"/>
    <s v="Meera Joshi"/>
    <x v="2"/>
    <s v="Bangalore"/>
    <s v="Furniture"/>
    <s v="Cupboard"/>
    <s v="Cupboard - Furniture"/>
    <x v="959"/>
    <n v="10"/>
    <n v="21"/>
    <n v="983.54"/>
    <s v="Delivered"/>
    <s v="UPI"/>
    <s v="11-2024"/>
    <x v="1"/>
    <x v="960"/>
    <s v="Profit"/>
    <s v="High (&gt;20%)"/>
  </r>
  <r>
    <s v="ODR00962"/>
    <d v="2025-02-28T00:00:00"/>
    <s v="Tanishq Ghosh"/>
    <x v="2"/>
    <s v="Bangalore"/>
    <s v="Office Supplies"/>
    <s v="Stapler"/>
    <s v="Stapler - Office Supplies"/>
    <x v="960"/>
    <n v="7"/>
    <n v="7.0000000000000009"/>
    <n v="1428.42"/>
    <s v="Returned"/>
    <s v="UPI"/>
    <s v="02-2025"/>
    <x v="0"/>
    <x v="961"/>
    <s v="Profit"/>
    <s v="Low (1-10%)"/>
  </r>
  <r>
    <s v="ODR00963"/>
    <d v="2024-12-06T00:00:00"/>
    <s v="Riya Kapoor"/>
    <x v="0"/>
    <s v="Bhubaneswar"/>
    <s v="Office Supplies"/>
    <s v="Envelope"/>
    <s v="Envelope - Office Supplies"/>
    <x v="961"/>
    <n v="9"/>
    <n v="8"/>
    <n v="927.62"/>
    <s v="Delivered"/>
    <s v="Cash"/>
    <s v="12-2024"/>
    <x v="1"/>
    <x v="962"/>
    <s v="Profit"/>
    <s v="Low (1-10%)"/>
  </r>
  <r>
    <s v="ODR00964"/>
    <d v="2024-05-21T00:00:00"/>
    <s v="Kriti Desai"/>
    <x v="1"/>
    <s v="Chandigarh"/>
    <s v="Office Supplies"/>
    <s v="Stapler"/>
    <s v="Stapler - Office Supplies"/>
    <x v="962"/>
    <n v="5"/>
    <n v="10"/>
    <n v="1560.47"/>
    <s v="Delivered"/>
    <s v="Credit Card"/>
    <s v="05-2024"/>
    <x v="1"/>
    <x v="963"/>
    <s v="Profit"/>
    <s v="Low (1-10%)"/>
  </r>
  <r>
    <s v="ODR00965"/>
    <d v="2024-08-08T00:00:00"/>
    <s v="Kabir Nair"/>
    <x v="2"/>
    <s v="Bangalore"/>
    <s v="Office Supplies"/>
    <s v="Stapler"/>
    <s v="Stapler - Office Supplies"/>
    <x v="963"/>
    <n v="10"/>
    <n v="23"/>
    <n v="270.42"/>
    <s v="In Transit"/>
    <s v="UPI"/>
    <s v="08-2024"/>
    <x v="1"/>
    <x v="964"/>
    <s v="Profit"/>
    <s v="High (&gt;20%)"/>
  </r>
  <r>
    <s v="ODR00966"/>
    <d v="2025-01-03T00:00:00"/>
    <s v="Sneha Reddy"/>
    <x v="1"/>
    <s v="Jaipur"/>
    <s v="Technology"/>
    <s v="Mobile"/>
    <s v="Mobile - Technology"/>
    <x v="964"/>
    <n v="9"/>
    <n v="7.0000000000000009"/>
    <n v="620.02"/>
    <s v="Delivered"/>
    <s v="Cash"/>
    <s v="01-2025"/>
    <x v="0"/>
    <x v="965"/>
    <s v="Profit"/>
    <s v="Low (1-10%)"/>
  </r>
  <r>
    <s v="ODR00967"/>
    <d v="2025-03-11T00:00:00"/>
    <s v="Aarav Patel"/>
    <x v="2"/>
    <s v="Bangalore"/>
    <s v="Furniture"/>
    <s v="Table"/>
    <s v="Table - Furniture"/>
    <x v="965"/>
    <n v="6"/>
    <n v="17"/>
    <n v="198.9"/>
    <s v="Returned"/>
    <s v="UPI"/>
    <s v="03-2025"/>
    <x v="0"/>
    <x v="966"/>
    <s v="Profit"/>
    <s v="Mid (11-20%)"/>
  </r>
  <r>
    <s v="ODR00968"/>
    <d v="2024-08-11T00:00:00"/>
    <s v="Sneha Reddy"/>
    <x v="1"/>
    <s v="Chandigarh"/>
    <s v="Office Supplies"/>
    <s v="Notebook"/>
    <s v="Notebook - Office Supplies"/>
    <x v="966"/>
    <n v="4"/>
    <n v="29"/>
    <n v="216"/>
    <s v="In Transit"/>
    <s v="Credit Card"/>
    <s v="08-2024"/>
    <x v="1"/>
    <x v="967"/>
    <s v="Profit"/>
    <s v="High (&gt;20%)"/>
  </r>
  <r>
    <s v="ODR00969"/>
    <d v="2024-08-08T00:00:00"/>
    <s v="Riya Kapoor"/>
    <x v="3"/>
    <s v="Nagpur"/>
    <s v="Office Supplies"/>
    <s v="Pen"/>
    <s v="Pen - Office Supplies"/>
    <x v="967"/>
    <n v="2"/>
    <n v="16"/>
    <n v="382.32"/>
    <s v="Delivered"/>
    <s v="Net Banking"/>
    <s v="08-2024"/>
    <x v="1"/>
    <x v="968"/>
    <s v="Profit"/>
    <s v="Mid (11-20%)"/>
  </r>
  <r>
    <s v="ODR00970"/>
    <d v="2024-12-27T00:00:00"/>
    <s v="Aarav Patel"/>
    <x v="2"/>
    <s v="Chennai"/>
    <s v="Office Supplies"/>
    <s v="Notebook"/>
    <s v="Notebook - Office Supplies"/>
    <x v="968"/>
    <n v="9"/>
    <n v="23"/>
    <n v="1064.1400000000001"/>
    <s v="Returned"/>
    <s v="Cash"/>
    <s v="12-2024"/>
    <x v="1"/>
    <x v="969"/>
    <s v="Profit"/>
    <s v="High (&gt;20%)"/>
  </r>
  <r>
    <s v="ODR00971"/>
    <d v="2024-11-16T00:00:00"/>
    <s v="Riya Kapoor"/>
    <x v="3"/>
    <s v="Pune"/>
    <s v="Office Supplies"/>
    <s v="Stapler"/>
    <s v="Stapler - Office Supplies"/>
    <x v="969"/>
    <n v="9"/>
    <n v="15"/>
    <n v="1086.23"/>
    <s v="Returned"/>
    <s v="Cash"/>
    <s v="11-2024"/>
    <x v="1"/>
    <x v="970"/>
    <s v="Profit"/>
    <s v="Mid (11-20%)"/>
  </r>
  <r>
    <s v="ODR00972"/>
    <d v="2025-01-21T00:00:00"/>
    <s v="Vivaan Shah"/>
    <x v="2"/>
    <s v="Bangalore"/>
    <s v="Office Supplies"/>
    <s v="Notebook"/>
    <s v="Notebook - Office Supplies"/>
    <x v="970"/>
    <n v="6"/>
    <n v="21"/>
    <n v="147.22999999999999"/>
    <s v="In Transit"/>
    <s v="Credit Card"/>
    <s v="01-2025"/>
    <x v="0"/>
    <x v="971"/>
    <s v="Profit"/>
    <s v="High (&gt;20%)"/>
  </r>
  <r>
    <s v="ODR00973"/>
    <d v="2025-04-27T00:00:00"/>
    <s v="Anaya Singh"/>
    <x v="1"/>
    <s v="Delhi"/>
    <s v="Furniture"/>
    <s v="Cupboard"/>
    <s v="Cupboard - Furniture"/>
    <x v="971"/>
    <n v="9"/>
    <n v="9"/>
    <n v="879.18"/>
    <s v="Returned"/>
    <s v="Net Banking"/>
    <s v="04-2025"/>
    <x v="0"/>
    <x v="972"/>
    <s v="Profit"/>
    <s v="Low (1-10%)"/>
  </r>
  <r>
    <s v="ODR00974"/>
    <d v="2025-02-22T00:00:00"/>
    <s v="Arjun Verma"/>
    <x v="1"/>
    <s v="Delhi"/>
    <s v="Office Supplies"/>
    <s v="Envelope"/>
    <s v="Envelope - Office Supplies"/>
    <x v="972"/>
    <n v="10"/>
    <n v="11"/>
    <n v="1673.58"/>
    <s v="Delivered"/>
    <s v="UPI"/>
    <s v="02-2025"/>
    <x v="0"/>
    <x v="973"/>
    <s v="Profit"/>
    <s v="Mid (11-20%)"/>
  </r>
  <r>
    <s v="ODR00975"/>
    <d v="2024-10-07T00:00:00"/>
    <s v="Anaya Singh"/>
    <x v="3"/>
    <s v="Pune"/>
    <s v="Technology"/>
    <s v="Tablet"/>
    <s v="Tablet - Technology"/>
    <x v="973"/>
    <n v="3"/>
    <n v="7.0000000000000009"/>
    <n v="164.79"/>
    <s v="Returned"/>
    <s v="UPI"/>
    <s v="10-2024"/>
    <x v="1"/>
    <x v="974"/>
    <s v="Profit"/>
    <s v="Low (1-10%)"/>
  </r>
  <r>
    <s v="ODR00976"/>
    <d v="2025-02-21T00:00:00"/>
    <s v="Diya Sharma"/>
    <x v="3"/>
    <s v="Pune"/>
    <s v="Furniture"/>
    <s v="Chair"/>
    <s v="Chair - Furniture"/>
    <x v="974"/>
    <n v="8"/>
    <n v="20"/>
    <n v="1893.69"/>
    <s v="In Transit"/>
    <s v="Credit Card"/>
    <s v="02-2025"/>
    <x v="0"/>
    <x v="975"/>
    <s v="Profit"/>
    <s v="Mid (11-20%)"/>
  </r>
  <r>
    <s v="ODR00977"/>
    <d v="2025-02-18T00:00:00"/>
    <s v="Kriti Desai"/>
    <x v="0"/>
    <s v="Bhubaneswar"/>
    <s v="Furniture"/>
    <s v="Chair"/>
    <s v="Chair - Furniture"/>
    <x v="975"/>
    <n v="7"/>
    <n v="13"/>
    <n v="877.84"/>
    <s v="Delivered"/>
    <s v="Net Banking"/>
    <s v="02-2025"/>
    <x v="0"/>
    <x v="976"/>
    <s v="Profit"/>
    <s v="Mid (11-20%)"/>
  </r>
  <r>
    <s v="ODR00978"/>
    <d v="2024-06-23T00:00:00"/>
    <s v="Ishaan Mehta"/>
    <x v="0"/>
    <s v="Kolkata"/>
    <s v="Furniture"/>
    <s v="Cupboard"/>
    <s v="Cupboard - Furniture"/>
    <x v="976"/>
    <n v="6"/>
    <n v="7.0000000000000009"/>
    <n v="640.88"/>
    <s v="In Transit"/>
    <s v="Credit Card"/>
    <s v="06-2024"/>
    <x v="1"/>
    <x v="977"/>
    <s v="Profit"/>
    <s v="Low (1-10%)"/>
  </r>
  <r>
    <s v="ODR00979"/>
    <d v="2024-10-14T00:00:00"/>
    <s v="Anaya Singh"/>
    <x v="1"/>
    <s v="Jaipur"/>
    <s v="Office Supplies"/>
    <s v="Pen"/>
    <s v="Pen - Office Supplies"/>
    <x v="977"/>
    <n v="6"/>
    <n v="25"/>
    <n v="115.57"/>
    <s v="In Transit"/>
    <s v="Net Banking"/>
    <s v="10-2024"/>
    <x v="1"/>
    <x v="978"/>
    <s v="Profit"/>
    <s v="High (&gt;20%)"/>
  </r>
  <r>
    <s v="ODR00980"/>
    <d v="2025-01-26T00:00:00"/>
    <s v="Yuvraj Chauhan"/>
    <x v="3"/>
    <s v="Nagpur"/>
    <s v="Technology"/>
    <s v="Laptop"/>
    <s v="Laptop - Technology"/>
    <x v="978"/>
    <n v="5"/>
    <n v="16"/>
    <n v="821.55"/>
    <s v="Returned"/>
    <s v="Credit Card"/>
    <s v="01-2025"/>
    <x v="0"/>
    <x v="979"/>
    <s v="Profit"/>
    <s v="Mid (11-20%)"/>
  </r>
  <r>
    <s v="ODR00981"/>
    <d v="2024-12-21T00:00:00"/>
    <s v="Riya Kapoor"/>
    <x v="2"/>
    <s v="Bangalore"/>
    <s v="Office Supplies"/>
    <s v="Envelope"/>
    <s v="Envelope - Office Supplies"/>
    <x v="979"/>
    <n v="6"/>
    <n v="28"/>
    <n v="997.88"/>
    <s v="Delivered"/>
    <s v="UPI"/>
    <s v="12-2024"/>
    <x v="1"/>
    <x v="980"/>
    <s v="Profit"/>
    <s v="High (&gt;20%)"/>
  </r>
  <r>
    <s v="ODR00982"/>
    <d v="2025-04-27T00:00:00"/>
    <s v="Riya Kapoor"/>
    <x v="3"/>
    <s v="Ahmedabad"/>
    <s v="Furniture"/>
    <s v="Sofa"/>
    <s v="Sofa - Furniture"/>
    <x v="980"/>
    <n v="8"/>
    <n v="8"/>
    <n v="409.3"/>
    <s v="Returned"/>
    <s v="UPI"/>
    <s v="04-2025"/>
    <x v="0"/>
    <x v="981"/>
    <s v="Profit"/>
    <s v="Low (1-10%)"/>
  </r>
  <r>
    <s v="ODR00983"/>
    <d v="2025-01-22T00:00:00"/>
    <s v="Vivaan Shah"/>
    <x v="1"/>
    <s v="Chandigarh"/>
    <s v="Technology"/>
    <s v="Tablet"/>
    <s v="Tablet - Technology"/>
    <x v="981"/>
    <n v="4"/>
    <n v="12"/>
    <n v="621.52"/>
    <s v="In Transit"/>
    <s v="Net Banking"/>
    <s v="01-2025"/>
    <x v="0"/>
    <x v="982"/>
    <s v="Profit"/>
    <s v="Mid (11-20%)"/>
  </r>
  <r>
    <s v="ODR00984"/>
    <d v="2024-11-25T00:00:00"/>
    <s v="Saanvi Iyer"/>
    <x v="0"/>
    <s v="Patna"/>
    <s v="Office Supplies"/>
    <s v="Envelope"/>
    <s v="Envelope - Office Supplies"/>
    <x v="982"/>
    <n v="8"/>
    <n v="26"/>
    <n v="319.37"/>
    <s v="In Transit"/>
    <s v="UPI"/>
    <s v="11-2024"/>
    <x v="1"/>
    <x v="983"/>
    <s v="Profit"/>
    <s v="High (&gt;20%)"/>
  </r>
  <r>
    <s v="ODR00985"/>
    <d v="2024-07-01T00:00:00"/>
    <s v="Vivaan Shah"/>
    <x v="2"/>
    <s v="Hyderabad"/>
    <s v="Office Supplies"/>
    <s v="Pen"/>
    <s v="Pen - Office Supplies"/>
    <x v="983"/>
    <n v="5"/>
    <n v="19"/>
    <n v="92.22"/>
    <s v="Returned"/>
    <s v="Net Banking"/>
    <s v="07-2024"/>
    <x v="1"/>
    <x v="984"/>
    <s v="Profit"/>
    <s v="Mid (11-20%)"/>
  </r>
  <r>
    <s v="ODR00986"/>
    <d v="2025-02-04T00:00:00"/>
    <s v="Ishaan Mehta"/>
    <x v="1"/>
    <s v="Delhi"/>
    <s v="Technology"/>
    <s v="Mobile"/>
    <s v="Mobile - Technology"/>
    <x v="984"/>
    <n v="3"/>
    <n v="8"/>
    <n v="687.94"/>
    <s v="Delivered"/>
    <s v="Credit Card"/>
    <s v="02-2025"/>
    <x v="0"/>
    <x v="985"/>
    <s v="Profit"/>
    <s v="Low (1-10%)"/>
  </r>
  <r>
    <s v="ODR00987"/>
    <d v="2024-11-15T00:00:00"/>
    <s v="Meera Joshi"/>
    <x v="0"/>
    <s v="Bhubaneswar"/>
    <s v="Office Supplies"/>
    <s v="Stapler"/>
    <s v="Stapler - Office Supplies"/>
    <x v="985"/>
    <n v="8"/>
    <n v="6"/>
    <n v="1246.93"/>
    <s v="Returned"/>
    <s v="Net Banking"/>
    <s v="11-2024"/>
    <x v="1"/>
    <x v="986"/>
    <s v="Profit"/>
    <s v="Low (1-10%)"/>
  </r>
  <r>
    <s v="ODR00988"/>
    <d v="2025-04-25T00:00:00"/>
    <s v="Diya Sharma"/>
    <x v="3"/>
    <s v="Indore"/>
    <s v="Technology"/>
    <s v="Tablet"/>
    <s v="Tablet - Technology"/>
    <x v="986"/>
    <n v="9"/>
    <n v="8"/>
    <n v="731.76"/>
    <s v="Delivered"/>
    <s v="UPI"/>
    <s v="04-2025"/>
    <x v="0"/>
    <x v="987"/>
    <s v="Profit"/>
    <s v="Low (1-10%)"/>
  </r>
  <r>
    <s v="ODR00989"/>
    <d v="2024-08-17T00:00:00"/>
    <s v="Kriti Desai"/>
    <x v="3"/>
    <s v="Nagpur"/>
    <s v="Furniture"/>
    <s v="Sofa"/>
    <s v="Sofa - Furniture"/>
    <x v="987"/>
    <n v="10"/>
    <n v="28"/>
    <n v="433.23"/>
    <s v="Returned"/>
    <s v="Cash"/>
    <s v="08-2024"/>
    <x v="1"/>
    <x v="988"/>
    <s v="Profit"/>
    <s v="High (&gt;20%)"/>
  </r>
  <r>
    <s v="ODR00990"/>
    <d v="2025-01-16T00:00:00"/>
    <s v="Ishaan Mehta"/>
    <x v="1"/>
    <s v="Chandigarh"/>
    <s v="Office Supplies"/>
    <s v="Envelope"/>
    <s v="Envelope - Office Supplies"/>
    <x v="988"/>
    <n v="3"/>
    <n v="21"/>
    <n v="387.31"/>
    <s v="Returned"/>
    <s v="UPI"/>
    <s v="01-2025"/>
    <x v="0"/>
    <x v="989"/>
    <s v="Profit"/>
    <s v="High (&gt;20%)"/>
  </r>
  <r>
    <s v="ODR00991"/>
    <d v="2024-05-12T00:00:00"/>
    <s v="Aarav Patel"/>
    <x v="1"/>
    <s v="Chandigarh"/>
    <s v="Furniture"/>
    <s v="Chair"/>
    <s v="Chair - Furniture"/>
    <x v="989"/>
    <n v="8"/>
    <n v="21"/>
    <n v="1499.61"/>
    <s v="Delivered"/>
    <s v="Credit Card"/>
    <s v="05-2024"/>
    <x v="1"/>
    <x v="990"/>
    <s v="Profit"/>
    <s v="High (&gt;20%)"/>
  </r>
  <r>
    <s v="ODR00992"/>
    <d v="2025-05-06T00:00:00"/>
    <s v="Kabir Nair"/>
    <x v="2"/>
    <s v="Hyderabad"/>
    <s v="Office Supplies"/>
    <s v="Notebook"/>
    <s v="Notebook - Office Supplies"/>
    <x v="990"/>
    <n v="9"/>
    <n v="9"/>
    <n v="1045.74"/>
    <s v="Delivered"/>
    <s v="UPI"/>
    <s v="05-2025"/>
    <x v="0"/>
    <x v="991"/>
    <s v="Profit"/>
    <s v="Low (1-10%)"/>
  </r>
  <r>
    <s v="ODR00993"/>
    <d v="2024-10-21T00:00:00"/>
    <s v="Sneha Reddy"/>
    <x v="2"/>
    <s v="Bangalore"/>
    <s v="Office Supplies"/>
    <s v="Notebook"/>
    <s v="Notebook - Office Supplies"/>
    <x v="991"/>
    <n v="2"/>
    <n v="4"/>
    <n v="236.89"/>
    <s v="Returned"/>
    <s v="Credit Card"/>
    <s v="10-2024"/>
    <x v="1"/>
    <x v="992"/>
    <s v="Profit"/>
    <s v="Low (1-10%)"/>
  </r>
  <r>
    <s v="ODR00994"/>
    <d v="2025-03-22T00:00:00"/>
    <s v="Vivaan Shah"/>
    <x v="2"/>
    <s v="Hyderabad"/>
    <s v="Furniture"/>
    <s v="Table"/>
    <s v="Table - Furniture"/>
    <x v="992"/>
    <n v="7"/>
    <n v="18"/>
    <n v="1115.99"/>
    <s v="Delivered"/>
    <s v="Cash"/>
    <s v="03-2025"/>
    <x v="0"/>
    <x v="993"/>
    <s v="Profit"/>
    <s v="Mid (11-20%)"/>
  </r>
  <r>
    <s v="ODR00995"/>
    <d v="2025-03-27T00:00:00"/>
    <s v="Ishaan Mehta"/>
    <x v="1"/>
    <s v="Jaipur"/>
    <s v="Furniture"/>
    <s v="Sofa"/>
    <s v="Sofa - Furniture"/>
    <x v="993"/>
    <n v="7"/>
    <n v="6"/>
    <n v="529.28"/>
    <s v="Delivered"/>
    <s v="Net Banking"/>
    <s v="03-2025"/>
    <x v="0"/>
    <x v="994"/>
    <s v="Profit"/>
    <s v="Low (1-10%)"/>
  </r>
  <r>
    <s v="ODR00996"/>
    <d v="2024-10-11T00:00:00"/>
    <s v="Yuvraj Chauhan"/>
    <x v="1"/>
    <s v="Jaipur"/>
    <s v="Office Supplies"/>
    <s v="Stapler"/>
    <s v="Stapler - Office Supplies"/>
    <x v="994"/>
    <n v="5"/>
    <n v="29"/>
    <n v="48.27"/>
    <s v="Delivered"/>
    <s v="Cash"/>
    <s v="10-2024"/>
    <x v="1"/>
    <x v="995"/>
    <s v="Profit"/>
    <s v="High (&gt;20%)"/>
  </r>
  <r>
    <s v="ODR00997"/>
    <d v="2024-06-06T00:00:00"/>
    <s v="Tanishq Ghosh"/>
    <x v="0"/>
    <s v="Patna"/>
    <s v="Office Supplies"/>
    <s v="Stapler"/>
    <s v="Stapler - Office Supplies"/>
    <x v="995"/>
    <n v="1"/>
    <n v="7.0000000000000009"/>
    <n v="206.51"/>
    <s v="Returned"/>
    <s v="Net Banking"/>
    <s v="06-2024"/>
    <x v="1"/>
    <x v="996"/>
    <s v="Profit"/>
    <s v="Low (1-10%)"/>
  </r>
  <r>
    <s v="ODR00998"/>
    <d v="2024-05-16T00:00:00"/>
    <s v="Riya Kapoor"/>
    <x v="2"/>
    <s v="Bangalore"/>
    <s v="Office Supplies"/>
    <s v="Pen"/>
    <s v="Pen - Office Supplies"/>
    <x v="996"/>
    <n v="7"/>
    <n v="27"/>
    <n v="452.98"/>
    <s v="In Transit"/>
    <s v="Credit Card"/>
    <s v="05-2024"/>
    <x v="1"/>
    <x v="997"/>
    <s v="Profit"/>
    <s v="High (&gt;20%)"/>
  </r>
  <r>
    <s v="ODR00999"/>
    <d v="2024-11-29T00:00:00"/>
    <s v="Ishaan Mehta"/>
    <x v="1"/>
    <s v="Delhi"/>
    <s v="Office Supplies"/>
    <s v="Envelope"/>
    <s v="Envelope - Office Supplies"/>
    <x v="997"/>
    <n v="10"/>
    <n v="17"/>
    <n v="2704.65"/>
    <s v="Delivered"/>
    <s v="Net Banking"/>
    <s v="11-2024"/>
    <x v="1"/>
    <x v="998"/>
    <s v="Profit"/>
    <s v="Mid (11-20%)"/>
  </r>
  <r>
    <s v="ODR01000"/>
    <d v="2025-04-16T00:00:00"/>
    <s v="Saanvi Iyer"/>
    <x v="2"/>
    <s v="Chennai"/>
    <s v="Furniture"/>
    <s v="Cupboard"/>
    <s v="Cupboard - Furniture"/>
    <x v="998"/>
    <n v="2"/>
    <n v="26"/>
    <n v="339"/>
    <s v="In Transit"/>
    <s v="Credit Card"/>
    <s v="04-2025"/>
    <x v="0"/>
    <x v="999"/>
    <s v="Profit"/>
    <s v="High (&gt;20%)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s v="ODR00001"/>
    <d v="2025-02-21T00:00:00"/>
    <s v="Meera Joshi"/>
    <s v="East"/>
    <s v="Bhubaneswar"/>
    <x v="0"/>
    <x v="0"/>
    <s v="Tablet - Technology"/>
    <n v="5921.04"/>
    <n v="4"/>
    <n v="9"/>
    <n v="1269.0999999999999"/>
  </r>
  <r>
    <s v="ODR00002"/>
    <d v="2024-07-11T00:00:00"/>
    <s v="Diya Sharma"/>
    <s v="East"/>
    <s v="Kolkata"/>
    <x v="0"/>
    <x v="1"/>
    <s v="Printer - Technology"/>
    <n v="1017.94"/>
    <n v="1"/>
    <n v="4"/>
    <n v="242.63"/>
  </r>
  <r>
    <s v="ODR00003"/>
    <d v="2025-03-17T00:00:00"/>
    <s v="Kabir Nair"/>
    <s v="East"/>
    <s v="Patna"/>
    <x v="1"/>
    <x v="2"/>
    <s v="Chair - Furniture"/>
    <n v="10652.76"/>
    <n v="6"/>
    <n v="25"/>
    <n v="859.08"/>
  </r>
  <r>
    <s v="ODR00004"/>
    <d v="2025-02-25T00:00:00"/>
    <s v="Riya Kapoor"/>
    <s v="North"/>
    <s v="Chandigarh"/>
    <x v="0"/>
    <x v="1"/>
    <s v="Printer - Technology"/>
    <n v="8665.7999999999993"/>
    <n v="5"/>
    <n v="19"/>
    <n v="1444.74"/>
  </r>
  <r>
    <s v="ODR00005"/>
    <d v="2024-12-20T00:00:00"/>
    <s v="Kriti Desai"/>
    <s v="North"/>
    <s v="Lucknow"/>
    <x v="0"/>
    <x v="0"/>
    <s v="Tablet - Technology"/>
    <n v="2150.4"/>
    <n v="2"/>
    <n v="20"/>
    <n v="267.77"/>
  </r>
  <r>
    <s v="ODR00006"/>
    <d v="2025-04-22T00:00:00"/>
    <s v="Kabir Nair"/>
    <s v="North"/>
    <s v="Lucknow"/>
    <x v="1"/>
    <x v="2"/>
    <s v="Chair - Furniture"/>
    <n v="16306.4"/>
    <n v="10"/>
    <n v="18"/>
    <n v="2357.5300000000002"/>
  </r>
  <r>
    <s v="ODR00007"/>
    <d v="2024-06-03T00:00:00"/>
    <s v="Kabir Nair"/>
    <s v="North"/>
    <s v="Lucknow"/>
    <x v="1"/>
    <x v="3"/>
    <s v="Cupboard - Furniture"/>
    <n v="2537.52"/>
    <n v="4"/>
    <n v="19"/>
    <n v="261.63"/>
  </r>
  <r>
    <s v="ODR00008"/>
    <d v="2024-06-17T00:00:00"/>
    <s v="Krishna Das"/>
    <s v="North"/>
    <s v="Lucknow"/>
    <x v="0"/>
    <x v="1"/>
    <s v="Printer - Technology"/>
    <n v="3252.76"/>
    <n v="7"/>
    <n v="4"/>
    <n v="292.45999999999998"/>
  </r>
  <r>
    <s v="ODR00009"/>
    <d v="2025-01-29T00:00:00"/>
    <s v="Krishna Das"/>
    <s v="North"/>
    <s v="Jaipur"/>
    <x v="1"/>
    <x v="3"/>
    <s v="Cupboard - Furniture"/>
    <n v="1145.98"/>
    <n v="1"/>
    <n v="22"/>
    <n v="177.37"/>
  </r>
  <r>
    <s v="ODR00010"/>
    <d v="2025-01-26T00:00:00"/>
    <s v="Diya Sharma"/>
    <s v="East"/>
    <s v="Kolkata"/>
    <x v="0"/>
    <x v="0"/>
    <s v="Tablet - Technology"/>
    <n v="13863.85"/>
    <n v="7"/>
    <n v="4"/>
    <n v="2735.89"/>
  </r>
  <r>
    <s v="ODR00011"/>
    <d v="2024-10-30T00:00:00"/>
    <s v="Diya Sharma"/>
    <s v="South"/>
    <s v="Chennai"/>
    <x v="1"/>
    <x v="4"/>
    <s v="Table - Furniture"/>
    <n v="4557.8500000000004"/>
    <n v="5"/>
    <n v="18"/>
    <n v="317.76"/>
  </r>
  <r>
    <s v="ODR00012"/>
    <d v="2025-03-17T00:00:00"/>
    <s v="Kabir Nair"/>
    <s v="South"/>
    <s v="Bangalore"/>
    <x v="2"/>
    <x v="5"/>
    <s v="Envelope - Office Supplies"/>
    <n v="2654.82"/>
    <n v="7"/>
    <n v="25"/>
    <n v="289.19"/>
  </r>
  <r>
    <s v="ODR00013"/>
    <d v="2025-05-04T00:00:00"/>
    <s v="Vivaan Shah"/>
    <s v="North"/>
    <s v="Chandigarh"/>
    <x v="2"/>
    <x v="6"/>
    <s v="Notebook - Office Supplies"/>
    <n v="1626.72"/>
    <n v="6"/>
    <n v="1"/>
    <n v="104.38"/>
  </r>
  <r>
    <s v="ODR00014"/>
    <d v="2024-10-20T00:00:00"/>
    <s v="Ishaan Mehta"/>
    <s v="North"/>
    <s v="Delhi"/>
    <x v="1"/>
    <x v="3"/>
    <s v="Cupboard - Furniture"/>
    <n v="1879.32"/>
    <n v="4"/>
    <n v="14"/>
    <n v="144"/>
  </r>
  <r>
    <s v="ODR00015"/>
    <d v="2024-08-01T00:00:00"/>
    <s v="Anaya Singh"/>
    <s v="North"/>
    <s v="Delhi"/>
    <x v="0"/>
    <x v="1"/>
    <s v="Printer - Technology"/>
    <n v="9731.9599999999991"/>
    <n v="7"/>
    <n v="30"/>
    <n v="1228"/>
  </r>
  <r>
    <s v="ODR00016"/>
    <d v="2024-07-12T00:00:00"/>
    <s v="Aarav Patel"/>
    <s v="East"/>
    <s v="Patna"/>
    <x v="0"/>
    <x v="7"/>
    <s v="Laptop - Technology"/>
    <n v="411.1"/>
    <n v="2"/>
    <n v="26"/>
    <n v="35.159999999999997"/>
  </r>
  <r>
    <s v="ODR00017"/>
    <d v="2025-03-04T00:00:00"/>
    <s v="Kriti Desai"/>
    <s v="East"/>
    <s v="Kolkata"/>
    <x v="0"/>
    <x v="7"/>
    <s v="Laptop - Technology"/>
    <n v="9701.1"/>
    <n v="6"/>
    <n v="26"/>
    <n v="1420.5"/>
  </r>
  <r>
    <s v="ODR00018"/>
    <d v="2024-07-05T00:00:00"/>
    <s v="Anaya Singh"/>
    <s v="East"/>
    <s v="Patna"/>
    <x v="2"/>
    <x v="8"/>
    <s v="Stapler - Office Supplies"/>
    <n v="2894.72"/>
    <n v="2"/>
    <n v="1"/>
    <n v="589.64"/>
  </r>
  <r>
    <s v="ODR00019"/>
    <d v="2024-06-23T00:00:00"/>
    <s v="Meera Joshi"/>
    <s v="South"/>
    <s v="Chennai"/>
    <x v="2"/>
    <x v="8"/>
    <s v="Stapler - Office Supplies"/>
    <n v="15095.8"/>
    <n v="10"/>
    <n v="0"/>
    <n v="1791.89"/>
  </r>
  <r>
    <s v="ODR00020"/>
    <d v="2024-10-31T00:00:00"/>
    <s v="Yuvraj Chauhan"/>
    <s v="South"/>
    <s v="Chennai"/>
    <x v="1"/>
    <x v="3"/>
    <s v="Cupboard - Furniture"/>
    <n v="7913.6"/>
    <n v="5"/>
    <n v="27"/>
    <n v="365.9"/>
  </r>
  <r>
    <s v="ODR00021"/>
    <d v="2025-01-23T00:00:00"/>
    <s v="Arjun Verma"/>
    <s v="North"/>
    <s v="Jaipur"/>
    <x v="1"/>
    <x v="2"/>
    <s v="Chair - Furniture"/>
    <n v="1344.77"/>
    <n v="1"/>
    <n v="25"/>
    <n v="56.96"/>
  </r>
  <r>
    <s v="ODR00022"/>
    <d v="2025-02-24T00:00:00"/>
    <s v="Kriti Desai"/>
    <s v="South"/>
    <s v="Bangalore"/>
    <x v="1"/>
    <x v="2"/>
    <s v="Chair - Furniture"/>
    <n v="7816.32"/>
    <n v="6"/>
    <n v="1"/>
    <n v="1009.31"/>
  </r>
  <r>
    <s v="ODR00023"/>
    <d v="2024-06-26T00:00:00"/>
    <s v="Anaya Singh"/>
    <s v="West"/>
    <s v="Nagpur"/>
    <x v="1"/>
    <x v="2"/>
    <s v="Chair - Furniture"/>
    <n v="17681.099999999999"/>
    <n v="10"/>
    <n v="26"/>
    <n v="884.53"/>
  </r>
  <r>
    <s v="ODR00024"/>
    <d v="2025-02-01T00:00:00"/>
    <s v="Kriti Desai"/>
    <s v="North"/>
    <s v="Chandigarh"/>
    <x v="2"/>
    <x v="6"/>
    <s v="Notebook - Office Supplies"/>
    <n v="5216.7"/>
    <n v="10"/>
    <n v="21"/>
    <n v="259.14999999999998"/>
  </r>
  <r>
    <s v="ODR00025"/>
    <d v="2024-12-20T00:00:00"/>
    <s v="Riya Kapoor"/>
    <s v="South"/>
    <s v="Bangalore"/>
    <x v="0"/>
    <x v="7"/>
    <s v="Laptop - Technology"/>
    <n v="9898.4699999999993"/>
    <n v="9"/>
    <n v="28"/>
    <n v="1292.04"/>
  </r>
  <r>
    <s v="ODR00026"/>
    <d v="2025-02-09T00:00:00"/>
    <s v="Aarav Patel"/>
    <s v="East"/>
    <s v="Kolkata"/>
    <x v="0"/>
    <x v="9"/>
    <s v="Mobile - Technology"/>
    <n v="15473"/>
    <n v="10"/>
    <n v="10"/>
    <n v="1377.35"/>
  </r>
  <r>
    <s v="ODR00027"/>
    <d v="2025-05-11T00:00:00"/>
    <s v="Ishaan Mehta"/>
    <s v="West"/>
    <s v="Ahmedabad"/>
    <x v="2"/>
    <x v="5"/>
    <s v="Envelope - Office Supplies"/>
    <n v="8638.56"/>
    <n v="8"/>
    <n v="26"/>
    <n v="1043.43"/>
  </r>
  <r>
    <s v="ODR00028"/>
    <d v="2024-08-28T00:00:00"/>
    <s v="Saanvi Iyer"/>
    <s v="East"/>
    <s v="Bhubaneswar"/>
    <x v="2"/>
    <x v="5"/>
    <s v="Envelope - Office Supplies"/>
    <n v="1242.6600000000001"/>
    <n v="3"/>
    <n v="3"/>
    <n v="63.8"/>
  </r>
  <r>
    <s v="ODR00029"/>
    <d v="2025-04-26T00:00:00"/>
    <s v="Tanishq Ghosh"/>
    <s v="West"/>
    <s v="Indore"/>
    <x v="2"/>
    <x v="10"/>
    <s v="Pen - Office Supplies"/>
    <n v="802.35"/>
    <n v="5"/>
    <n v="24"/>
    <n v="57.18"/>
  </r>
  <r>
    <s v="ODR00030"/>
    <d v="2024-10-01T00:00:00"/>
    <s v="Saanvi Iyer"/>
    <s v="South"/>
    <s v="Chennai"/>
    <x v="1"/>
    <x v="2"/>
    <s v="Chair - Furniture"/>
    <n v="3375.2"/>
    <n v="2"/>
    <n v="5"/>
    <n v="722.26"/>
  </r>
  <r>
    <s v="ODR00031"/>
    <d v="2024-06-04T00:00:00"/>
    <s v="Meera Joshi"/>
    <s v="West"/>
    <s v="Indore"/>
    <x v="0"/>
    <x v="9"/>
    <s v="Mobile - Technology"/>
    <n v="2209.2800000000002"/>
    <n v="8"/>
    <n v="4"/>
    <n v="217.17"/>
  </r>
  <r>
    <s v="ODR00032"/>
    <d v="2024-05-12T00:00:00"/>
    <s v="Diya Sharma"/>
    <s v="South"/>
    <s v="Hyderabad"/>
    <x v="2"/>
    <x v="5"/>
    <s v="Envelope - Office Supplies"/>
    <n v="6503.75"/>
    <n v="5"/>
    <n v="12"/>
    <n v="510.77"/>
  </r>
  <r>
    <s v="ODR00033"/>
    <d v="2025-05-02T00:00:00"/>
    <s v="Kriti Desai"/>
    <s v="North"/>
    <s v="Delhi"/>
    <x v="1"/>
    <x v="3"/>
    <s v="Cupboard - Furniture"/>
    <n v="7153.4"/>
    <n v="4"/>
    <n v="18"/>
    <n v="1309.46"/>
  </r>
  <r>
    <s v="ODR00034"/>
    <d v="2025-02-13T00:00:00"/>
    <s v="Aarav Patel"/>
    <s v="West"/>
    <s v="Nagpur"/>
    <x v="2"/>
    <x v="8"/>
    <s v="Stapler - Office Supplies"/>
    <n v="8470.5499999999993"/>
    <n v="5"/>
    <n v="5"/>
    <n v="1774.25"/>
  </r>
  <r>
    <s v="ODR00035"/>
    <d v="2024-07-06T00:00:00"/>
    <s v="Krishna Das"/>
    <s v="North"/>
    <s v="Delhi"/>
    <x v="1"/>
    <x v="11"/>
    <s v="Sofa - Furniture"/>
    <n v="6147.72"/>
    <n v="4"/>
    <n v="7.0000000000000009"/>
    <n v="1020"/>
  </r>
  <r>
    <s v="ODR00036"/>
    <d v="2024-05-25T00:00:00"/>
    <s v="Aarav Patel"/>
    <s v="East"/>
    <s v="Bhubaneswar"/>
    <x v="2"/>
    <x v="5"/>
    <s v="Envelope - Office Supplies"/>
    <n v="2836.5"/>
    <n v="5"/>
    <n v="2"/>
    <n v="628.39"/>
  </r>
  <r>
    <s v="ODR00037"/>
    <d v="2024-09-21T00:00:00"/>
    <s v="Anaya Singh"/>
    <s v="West"/>
    <s v="Mumbai"/>
    <x v="0"/>
    <x v="0"/>
    <s v="Tablet - Technology"/>
    <n v="1870.92"/>
    <n v="1"/>
    <n v="0"/>
    <n v="104.31"/>
  </r>
  <r>
    <s v="ODR00038"/>
    <d v="2024-07-14T00:00:00"/>
    <s v="Meera Joshi"/>
    <s v="East"/>
    <s v="Patna"/>
    <x v="1"/>
    <x v="2"/>
    <s v="Chair - Furniture"/>
    <n v="9352.85"/>
    <n v="5"/>
    <n v="23"/>
    <n v="717.65"/>
  </r>
  <r>
    <s v="ODR00039"/>
    <d v="2024-07-31T00:00:00"/>
    <s v="Diya Sharma"/>
    <s v="West"/>
    <s v="Nagpur"/>
    <x v="0"/>
    <x v="0"/>
    <s v="Tablet - Technology"/>
    <n v="4498.8599999999997"/>
    <n v="3"/>
    <n v="22"/>
    <n v="862.46"/>
  </r>
  <r>
    <s v="ODR00040"/>
    <d v="2025-04-05T00:00:00"/>
    <s v="Kriti Desai"/>
    <s v="North"/>
    <s v="Jaipur"/>
    <x v="1"/>
    <x v="4"/>
    <s v="Table - Furniture"/>
    <n v="4073.37"/>
    <n v="7"/>
    <n v="24"/>
    <n v="528.49"/>
  </r>
  <r>
    <s v="ODR00041"/>
    <d v="2024-05-27T00:00:00"/>
    <s v="Yuvraj Chauhan"/>
    <s v="North"/>
    <s v="Delhi"/>
    <x v="1"/>
    <x v="11"/>
    <s v="Sofa - Furniture"/>
    <n v="4120.0600000000004"/>
    <n v="7"/>
    <n v="25"/>
    <n v="565.57000000000005"/>
  </r>
  <r>
    <s v="ODR00042"/>
    <d v="2024-08-11T00:00:00"/>
    <s v="Vivaan Shah"/>
    <s v="North"/>
    <s v="Chandigarh"/>
    <x v="1"/>
    <x v="11"/>
    <s v="Sofa - Furniture"/>
    <n v="4954.95"/>
    <n v="9"/>
    <n v="11"/>
    <n v="884.66"/>
  </r>
  <r>
    <s v="ODR00043"/>
    <d v="2024-08-12T00:00:00"/>
    <s v="Krishna Das"/>
    <s v="East"/>
    <s v="Patna"/>
    <x v="0"/>
    <x v="1"/>
    <s v="Printer - Technology"/>
    <n v="13218.4"/>
    <n v="8"/>
    <n v="14"/>
    <n v="1949.19"/>
  </r>
  <r>
    <s v="ODR00044"/>
    <d v="2025-04-18T00:00:00"/>
    <s v="Diya Sharma"/>
    <s v="East"/>
    <s v="Patna"/>
    <x v="1"/>
    <x v="4"/>
    <s v="Table - Furniture"/>
    <n v="8531.8799999999992"/>
    <n v="7"/>
    <n v="3"/>
    <n v="1496.19"/>
  </r>
  <r>
    <s v="ODR00045"/>
    <d v="2024-12-16T00:00:00"/>
    <s v="Kriti Desai"/>
    <s v="West"/>
    <s v="Nagpur"/>
    <x v="0"/>
    <x v="0"/>
    <s v="Tablet - Technology"/>
    <n v="2359.92"/>
    <n v="3"/>
    <n v="3"/>
    <n v="183.13"/>
  </r>
  <r>
    <s v="ODR00046"/>
    <d v="2024-08-07T00:00:00"/>
    <s v="Tanishq Ghosh"/>
    <s v="West"/>
    <s v="Ahmedabad"/>
    <x v="0"/>
    <x v="0"/>
    <s v="Tablet - Technology"/>
    <n v="655.93"/>
    <n v="1"/>
    <n v="12"/>
    <n v="62.71"/>
  </r>
  <r>
    <s v="ODR00047"/>
    <d v="2025-02-26T00:00:00"/>
    <s v="Riya Kapoor"/>
    <s v="South"/>
    <s v="Chennai"/>
    <x v="2"/>
    <x v="6"/>
    <s v="Notebook - Office Supplies"/>
    <n v="358.98"/>
    <n v="1"/>
    <n v="9"/>
    <n v="71.81"/>
  </r>
  <r>
    <s v="ODR00048"/>
    <d v="2024-11-13T00:00:00"/>
    <s v="Vivaan Shah"/>
    <s v="East"/>
    <s v="Bhubaneswar"/>
    <x v="1"/>
    <x v="3"/>
    <s v="Cupboard - Furniture"/>
    <n v="1902.93"/>
    <n v="1"/>
    <n v="15"/>
    <n v="365.62"/>
  </r>
  <r>
    <s v="ODR00049"/>
    <d v="2025-03-03T00:00:00"/>
    <s v="Arjun Verma"/>
    <s v="South"/>
    <s v="Bangalore"/>
    <x v="1"/>
    <x v="2"/>
    <s v="Chair - Furniture"/>
    <n v="5095.6499999999996"/>
    <n v="7"/>
    <n v="5"/>
    <n v="808.51"/>
  </r>
  <r>
    <s v="ODR00050"/>
    <d v="2024-08-16T00:00:00"/>
    <s v="Tanishq Ghosh"/>
    <s v="South"/>
    <s v="Chennai"/>
    <x v="2"/>
    <x v="8"/>
    <s v="Stapler - Office Supplies"/>
    <n v="11397.75"/>
    <n v="7"/>
    <n v="1"/>
    <n v="2719.65"/>
  </r>
  <r>
    <s v="ODR00051"/>
    <d v="2024-09-04T00:00:00"/>
    <s v="Krishna Das"/>
    <s v="North"/>
    <s v="Delhi"/>
    <x v="0"/>
    <x v="9"/>
    <s v="Mobile - Technology"/>
    <n v="947.64"/>
    <n v="6"/>
    <n v="10"/>
    <n v="185.53"/>
  </r>
  <r>
    <s v="ODR00052"/>
    <d v="2025-02-20T00:00:00"/>
    <s v="Arjun Verma"/>
    <s v="South"/>
    <s v="Hyderabad"/>
    <x v="0"/>
    <x v="1"/>
    <s v="Printer - Technology"/>
    <n v="3094.56"/>
    <n v="4"/>
    <n v="21"/>
    <n v="261.86"/>
  </r>
  <r>
    <s v="ODR00053"/>
    <d v="2024-10-05T00:00:00"/>
    <s v="Sneha Reddy"/>
    <s v="North"/>
    <s v="Jaipur"/>
    <x v="2"/>
    <x v="8"/>
    <s v="Stapler - Office Supplies"/>
    <n v="9718.73"/>
    <n v="7"/>
    <n v="27"/>
    <n v="356.81"/>
  </r>
  <r>
    <s v="ODR00054"/>
    <d v="2024-12-27T00:00:00"/>
    <s v="Ishaan Mehta"/>
    <s v="West"/>
    <s v="Nagpur"/>
    <x v="1"/>
    <x v="4"/>
    <s v="Table - Furniture"/>
    <n v="13397.79"/>
    <n v="7"/>
    <n v="19"/>
    <n v="2309.5500000000002"/>
  </r>
  <r>
    <s v="ODR00055"/>
    <d v="2025-02-22T00:00:00"/>
    <s v="Arjun Verma"/>
    <s v="East"/>
    <s v="Kolkata"/>
    <x v="2"/>
    <x v="6"/>
    <s v="Notebook - Office Supplies"/>
    <n v="3592.82"/>
    <n v="2"/>
    <n v="1"/>
    <n v="841.7"/>
  </r>
  <r>
    <s v="ODR00056"/>
    <d v="2024-09-08T00:00:00"/>
    <s v="Kabir Nair"/>
    <s v="West"/>
    <s v="Nagpur"/>
    <x v="2"/>
    <x v="8"/>
    <s v="Stapler - Office Supplies"/>
    <n v="1613.09"/>
    <n v="1"/>
    <n v="27"/>
    <n v="205.51"/>
  </r>
  <r>
    <s v="ODR00057"/>
    <d v="2024-08-13T00:00:00"/>
    <s v="Sneha Reddy"/>
    <s v="North"/>
    <s v="Jaipur"/>
    <x v="0"/>
    <x v="1"/>
    <s v="Printer - Technology"/>
    <n v="10848.16"/>
    <n v="8"/>
    <n v="26"/>
    <n v="1581.16"/>
  </r>
  <r>
    <s v="ODR00058"/>
    <d v="2024-11-25T00:00:00"/>
    <s v="Meera Joshi"/>
    <s v="South"/>
    <s v="Bangalore"/>
    <x v="1"/>
    <x v="3"/>
    <s v="Cupboard - Furniture"/>
    <n v="11803.92"/>
    <n v="6"/>
    <n v="10"/>
    <n v="856.03"/>
  </r>
  <r>
    <s v="ODR00059"/>
    <d v="2024-09-09T00:00:00"/>
    <s v="Ishaan Mehta"/>
    <s v="West"/>
    <s v="Pune"/>
    <x v="2"/>
    <x v="10"/>
    <s v="Pen - Office Supplies"/>
    <n v="4463.4799999999996"/>
    <n v="7"/>
    <n v="2"/>
    <n v="591.73"/>
  </r>
  <r>
    <s v="ODR00060"/>
    <d v="2024-08-13T00:00:00"/>
    <s v="Tanishq Ghosh"/>
    <s v="East"/>
    <s v="Bhubaneswar"/>
    <x v="1"/>
    <x v="4"/>
    <s v="Table - Furniture"/>
    <n v="649.30999999999995"/>
    <n v="1"/>
    <n v="19"/>
    <n v="53.76"/>
  </r>
  <r>
    <s v="ODR00061"/>
    <d v="2025-05-07T00:00:00"/>
    <s v="Ishaan Mehta"/>
    <s v="East"/>
    <s v="Bhubaneswar"/>
    <x v="2"/>
    <x v="10"/>
    <s v="Pen - Office Supplies"/>
    <n v="1693.85"/>
    <n v="1"/>
    <n v="16"/>
    <n v="182.97"/>
  </r>
  <r>
    <s v="ODR00062"/>
    <d v="2025-02-12T00:00:00"/>
    <s v="Vivaan Shah"/>
    <s v="South"/>
    <s v="Hyderabad"/>
    <x v="2"/>
    <x v="8"/>
    <s v="Stapler - Office Supplies"/>
    <n v="1530.08"/>
    <n v="2"/>
    <n v="22"/>
    <n v="216.71"/>
  </r>
  <r>
    <s v="ODR00063"/>
    <d v="2025-05-11T00:00:00"/>
    <s v="Riya Kapoor"/>
    <s v="East"/>
    <s v="Kolkata"/>
    <x v="2"/>
    <x v="5"/>
    <s v="Envelope - Office Supplies"/>
    <n v="12486.95"/>
    <n v="7"/>
    <n v="5"/>
    <n v="2799.04"/>
  </r>
  <r>
    <s v="ODR00064"/>
    <d v="2024-08-27T00:00:00"/>
    <s v="Meera Joshi"/>
    <s v="East"/>
    <s v="Patna"/>
    <x v="2"/>
    <x v="6"/>
    <s v="Notebook - Office Supplies"/>
    <n v="4574.22"/>
    <n v="7"/>
    <n v="23"/>
    <n v="727.68"/>
  </r>
  <r>
    <s v="ODR00065"/>
    <d v="2025-05-06T00:00:00"/>
    <s v="Tanishq Ghosh"/>
    <s v="South"/>
    <s v="Chennai"/>
    <x v="0"/>
    <x v="9"/>
    <s v="Mobile - Technology"/>
    <n v="7773.93"/>
    <n v="9"/>
    <n v="28"/>
    <n v="1104.03"/>
  </r>
  <r>
    <s v="ODR00066"/>
    <d v="2024-11-15T00:00:00"/>
    <s v="Meera Joshi"/>
    <s v="South"/>
    <s v="Chennai"/>
    <x v="1"/>
    <x v="2"/>
    <s v="Chair - Furniture"/>
    <n v="9476.4"/>
    <n v="8"/>
    <n v="4"/>
    <n v="703.64"/>
  </r>
  <r>
    <s v="ODR00067"/>
    <d v="2024-09-06T00:00:00"/>
    <s v="Saanvi Iyer"/>
    <s v="North"/>
    <s v="Chandigarh"/>
    <x v="2"/>
    <x v="10"/>
    <s v="Pen - Office Supplies"/>
    <n v="3774.96"/>
    <n v="9"/>
    <n v="17"/>
    <n v="163.01"/>
  </r>
  <r>
    <s v="ODR00068"/>
    <d v="2024-10-18T00:00:00"/>
    <s v="Saanvi Iyer"/>
    <s v="East"/>
    <s v="Bhubaneswar"/>
    <x v="2"/>
    <x v="8"/>
    <s v="Stapler - Office Supplies"/>
    <n v="11246.04"/>
    <n v="6"/>
    <n v="6"/>
    <n v="2435.79"/>
  </r>
  <r>
    <s v="ODR00069"/>
    <d v="2025-03-14T00:00:00"/>
    <s v="Meera Joshi"/>
    <s v="East"/>
    <s v="Patna"/>
    <x v="1"/>
    <x v="4"/>
    <s v="Table - Furniture"/>
    <n v="3300.72"/>
    <n v="2"/>
    <n v="25"/>
    <n v="578.44000000000005"/>
  </r>
  <r>
    <s v="ODR00070"/>
    <d v="2024-11-07T00:00:00"/>
    <s v="Ishaan Mehta"/>
    <s v="East"/>
    <s v="Kolkata"/>
    <x v="2"/>
    <x v="6"/>
    <s v="Notebook - Office Supplies"/>
    <n v="8488.2000000000007"/>
    <n v="6"/>
    <n v="24"/>
    <n v="873.92"/>
  </r>
  <r>
    <s v="ODR00071"/>
    <d v="2024-08-14T00:00:00"/>
    <s v="Anaya Singh"/>
    <s v="South"/>
    <s v="Bangalore"/>
    <x v="0"/>
    <x v="7"/>
    <s v="Laptop - Technology"/>
    <n v="2992.53"/>
    <n v="3"/>
    <n v="16"/>
    <n v="335.06"/>
  </r>
  <r>
    <s v="ODR00072"/>
    <d v="2025-03-04T00:00:00"/>
    <s v="Vivaan Shah"/>
    <s v="North"/>
    <s v="Delhi"/>
    <x v="0"/>
    <x v="1"/>
    <s v="Printer - Technology"/>
    <n v="1637.42"/>
    <n v="2"/>
    <n v="1"/>
    <n v="248.33"/>
  </r>
  <r>
    <s v="ODR00073"/>
    <d v="2025-04-21T00:00:00"/>
    <s v="Arjun Verma"/>
    <s v="South"/>
    <s v="Bangalore"/>
    <x v="1"/>
    <x v="11"/>
    <s v="Sofa - Furniture"/>
    <n v="11379.96"/>
    <n v="6"/>
    <n v="13"/>
    <n v="636.80999999999995"/>
  </r>
  <r>
    <s v="ODR00074"/>
    <d v="2024-06-22T00:00:00"/>
    <s v="Kabir Nair"/>
    <s v="South"/>
    <s v="Chennai"/>
    <x v="0"/>
    <x v="0"/>
    <s v="Tablet - Technology"/>
    <n v="7066.55"/>
    <n v="5"/>
    <n v="13"/>
    <n v="1479.7"/>
  </r>
  <r>
    <s v="ODR00075"/>
    <d v="2025-05-04T00:00:00"/>
    <s v="Riya Kapoor"/>
    <s v="West"/>
    <s v="Indore"/>
    <x v="0"/>
    <x v="1"/>
    <s v="Printer - Technology"/>
    <n v="1577.94"/>
    <n v="2"/>
    <n v="26"/>
    <n v="229.33"/>
  </r>
  <r>
    <s v="ODR00076"/>
    <d v="2024-10-12T00:00:00"/>
    <s v="Diya Sharma"/>
    <s v="South"/>
    <s v="Chennai"/>
    <x v="2"/>
    <x v="5"/>
    <s v="Envelope - Office Supplies"/>
    <n v="763.96"/>
    <n v="1"/>
    <n v="10"/>
    <n v="39.58"/>
  </r>
  <r>
    <s v="ODR00077"/>
    <d v="2025-03-19T00:00:00"/>
    <s v="Kriti Desai"/>
    <s v="West"/>
    <s v="Ahmedabad"/>
    <x v="0"/>
    <x v="0"/>
    <s v="Tablet - Technology"/>
    <n v="13950.09"/>
    <n v="9"/>
    <n v="24"/>
    <n v="1635.16"/>
  </r>
  <r>
    <s v="ODR00078"/>
    <d v="2025-01-07T00:00:00"/>
    <s v="Saanvi Iyer"/>
    <s v="North"/>
    <s v="Delhi"/>
    <x v="1"/>
    <x v="4"/>
    <s v="Table - Furniture"/>
    <n v="8912.76"/>
    <n v="6"/>
    <n v="26"/>
    <n v="1590.24"/>
  </r>
  <r>
    <s v="ODR00079"/>
    <d v="2025-04-27T00:00:00"/>
    <s v="Sneha Reddy"/>
    <s v="West"/>
    <s v="Indore"/>
    <x v="1"/>
    <x v="3"/>
    <s v="Cupboard - Furniture"/>
    <n v="9077.0400000000009"/>
    <n v="8"/>
    <n v="23"/>
    <n v="1162.69"/>
  </r>
  <r>
    <s v="ODR00080"/>
    <d v="2024-11-27T00:00:00"/>
    <s v="Tanishq Ghosh"/>
    <s v="South"/>
    <s v="Hyderabad"/>
    <x v="0"/>
    <x v="7"/>
    <s v="Laptop - Technology"/>
    <n v="8681.76"/>
    <n v="6"/>
    <n v="0"/>
    <n v="914.67"/>
  </r>
  <r>
    <s v="ODR00081"/>
    <d v="2024-07-01T00:00:00"/>
    <s v="Riya Kapoor"/>
    <s v="North"/>
    <s v="Jaipur"/>
    <x v="1"/>
    <x v="2"/>
    <s v="Chair - Furniture"/>
    <n v="15324.96"/>
    <n v="8"/>
    <n v="27"/>
    <n v="630.78"/>
  </r>
  <r>
    <s v="ODR00082"/>
    <d v="2024-09-05T00:00:00"/>
    <s v="Yuvraj Chauhan"/>
    <s v="South"/>
    <s v="Bangalore"/>
    <x v="0"/>
    <x v="9"/>
    <s v="Mobile - Technology"/>
    <n v="4456.62"/>
    <n v="9"/>
    <n v="11"/>
    <n v="803.43"/>
  </r>
  <r>
    <s v="ODR00083"/>
    <d v="2024-12-03T00:00:00"/>
    <s v="Kabir Nair"/>
    <s v="West"/>
    <s v="Mumbai"/>
    <x v="0"/>
    <x v="1"/>
    <s v="Printer - Technology"/>
    <n v="13463.12"/>
    <n v="8"/>
    <n v="29"/>
    <n v="1135.76"/>
  </r>
  <r>
    <s v="ODR00084"/>
    <d v="2025-01-03T00:00:00"/>
    <s v="Riya Kapoor"/>
    <s v="North"/>
    <s v="Jaipur"/>
    <x v="2"/>
    <x v="8"/>
    <s v="Stapler - Office Supplies"/>
    <n v="12675.39"/>
    <n v="7"/>
    <n v="10"/>
    <n v="768.8"/>
  </r>
  <r>
    <s v="ODR00085"/>
    <d v="2024-07-06T00:00:00"/>
    <s v="Ishaan Mehta"/>
    <s v="East"/>
    <s v="Bhubaneswar"/>
    <x v="0"/>
    <x v="0"/>
    <s v="Tablet - Technology"/>
    <n v="12314.64"/>
    <n v="8"/>
    <n v="21"/>
    <n v="1574.18"/>
  </r>
  <r>
    <s v="ODR00086"/>
    <d v="2025-01-10T00:00:00"/>
    <s v="Saanvi Iyer"/>
    <s v="West"/>
    <s v="Indore"/>
    <x v="1"/>
    <x v="3"/>
    <s v="Cupboard - Furniture"/>
    <n v="13555.1"/>
    <n v="10"/>
    <n v="26"/>
    <n v="788.7"/>
  </r>
  <r>
    <s v="ODR00087"/>
    <d v="2024-08-06T00:00:00"/>
    <s v="Kabir Nair"/>
    <s v="West"/>
    <s v="Mumbai"/>
    <x v="0"/>
    <x v="7"/>
    <s v="Laptop - Technology"/>
    <n v="3461.64"/>
    <n v="6"/>
    <n v="10"/>
    <n v="530.79999999999995"/>
  </r>
  <r>
    <s v="ODR00088"/>
    <d v="2024-07-18T00:00:00"/>
    <s v="Yuvraj Chauhan"/>
    <s v="West"/>
    <s v="Pune"/>
    <x v="2"/>
    <x v="5"/>
    <s v="Envelope - Office Supplies"/>
    <n v="8002.98"/>
    <n v="9"/>
    <n v="21"/>
    <n v="800.58"/>
  </r>
  <r>
    <s v="ODR00089"/>
    <d v="2024-09-25T00:00:00"/>
    <s v="Arjun Verma"/>
    <s v="West"/>
    <s v="Ahmedabad"/>
    <x v="0"/>
    <x v="9"/>
    <s v="Mobile - Technology"/>
    <n v="14939.73"/>
    <n v="9"/>
    <n v="20"/>
    <n v="2876.37"/>
  </r>
  <r>
    <s v="ODR00090"/>
    <d v="2024-06-25T00:00:00"/>
    <s v="Vivaan Shah"/>
    <s v="East"/>
    <s v="Kolkata"/>
    <x v="1"/>
    <x v="11"/>
    <s v="Sofa - Furniture"/>
    <n v="11401.1"/>
    <n v="10"/>
    <n v="1"/>
    <n v="1794.61"/>
  </r>
  <r>
    <s v="ODR00091"/>
    <d v="2024-11-19T00:00:00"/>
    <s v="Arjun Verma"/>
    <s v="East"/>
    <s v="Kolkata"/>
    <x v="2"/>
    <x v="8"/>
    <s v="Stapler - Office Supplies"/>
    <n v="7994.22"/>
    <n v="6"/>
    <n v="11"/>
    <n v="895.16"/>
  </r>
  <r>
    <s v="ODR00092"/>
    <d v="2025-02-04T00:00:00"/>
    <s v="Diya Sharma"/>
    <s v="East"/>
    <s v="Patna"/>
    <x v="0"/>
    <x v="1"/>
    <s v="Printer - Technology"/>
    <n v="6333.35"/>
    <n v="5"/>
    <n v="17"/>
    <n v="853.27"/>
  </r>
  <r>
    <s v="ODR00093"/>
    <d v="2024-11-26T00:00:00"/>
    <s v="Krishna Das"/>
    <s v="East"/>
    <s v="Kolkata"/>
    <x v="1"/>
    <x v="2"/>
    <s v="Chair - Furniture"/>
    <n v="10863.04"/>
    <n v="8"/>
    <n v="4"/>
    <n v="1093.22"/>
  </r>
  <r>
    <s v="ODR00094"/>
    <d v="2025-04-01T00:00:00"/>
    <s v="Saanvi Iyer"/>
    <s v="East"/>
    <s v="Bhubaneswar"/>
    <x v="2"/>
    <x v="8"/>
    <s v="Stapler - Office Supplies"/>
    <n v="15379.2"/>
    <n v="9"/>
    <n v="8"/>
    <n v="3526.58"/>
  </r>
  <r>
    <s v="ODR00095"/>
    <d v="2025-04-05T00:00:00"/>
    <s v="Arjun Verma"/>
    <s v="West"/>
    <s v="Indore"/>
    <x v="0"/>
    <x v="0"/>
    <s v="Tablet - Technology"/>
    <n v="10251.01"/>
    <n v="7"/>
    <n v="2"/>
    <n v="2263.8200000000002"/>
  </r>
  <r>
    <s v="ODR00096"/>
    <d v="2024-06-11T00:00:00"/>
    <s v="Kriti Desai"/>
    <s v="West"/>
    <s v="Mumbai"/>
    <x v="0"/>
    <x v="9"/>
    <s v="Mobile - Technology"/>
    <n v="437.48"/>
    <n v="2"/>
    <n v="3"/>
    <n v="28.55"/>
  </r>
  <r>
    <s v="ODR00097"/>
    <d v="2024-09-25T00:00:00"/>
    <s v="Kriti Desai"/>
    <s v="East"/>
    <s v="Kolkata"/>
    <x v="0"/>
    <x v="0"/>
    <s v="Tablet - Technology"/>
    <n v="640.4"/>
    <n v="2"/>
    <n v="9"/>
    <n v="40.450000000000003"/>
  </r>
  <r>
    <s v="ODR00098"/>
    <d v="2024-07-06T00:00:00"/>
    <s v="Diya Sharma"/>
    <s v="South"/>
    <s v="Hyderabad"/>
    <x v="1"/>
    <x v="2"/>
    <s v="Chair - Furniture"/>
    <n v="5637.84"/>
    <n v="3"/>
    <n v="5"/>
    <n v="366.61"/>
  </r>
  <r>
    <s v="ODR00099"/>
    <d v="2024-05-15T00:00:00"/>
    <s v="Tanishq Ghosh"/>
    <s v="North"/>
    <s v="Lucknow"/>
    <x v="1"/>
    <x v="2"/>
    <s v="Chair - Furniture"/>
    <n v="16167.51"/>
    <n v="9"/>
    <n v="19"/>
    <n v="1210.18"/>
  </r>
  <r>
    <s v="ODR00100"/>
    <d v="2024-05-31T00:00:00"/>
    <s v="Saanvi Iyer"/>
    <s v="East"/>
    <s v="Patna"/>
    <x v="0"/>
    <x v="7"/>
    <s v="Laptop - Technology"/>
    <n v="8236.48"/>
    <n v="8"/>
    <n v="22"/>
    <n v="1095.97"/>
  </r>
  <r>
    <s v="ODR00101"/>
    <d v="2024-12-13T00:00:00"/>
    <s v="Kriti Desai"/>
    <s v="East"/>
    <s v="Bhubaneswar"/>
    <x v="2"/>
    <x v="8"/>
    <s v="Stapler - Office Supplies"/>
    <n v="12156.5"/>
    <n v="10"/>
    <n v="15"/>
    <n v="2302.3000000000002"/>
  </r>
  <r>
    <s v="ODR00102"/>
    <d v="2024-07-28T00:00:00"/>
    <s v="Yuvraj Chauhan"/>
    <s v="North"/>
    <s v="Lucknow"/>
    <x v="0"/>
    <x v="0"/>
    <s v="Tablet - Technology"/>
    <n v="1007.37"/>
    <n v="1"/>
    <n v="20"/>
    <n v="167.76"/>
  </r>
  <r>
    <s v="ODR00103"/>
    <d v="2025-03-14T00:00:00"/>
    <s v="Aarav Patel"/>
    <s v="West"/>
    <s v="Nagpur"/>
    <x v="0"/>
    <x v="1"/>
    <s v="Printer - Technology"/>
    <n v="948.24"/>
    <n v="1"/>
    <n v="27"/>
    <n v="34.909999999999997"/>
  </r>
  <r>
    <s v="ODR00104"/>
    <d v="2025-04-29T00:00:00"/>
    <s v="Aarav Patel"/>
    <s v="East"/>
    <s v="Patna"/>
    <x v="0"/>
    <x v="0"/>
    <s v="Tablet - Technology"/>
    <n v="7304.5"/>
    <n v="10"/>
    <n v="5"/>
    <n v="461.1"/>
  </r>
  <r>
    <s v="ODR00105"/>
    <d v="2025-03-20T00:00:00"/>
    <s v="Tanishq Ghosh"/>
    <s v="South"/>
    <s v="Chennai"/>
    <x v="1"/>
    <x v="2"/>
    <s v="Chair - Furniture"/>
    <n v="4409.01"/>
    <n v="3"/>
    <n v="26"/>
    <n v="466.16"/>
  </r>
  <r>
    <s v="ODR00106"/>
    <d v="2024-07-08T00:00:00"/>
    <s v="Tanishq Ghosh"/>
    <s v="East"/>
    <s v="Bhubaneswar"/>
    <x v="2"/>
    <x v="5"/>
    <s v="Envelope - Office Supplies"/>
    <n v="736.65"/>
    <n v="3"/>
    <n v="8"/>
    <n v="123.05"/>
  </r>
  <r>
    <s v="ODR00107"/>
    <d v="2024-12-06T00:00:00"/>
    <s v="Yuvraj Chauhan"/>
    <s v="East"/>
    <s v="Kolkata"/>
    <x v="1"/>
    <x v="11"/>
    <s v="Sofa - Furniture"/>
    <n v="12407.84"/>
    <n v="8"/>
    <n v="24"/>
    <n v="1510"/>
  </r>
  <r>
    <s v="ODR00108"/>
    <d v="2025-04-17T00:00:00"/>
    <s v="Diya Sharma"/>
    <s v="South"/>
    <s v="Bangalore"/>
    <x v="0"/>
    <x v="0"/>
    <s v="Tablet - Technology"/>
    <n v="6470.3"/>
    <n v="10"/>
    <n v="3"/>
    <n v="1412.01"/>
  </r>
  <r>
    <s v="ODR00109"/>
    <d v="2024-08-13T00:00:00"/>
    <s v="Meera Joshi"/>
    <s v="North"/>
    <s v="Jaipur"/>
    <x v="0"/>
    <x v="7"/>
    <s v="Laptop - Technology"/>
    <n v="1823.95"/>
    <n v="5"/>
    <n v="8"/>
    <n v="372.97"/>
  </r>
  <r>
    <s v="ODR00110"/>
    <d v="2024-09-13T00:00:00"/>
    <s v="Arjun Verma"/>
    <s v="South"/>
    <s v="Hyderabad"/>
    <x v="0"/>
    <x v="1"/>
    <s v="Printer - Technology"/>
    <n v="6669.96"/>
    <n v="6"/>
    <n v="7.0000000000000009"/>
    <n v="1226.27"/>
  </r>
  <r>
    <s v="ODR00111"/>
    <d v="2025-02-05T00:00:00"/>
    <s v="Saanvi Iyer"/>
    <s v="West"/>
    <s v="Pune"/>
    <x v="2"/>
    <x v="5"/>
    <s v="Envelope - Office Supplies"/>
    <n v="9728.82"/>
    <n v="6"/>
    <n v="2"/>
    <n v="1193.55"/>
  </r>
  <r>
    <s v="ODR00112"/>
    <d v="2024-06-25T00:00:00"/>
    <s v="Tanishq Ghosh"/>
    <s v="West"/>
    <s v="Indore"/>
    <x v="1"/>
    <x v="11"/>
    <s v="Sofa - Furniture"/>
    <n v="1967.21"/>
    <n v="7"/>
    <n v="3"/>
    <n v="266.68"/>
  </r>
  <r>
    <s v="ODR00113"/>
    <d v="2024-11-27T00:00:00"/>
    <s v="Saanvi Iyer"/>
    <s v="East"/>
    <s v="Bhubaneswar"/>
    <x v="2"/>
    <x v="5"/>
    <s v="Envelope - Office Supplies"/>
    <n v="5833.08"/>
    <n v="6"/>
    <n v="17"/>
    <n v="603.82000000000005"/>
  </r>
  <r>
    <s v="ODR00114"/>
    <d v="2024-11-27T00:00:00"/>
    <s v="Saanvi Iyer"/>
    <s v="East"/>
    <s v="Patna"/>
    <x v="1"/>
    <x v="4"/>
    <s v="Table - Furniture"/>
    <n v="9606.7999999999993"/>
    <n v="10"/>
    <n v="27"/>
    <n v="490.28"/>
  </r>
  <r>
    <s v="ODR00115"/>
    <d v="2024-10-24T00:00:00"/>
    <s v="Riya Kapoor"/>
    <s v="East"/>
    <s v="Kolkata"/>
    <x v="0"/>
    <x v="1"/>
    <s v="Printer - Technology"/>
    <n v="7294.2"/>
    <n v="5"/>
    <n v="29"/>
    <n v="1264.71"/>
  </r>
  <r>
    <s v="ODR00116"/>
    <d v="2024-07-08T00:00:00"/>
    <s v="Ishaan Mehta"/>
    <s v="West"/>
    <s v="Nagpur"/>
    <x v="0"/>
    <x v="9"/>
    <s v="Mobile - Technology"/>
    <n v="1341.38"/>
    <n v="1"/>
    <n v="2"/>
    <n v="298.27"/>
  </r>
  <r>
    <s v="ODR00117"/>
    <d v="2025-03-02T00:00:00"/>
    <s v="Anaya Singh"/>
    <s v="East"/>
    <s v="Kolkata"/>
    <x v="1"/>
    <x v="2"/>
    <s v="Chair - Furniture"/>
    <n v="1912.92"/>
    <n v="6"/>
    <n v="11"/>
    <n v="334.38"/>
  </r>
  <r>
    <s v="ODR00118"/>
    <d v="2024-11-23T00:00:00"/>
    <s v="Kriti Desai"/>
    <s v="East"/>
    <s v="Kolkata"/>
    <x v="2"/>
    <x v="8"/>
    <s v="Stapler - Office Supplies"/>
    <n v="890.28"/>
    <n v="4"/>
    <n v="0"/>
    <n v="90.24"/>
  </r>
  <r>
    <s v="ODR00119"/>
    <d v="2025-03-10T00:00:00"/>
    <s v="Aarav Patel"/>
    <s v="East"/>
    <s v="Bhubaneswar"/>
    <x v="2"/>
    <x v="6"/>
    <s v="Notebook - Office Supplies"/>
    <n v="1513.36"/>
    <n v="4"/>
    <n v="10"/>
    <n v="90.69"/>
  </r>
  <r>
    <s v="ODR00120"/>
    <d v="2025-05-06T00:00:00"/>
    <s v="Yuvraj Chauhan"/>
    <s v="West"/>
    <s v="Mumbai"/>
    <x v="0"/>
    <x v="0"/>
    <s v="Tablet - Technology"/>
    <n v="1000.8"/>
    <n v="8"/>
    <n v="6"/>
    <n v="170.82"/>
  </r>
  <r>
    <s v="ODR00121"/>
    <d v="2025-04-30T00:00:00"/>
    <s v="Tanishq Ghosh"/>
    <s v="West"/>
    <s v="Ahmedabad"/>
    <x v="1"/>
    <x v="11"/>
    <s v="Sofa - Furniture"/>
    <n v="619.34"/>
    <n v="2"/>
    <n v="28"/>
    <n v="42.8"/>
  </r>
  <r>
    <s v="ODR00122"/>
    <d v="2025-04-27T00:00:00"/>
    <s v="Anaya Singh"/>
    <s v="South"/>
    <s v="Chennai"/>
    <x v="0"/>
    <x v="1"/>
    <s v="Printer - Technology"/>
    <n v="8766.27"/>
    <n v="9"/>
    <n v="30"/>
    <n v="769.54"/>
  </r>
  <r>
    <s v="ODR00123"/>
    <d v="2024-07-02T00:00:00"/>
    <s v="Tanishq Ghosh"/>
    <s v="West"/>
    <s v="Pune"/>
    <x v="0"/>
    <x v="9"/>
    <s v="Mobile - Technology"/>
    <n v="1486.48"/>
    <n v="8"/>
    <n v="9"/>
    <n v="111.09"/>
  </r>
  <r>
    <s v="ODR00124"/>
    <d v="2024-09-11T00:00:00"/>
    <s v="Saanvi Iyer"/>
    <s v="West"/>
    <s v="Ahmedabad"/>
    <x v="1"/>
    <x v="4"/>
    <s v="Table - Furniture"/>
    <n v="6517.32"/>
    <n v="4"/>
    <n v="4"/>
    <n v="1083.0999999999999"/>
  </r>
  <r>
    <s v="ODR00125"/>
    <d v="2024-12-07T00:00:00"/>
    <s v="Vivaan Shah"/>
    <s v="East"/>
    <s v="Bhubaneswar"/>
    <x v="1"/>
    <x v="2"/>
    <s v="Chair - Furniture"/>
    <n v="2619.36"/>
    <n v="8"/>
    <n v="26"/>
    <n v="423.72"/>
  </r>
  <r>
    <s v="ODR00126"/>
    <d v="2024-06-12T00:00:00"/>
    <s v="Arjun Verma"/>
    <s v="North"/>
    <s v="Delhi"/>
    <x v="1"/>
    <x v="2"/>
    <s v="Chair - Furniture"/>
    <n v="1695.55"/>
    <n v="1"/>
    <n v="26"/>
    <n v="114.02"/>
  </r>
  <r>
    <s v="ODR00127"/>
    <d v="2025-02-26T00:00:00"/>
    <s v="Kriti Desai"/>
    <s v="West"/>
    <s v="Nagpur"/>
    <x v="1"/>
    <x v="3"/>
    <s v="Cupboard - Furniture"/>
    <n v="6987.68"/>
    <n v="4"/>
    <n v="25"/>
    <n v="854.53"/>
  </r>
  <r>
    <s v="ODR00128"/>
    <d v="2024-07-22T00:00:00"/>
    <s v="Diya Sharma"/>
    <s v="South"/>
    <s v="Bangalore"/>
    <x v="1"/>
    <x v="11"/>
    <s v="Sofa - Furniture"/>
    <n v="17292.7"/>
    <n v="10"/>
    <n v="14"/>
    <n v="2378.5100000000002"/>
  </r>
  <r>
    <s v="ODR00129"/>
    <d v="2025-01-09T00:00:00"/>
    <s v="Tanishq Ghosh"/>
    <s v="North"/>
    <s v="Chandigarh"/>
    <x v="1"/>
    <x v="2"/>
    <s v="Chair - Furniture"/>
    <n v="10338.780000000001"/>
    <n v="6"/>
    <n v="21"/>
    <n v="758.29"/>
  </r>
  <r>
    <s v="ODR00130"/>
    <d v="2024-12-22T00:00:00"/>
    <s v="Yuvraj Chauhan"/>
    <s v="East"/>
    <s v="Patna"/>
    <x v="0"/>
    <x v="0"/>
    <s v="Tablet - Technology"/>
    <n v="14036.8"/>
    <n v="8"/>
    <n v="12"/>
    <n v="2716.89"/>
  </r>
  <r>
    <s v="ODR00131"/>
    <d v="2024-12-08T00:00:00"/>
    <s v="Arjun Verma"/>
    <s v="North"/>
    <s v="Jaipur"/>
    <x v="1"/>
    <x v="11"/>
    <s v="Sofa - Furniture"/>
    <n v="2229.44"/>
    <n v="2"/>
    <n v="25"/>
    <n v="365.63"/>
  </r>
  <r>
    <s v="ODR00132"/>
    <d v="2024-09-29T00:00:00"/>
    <s v="Riya Kapoor"/>
    <s v="West"/>
    <s v="Pune"/>
    <x v="2"/>
    <x v="6"/>
    <s v="Notebook - Office Supplies"/>
    <n v="19121.8"/>
    <n v="10"/>
    <n v="24"/>
    <n v="1486.94"/>
  </r>
  <r>
    <s v="ODR00133"/>
    <d v="2025-04-04T00:00:00"/>
    <s v="Sneha Reddy"/>
    <s v="West"/>
    <s v="Indore"/>
    <x v="2"/>
    <x v="6"/>
    <s v="Notebook - Office Supplies"/>
    <n v="10600.5"/>
    <n v="6"/>
    <n v="6"/>
    <n v="1499.91"/>
  </r>
  <r>
    <s v="ODR00134"/>
    <d v="2024-09-16T00:00:00"/>
    <s v="Riya Kapoor"/>
    <s v="West"/>
    <s v="Mumbai"/>
    <x v="0"/>
    <x v="1"/>
    <s v="Printer - Technology"/>
    <n v="10089.73"/>
    <n v="7"/>
    <n v="5"/>
    <n v="961.58"/>
  </r>
  <r>
    <s v="ODR00135"/>
    <d v="2024-08-10T00:00:00"/>
    <s v="Vivaan Shah"/>
    <s v="West"/>
    <s v="Indore"/>
    <x v="0"/>
    <x v="0"/>
    <s v="Tablet - Technology"/>
    <n v="1979.31"/>
    <n v="3"/>
    <n v="2"/>
    <n v="261.05"/>
  </r>
  <r>
    <s v="ODR00136"/>
    <d v="2024-09-01T00:00:00"/>
    <s v="Meera Joshi"/>
    <s v="East"/>
    <s v="Bhubaneswar"/>
    <x v="0"/>
    <x v="9"/>
    <s v="Mobile - Technology"/>
    <n v="1115.3399999999999"/>
    <n v="3"/>
    <n v="20"/>
    <n v="198.33"/>
  </r>
  <r>
    <s v="ODR00137"/>
    <d v="2024-12-20T00:00:00"/>
    <s v="Ishaan Mehta"/>
    <s v="North"/>
    <s v="Delhi"/>
    <x v="2"/>
    <x v="10"/>
    <s v="Pen - Office Supplies"/>
    <n v="4203.96"/>
    <n v="6"/>
    <n v="8"/>
    <n v="435.13"/>
  </r>
  <r>
    <s v="ODR00138"/>
    <d v="2024-10-15T00:00:00"/>
    <s v="Arjun Verma"/>
    <s v="North"/>
    <s v="Jaipur"/>
    <x v="1"/>
    <x v="4"/>
    <s v="Table - Furniture"/>
    <n v="6056.12"/>
    <n v="4"/>
    <n v="30"/>
    <n v="548.38"/>
  </r>
  <r>
    <s v="ODR00139"/>
    <d v="2024-11-26T00:00:00"/>
    <s v="Arjun Verma"/>
    <s v="East"/>
    <s v="Kolkata"/>
    <x v="0"/>
    <x v="0"/>
    <s v="Tablet - Technology"/>
    <n v="492.6"/>
    <n v="3"/>
    <n v="29"/>
    <n v="26.51"/>
  </r>
  <r>
    <s v="ODR00140"/>
    <d v="2025-01-28T00:00:00"/>
    <s v="Kriti Desai"/>
    <s v="West"/>
    <s v="Ahmedabad"/>
    <x v="0"/>
    <x v="7"/>
    <s v="Laptop - Technology"/>
    <n v="919.57"/>
    <n v="1"/>
    <n v="28"/>
    <n v="124.44"/>
  </r>
  <r>
    <s v="ODR00141"/>
    <d v="2024-10-31T00:00:00"/>
    <s v="Anaya Singh"/>
    <s v="South"/>
    <s v="Bangalore"/>
    <x v="0"/>
    <x v="1"/>
    <s v="Printer - Technology"/>
    <n v="442.16"/>
    <n v="2"/>
    <n v="30"/>
    <n v="64.290000000000006"/>
  </r>
  <r>
    <s v="ODR00142"/>
    <d v="2025-01-07T00:00:00"/>
    <s v="Sneha Reddy"/>
    <s v="South"/>
    <s v="Bangalore"/>
    <x v="1"/>
    <x v="4"/>
    <s v="Table - Furniture"/>
    <n v="9037.7999999999993"/>
    <n v="9"/>
    <n v="22"/>
    <n v="508.45"/>
  </r>
  <r>
    <s v="ODR00143"/>
    <d v="2025-01-25T00:00:00"/>
    <s v="Aarav Patel"/>
    <s v="South"/>
    <s v="Bangalore"/>
    <x v="0"/>
    <x v="9"/>
    <s v="Mobile - Technology"/>
    <n v="7139.36"/>
    <n v="8"/>
    <n v="21"/>
    <n v="415.54"/>
  </r>
  <r>
    <s v="ODR00144"/>
    <d v="2024-08-16T00:00:00"/>
    <s v="Aarav Patel"/>
    <s v="South"/>
    <s v="Hyderabad"/>
    <x v="0"/>
    <x v="0"/>
    <s v="Tablet - Technology"/>
    <n v="4531.2299999999996"/>
    <n v="3"/>
    <n v="9"/>
    <n v="427.21"/>
  </r>
  <r>
    <s v="ODR00145"/>
    <d v="2024-11-01T00:00:00"/>
    <s v="Tanishq Ghosh"/>
    <s v="South"/>
    <s v="Bangalore"/>
    <x v="1"/>
    <x v="4"/>
    <s v="Table - Furniture"/>
    <n v="3483.96"/>
    <n v="4"/>
    <n v="8"/>
    <n v="712.61"/>
  </r>
  <r>
    <s v="ODR00146"/>
    <d v="2025-02-02T00:00:00"/>
    <s v="Vivaan Shah"/>
    <s v="East"/>
    <s v="Bhubaneswar"/>
    <x v="1"/>
    <x v="2"/>
    <s v="Chair - Furniture"/>
    <n v="6450.84"/>
    <n v="6"/>
    <n v="18"/>
    <n v="1088.03"/>
  </r>
  <r>
    <s v="ODR00147"/>
    <d v="2024-06-21T00:00:00"/>
    <s v="Ishaan Mehta"/>
    <s v="East"/>
    <s v="Kolkata"/>
    <x v="1"/>
    <x v="4"/>
    <s v="Table - Furniture"/>
    <n v="4442"/>
    <n v="8"/>
    <n v="4"/>
    <n v="426.32"/>
  </r>
  <r>
    <s v="ODR00148"/>
    <d v="2025-02-16T00:00:00"/>
    <s v="Kabir Nair"/>
    <s v="East"/>
    <s v="Kolkata"/>
    <x v="0"/>
    <x v="9"/>
    <s v="Mobile - Technology"/>
    <n v="12996.06"/>
    <n v="7"/>
    <n v="18"/>
    <n v="1717.82"/>
  </r>
  <r>
    <s v="ODR00149"/>
    <d v="2025-04-09T00:00:00"/>
    <s v="Kriti Desai"/>
    <s v="North"/>
    <s v="Delhi"/>
    <x v="2"/>
    <x v="8"/>
    <s v="Stapler - Office Supplies"/>
    <n v="4391.1000000000004"/>
    <n v="6"/>
    <n v="16"/>
    <n v="221.69"/>
  </r>
  <r>
    <s v="ODR00150"/>
    <d v="2024-11-06T00:00:00"/>
    <s v="Aarav Patel"/>
    <s v="East"/>
    <s v="Bhubaneswar"/>
    <x v="2"/>
    <x v="6"/>
    <s v="Notebook - Office Supplies"/>
    <n v="3591.69"/>
    <n v="3"/>
    <n v="25"/>
    <n v="486.14"/>
  </r>
  <r>
    <s v="ODR00151"/>
    <d v="2024-09-26T00:00:00"/>
    <s v="Kriti Desai"/>
    <s v="West"/>
    <s v="Nagpur"/>
    <x v="1"/>
    <x v="11"/>
    <s v="Sofa - Furniture"/>
    <n v="6595.83"/>
    <n v="9"/>
    <n v="5"/>
    <n v="406.17"/>
  </r>
  <r>
    <s v="ODR00152"/>
    <d v="2024-06-29T00:00:00"/>
    <s v="Saanvi Iyer"/>
    <s v="North"/>
    <s v="Jaipur"/>
    <x v="0"/>
    <x v="9"/>
    <s v="Mobile - Technology"/>
    <n v="4142.7299999999996"/>
    <n v="3"/>
    <n v="29"/>
    <n v="464.48"/>
  </r>
  <r>
    <s v="ODR00153"/>
    <d v="2025-03-17T00:00:00"/>
    <s v="Diya Sharma"/>
    <s v="West"/>
    <s v="Mumbai"/>
    <x v="0"/>
    <x v="9"/>
    <s v="Mobile - Technology"/>
    <n v="3859.52"/>
    <n v="7"/>
    <n v="9"/>
    <n v="479.18"/>
  </r>
  <r>
    <s v="ODR00154"/>
    <d v="2025-01-13T00:00:00"/>
    <s v="Vivaan Shah"/>
    <s v="East"/>
    <s v="Patna"/>
    <x v="0"/>
    <x v="0"/>
    <s v="Tablet - Technology"/>
    <n v="10372.24"/>
    <n v="8"/>
    <n v="2"/>
    <n v="2174.37"/>
  </r>
  <r>
    <s v="ODR00155"/>
    <d v="2025-05-08T00:00:00"/>
    <s v="Arjun Verma"/>
    <s v="South"/>
    <s v="Chennai"/>
    <x v="2"/>
    <x v="6"/>
    <s v="Notebook - Office Supplies"/>
    <n v="11876.5"/>
    <n v="10"/>
    <n v="18"/>
    <n v="1489.68"/>
  </r>
  <r>
    <s v="ODR00156"/>
    <d v="2024-11-17T00:00:00"/>
    <s v="Ishaan Mehta"/>
    <s v="East"/>
    <s v="Patna"/>
    <x v="1"/>
    <x v="11"/>
    <s v="Sofa - Furniture"/>
    <n v="14732.55"/>
    <n v="9"/>
    <n v="24"/>
    <n v="911.76"/>
  </r>
  <r>
    <s v="ODR00157"/>
    <d v="2024-11-09T00:00:00"/>
    <s v="Riya Kapoor"/>
    <s v="South"/>
    <s v="Hyderabad"/>
    <x v="1"/>
    <x v="2"/>
    <s v="Chair - Furniture"/>
    <n v="3590.58"/>
    <n v="2"/>
    <n v="1"/>
    <n v="849"/>
  </r>
  <r>
    <s v="ODR00158"/>
    <d v="2025-02-16T00:00:00"/>
    <s v="Meera Joshi"/>
    <s v="South"/>
    <s v="Chennai"/>
    <x v="0"/>
    <x v="1"/>
    <s v="Printer - Technology"/>
    <n v="4343.99"/>
    <n v="7"/>
    <n v="9"/>
    <n v="477.35"/>
  </r>
  <r>
    <s v="ODR00159"/>
    <d v="2025-01-03T00:00:00"/>
    <s v="Yuvraj Chauhan"/>
    <s v="North"/>
    <s v="Jaipur"/>
    <x v="1"/>
    <x v="2"/>
    <s v="Chair - Furniture"/>
    <n v="15587.19"/>
    <n v="9"/>
    <n v="0"/>
    <n v="1698.78"/>
  </r>
  <r>
    <s v="ODR00160"/>
    <d v="2024-10-26T00:00:00"/>
    <s v="Sneha Reddy"/>
    <s v="North"/>
    <s v="Chandigarh"/>
    <x v="0"/>
    <x v="1"/>
    <s v="Printer - Technology"/>
    <n v="4379.3999999999996"/>
    <n v="10"/>
    <n v="1"/>
    <n v="393.79"/>
  </r>
  <r>
    <s v="ODR00161"/>
    <d v="2025-05-11T00:00:00"/>
    <s v="Kriti Desai"/>
    <s v="South"/>
    <s v="Bangalore"/>
    <x v="1"/>
    <x v="2"/>
    <s v="Chair - Furniture"/>
    <n v="2772.1"/>
    <n v="10"/>
    <n v="28"/>
    <n v="183.66"/>
  </r>
  <r>
    <s v="ODR00162"/>
    <d v="2024-09-12T00:00:00"/>
    <s v="Tanishq Ghosh"/>
    <s v="East"/>
    <s v="Kolkata"/>
    <x v="1"/>
    <x v="4"/>
    <s v="Table - Furniture"/>
    <n v="11917.2"/>
    <n v="8"/>
    <n v="29"/>
    <n v="1195.47"/>
  </r>
  <r>
    <s v="ODR00163"/>
    <d v="2024-10-26T00:00:00"/>
    <s v="Yuvraj Chauhan"/>
    <s v="South"/>
    <s v="Chennai"/>
    <x v="1"/>
    <x v="4"/>
    <s v="Table - Furniture"/>
    <n v="9498.6"/>
    <n v="6"/>
    <n v="15"/>
    <n v="433.48"/>
  </r>
  <r>
    <s v="ODR00164"/>
    <d v="2024-07-21T00:00:00"/>
    <s v="Arjun Verma"/>
    <s v="South"/>
    <s v="Chennai"/>
    <x v="1"/>
    <x v="3"/>
    <s v="Cupboard - Furniture"/>
    <n v="8882.65"/>
    <n v="7"/>
    <n v="29"/>
    <n v="644.29"/>
  </r>
  <r>
    <s v="ODR00165"/>
    <d v="2025-03-03T00:00:00"/>
    <s v="Kriti Desai"/>
    <s v="West"/>
    <s v="Pune"/>
    <x v="1"/>
    <x v="4"/>
    <s v="Table - Furniture"/>
    <n v="1852.25"/>
    <n v="1"/>
    <n v="3"/>
    <n v="345.86"/>
  </r>
  <r>
    <s v="ODR00166"/>
    <d v="2025-02-19T00:00:00"/>
    <s v="Ishaan Mehta"/>
    <s v="North"/>
    <s v="Chandigarh"/>
    <x v="0"/>
    <x v="0"/>
    <s v="Tablet - Technology"/>
    <n v="10395.5"/>
    <n v="10"/>
    <n v="8"/>
    <n v="1678.52"/>
  </r>
  <r>
    <s v="ODR00167"/>
    <d v="2024-12-31T00:00:00"/>
    <s v="Saanvi Iyer"/>
    <s v="South"/>
    <s v="Chennai"/>
    <x v="0"/>
    <x v="0"/>
    <s v="Tablet - Technology"/>
    <n v="7116.42"/>
    <n v="6"/>
    <n v="30"/>
    <n v="526"/>
  </r>
  <r>
    <s v="ODR00168"/>
    <d v="2024-07-09T00:00:00"/>
    <s v="Anaya Singh"/>
    <s v="North"/>
    <s v="Jaipur"/>
    <x v="2"/>
    <x v="10"/>
    <s v="Pen - Office Supplies"/>
    <n v="3946.5"/>
    <n v="3"/>
    <n v="2"/>
    <n v="748.19"/>
  </r>
  <r>
    <s v="ODR00169"/>
    <d v="2025-01-17T00:00:00"/>
    <s v="Meera Joshi"/>
    <s v="North"/>
    <s v="Delhi"/>
    <x v="2"/>
    <x v="10"/>
    <s v="Pen - Office Supplies"/>
    <n v="2214.9299999999998"/>
    <n v="3"/>
    <n v="13"/>
    <n v="231.26"/>
  </r>
  <r>
    <s v="ODR00170"/>
    <d v="2024-12-30T00:00:00"/>
    <s v="Tanishq Ghosh"/>
    <s v="East"/>
    <s v="Kolkata"/>
    <x v="2"/>
    <x v="8"/>
    <s v="Stapler - Office Supplies"/>
    <n v="9732.1"/>
    <n v="7"/>
    <n v="4"/>
    <n v="494.42"/>
  </r>
  <r>
    <s v="ODR00171"/>
    <d v="2024-08-18T00:00:00"/>
    <s v="Riya Kapoor"/>
    <s v="East"/>
    <s v="Kolkata"/>
    <x v="1"/>
    <x v="2"/>
    <s v="Chair - Furniture"/>
    <n v="17231.13"/>
    <n v="9"/>
    <n v="19"/>
    <n v="2441.5"/>
  </r>
  <r>
    <s v="ODR00172"/>
    <d v="2025-03-01T00:00:00"/>
    <s v="Aarav Patel"/>
    <s v="North"/>
    <s v="Chandigarh"/>
    <x v="0"/>
    <x v="1"/>
    <s v="Printer - Technology"/>
    <n v="9196.14"/>
    <n v="6"/>
    <n v="11"/>
    <n v="1180.01"/>
  </r>
  <r>
    <s v="ODR00173"/>
    <d v="2024-07-03T00:00:00"/>
    <s v="Sneha Reddy"/>
    <s v="East"/>
    <s v="Kolkata"/>
    <x v="2"/>
    <x v="5"/>
    <s v="Envelope - Office Supplies"/>
    <n v="4732.3"/>
    <n v="5"/>
    <n v="23"/>
    <n v="660.9"/>
  </r>
  <r>
    <s v="ODR00174"/>
    <d v="2025-03-26T00:00:00"/>
    <s v="Aarav Patel"/>
    <s v="West"/>
    <s v="Pune"/>
    <x v="1"/>
    <x v="3"/>
    <s v="Cupboard - Furniture"/>
    <n v="6921.88"/>
    <n v="7"/>
    <n v="14"/>
    <n v="975.88"/>
  </r>
  <r>
    <s v="ODR00175"/>
    <d v="2024-12-19T00:00:00"/>
    <s v="Kabir Nair"/>
    <s v="West"/>
    <s v="Mumbai"/>
    <x v="2"/>
    <x v="6"/>
    <s v="Notebook - Office Supplies"/>
    <n v="2244.7800000000002"/>
    <n v="2"/>
    <n v="7.0000000000000009"/>
    <n v="282.76"/>
  </r>
  <r>
    <s v="ODR00176"/>
    <d v="2024-06-21T00:00:00"/>
    <s v="Meera Joshi"/>
    <s v="North"/>
    <s v="Lucknow"/>
    <x v="1"/>
    <x v="3"/>
    <s v="Cupboard - Furniture"/>
    <n v="8847.27"/>
    <n v="9"/>
    <n v="5"/>
    <n v="581.4"/>
  </r>
  <r>
    <s v="ODR00177"/>
    <d v="2025-01-08T00:00:00"/>
    <s v="Meera Joshi"/>
    <s v="North"/>
    <s v="Delhi"/>
    <x v="2"/>
    <x v="10"/>
    <s v="Pen - Office Supplies"/>
    <n v="2469.96"/>
    <n v="3"/>
    <n v="10"/>
    <n v="531.04"/>
  </r>
  <r>
    <s v="ODR00178"/>
    <d v="2024-10-08T00:00:00"/>
    <s v="Saanvi Iyer"/>
    <s v="North"/>
    <s v="Delhi"/>
    <x v="1"/>
    <x v="2"/>
    <s v="Chair - Furniture"/>
    <n v="10313.73"/>
    <n v="7"/>
    <n v="3"/>
    <n v="597.27"/>
  </r>
  <r>
    <s v="ODR00179"/>
    <d v="2024-06-10T00:00:00"/>
    <s v="Tanishq Ghosh"/>
    <s v="South"/>
    <s v="Chennai"/>
    <x v="1"/>
    <x v="11"/>
    <s v="Sofa - Furniture"/>
    <n v="101.77"/>
    <n v="1"/>
    <n v="6"/>
    <n v="8.2899999999999991"/>
  </r>
  <r>
    <s v="ODR00180"/>
    <d v="2025-03-19T00:00:00"/>
    <s v="Arjun Verma"/>
    <s v="East"/>
    <s v="Bhubaneswar"/>
    <x v="0"/>
    <x v="1"/>
    <s v="Printer - Technology"/>
    <n v="3335.01"/>
    <n v="7"/>
    <n v="14"/>
    <n v="259.43"/>
  </r>
  <r>
    <s v="ODR00181"/>
    <d v="2024-06-10T00:00:00"/>
    <s v="Ishaan Mehta"/>
    <s v="West"/>
    <s v="Mumbai"/>
    <x v="0"/>
    <x v="1"/>
    <s v="Printer - Technology"/>
    <n v="13470.31"/>
    <n v="7"/>
    <n v="12"/>
    <n v="1078.8900000000001"/>
  </r>
  <r>
    <s v="ODR00182"/>
    <d v="2024-08-13T00:00:00"/>
    <s v="Aarav Patel"/>
    <s v="East"/>
    <s v="Bhubaneswar"/>
    <x v="1"/>
    <x v="11"/>
    <s v="Sofa - Furniture"/>
    <n v="2413.6799999999998"/>
    <n v="2"/>
    <n v="16"/>
    <n v="223.22"/>
  </r>
  <r>
    <s v="ODR00183"/>
    <d v="2025-04-01T00:00:00"/>
    <s v="Diya Sharma"/>
    <s v="West"/>
    <s v="Indore"/>
    <x v="1"/>
    <x v="4"/>
    <s v="Table - Furniture"/>
    <n v="7224.75"/>
    <n v="5"/>
    <n v="7.0000000000000009"/>
    <n v="896.59"/>
  </r>
  <r>
    <s v="ODR00184"/>
    <d v="2024-07-02T00:00:00"/>
    <s v="Diya Sharma"/>
    <s v="South"/>
    <s v="Bangalore"/>
    <x v="0"/>
    <x v="1"/>
    <s v="Printer - Technology"/>
    <n v="2271.2800000000002"/>
    <n v="2"/>
    <n v="13"/>
    <n v="376.88"/>
  </r>
  <r>
    <s v="ODR00185"/>
    <d v="2024-10-05T00:00:00"/>
    <s v="Riya Kapoor"/>
    <s v="West"/>
    <s v="Indore"/>
    <x v="2"/>
    <x v="6"/>
    <s v="Notebook - Office Supplies"/>
    <n v="3736.77"/>
    <n v="3"/>
    <n v="3"/>
    <n v="520.99"/>
  </r>
  <r>
    <s v="ODR00186"/>
    <d v="2024-12-18T00:00:00"/>
    <s v="Vivaan Shah"/>
    <s v="East"/>
    <s v="Kolkata"/>
    <x v="2"/>
    <x v="10"/>
    <s v="Pen - Office Supplies"/>
    <n v="1517"/>
    <n v="5"/>
    <n v="19"/>
    <n v="124.92"/>
  </r>
  <r>
    <s v="ODR00187"/>
    <d v="2024-07-21T00:00:00"/>
    <s v="Anaya Singh"/>
    <s v="East"/>
    <s v="Bhubaneswar"/>
    <x v="1"/>
    <x v="4"/>
    <s v="Table - Furniture"/>
    <n v="17223.3"/>
    <n v="9"/>
    <n v="6"/>
    <n v="2658.31"/>
  </r>
  <r>
    <s v="ODR00188"/>
    <d v="2024-09-05T00:00:00"/>
    <s v="Anaya Singh"/>
    <s v="East"/>
    <s v="Kolkata"/>
    <x v="2"/>
    <x v="5"/>
    <s v="Envelope - Office Supplies"/>
    <n v="10844.9"/>
    <n v="10"/>
    <n v="2"/>
    <n v="2260.62"/>
  </r>
  <r>
    <s v="ODR00189"/>
    <d v="2024-12-19T00:00:00"/>
    <s v="Tanishq Ghosh"/>
    <s v="North"/>
    <s v="Jaipur"/>
    <x v="2"/>
    <x v="10"/>
    <s v="Pen - Office Supplies"/>
    <n v="9623.16"/>
    <n v="9"/>
    <n v="12"/>
    <n v="1197.52"/>
  </r>
  <r>
    <s v="ODR00190"/>
    <d v="2025-03-22T00:00:00"/>
    <s v="Saanvi Iyer"/>
    <s v="South"/>
    <s v="Hyderabad"/>
    <x v="1"/>
    <x v="4"/>
    <s v="Table - Furniture"/>
    <n v="3266.86"/>
    <n v="2"/>
    <n v="3"/>
    <n v="415.14"/>
  </r>
  <r>
    <s v="ODR00191"/>
    <d v="2025-03-22T00:00:00"/>
    <s v="Aarav Patel"/>
    <s v="East"/>
    <s v="Patna"/>
    <x v="1"/>
    <x v="4"/>
    <s v="Table - Furniture"/>
    <n v="4641.6499999999996"/>
    <n v="5"/>
    <n v="3"/>
    <n v="662.36"/>
  </r>
  <r>
    <s v="ODR00192"/>
    <d v="2024-10-30T00:00:00"/>
    <s v="Tanishq Ghosh"/>
    <s v="North"/>
    <s v="Jaipur"/>
    <x v="1"/>
    <x v="3"/>
    <s v="Cupboard - Furniture"/>
    <n v="11174.49"/>
    <n v="9"/>
    <n v="23"/>
    <n v="2088.23"/>
  </r>
  <r>
    <s v="ODR00193"/>
    <d v="2024-06-07T00:00:00"/>
    <s v="Arjun Verma"/>
    <s v="South"/>
    <s v="Chennai"/>
    <x v="1"/>
    <x v="4"/>
    <s v="Table - Furniture"/>
    <n v="2500.3200000000002"/>
    <n v="8"/>
    <n v="14"/>
    <n v="273.24"/>
  </r>
  <r>
    <s v="ODR00194"/>
    <d v="2025-01-20T00:00:00"/>
    <s v="Yuvraj Chauhan"/>
    <s v="West"/>
    <s v="Nagpur"/>
    <x v="0"/>
    <x v="0"/>
    <s v="Tablet - Technology"/>
    <n v="2427.1999999999998"/>
    <n v="4"/>
    <n v="9"/>
    <n v="335.5"/>
  </r>
  <r>
    <s v="ODR00195"/>
    <d v="2024-10-09T00:00:00"/>
    <s v="Kabir Nair"/>
    <s v="West"/>
    <s v="Nagpur"/>
    <x v="2"/>
    <x v="5"/>
    <s v="Envelope - Office Supplies"/>
    <n v="19110"/>
    <n v="10"/>
    <n v="22"/>
    <n v="1844.09"/>
  </r>
  <r>
    <s v="ODR00196"/>
    <d v="2024-06-30T00:00:00"/>
    <s v="Yuvraj Chauhan"/>
    <s v="South"/>
    <s v="Hyderabad"/>
    <x v="0"/>
    <x v="1"/>
    <s v="Printer - Technology"/>
    <n v="3605.9"/>
    <n v="2"/>
    <n v="1"/>
    <n v="544.07000000000005"/>
  </r>
  <r>
    <s v="ODR00197"/>
    <d v="2024-07-31T00:00:00"/>
    <s v="Vivaan Shah"/>
    <s v="West"/>
    <s v="Pune"/>
    <x v="1"/>
    <x v="4"/>
    <s v="Table - Furniture"/>
    <n v="12837.7"/>
    <n v="10"/>
    <n v="3"/>
    <n v="2477.79"/>
  </r>
  <r>
    <s v="ODR00198"/>
    <d v="2025-04-23T00:00:00"/>
    <s v="Sneha Reddy"/>
    <s v="East"/>
    <s v="Kolkata"/>
    <x v="0"/>
    <x v="1"/>
    <s v="Printer - Technology"/>
    <n v="4183.8999999999996"/>
    <n v="7"/>
    <n v="16"/>
    <n v="700.63"/>
  </r>
  <r>
    <s v="ODR00199"/>
    <d v="2024-11-06T00:00:00"/>
    <s v="Anaya Singh"/>
    <s v="South"/>
    <s v="Hyderabad"/>
    <x v="1"/>
    <x v="2"/>
    <s v="Chair - Furniture"/>
    <n v="6681.15"/>
    <n v="9"/>
    <n v="21"/>
    <n v="1222.27"/>
  </r>
  <r>
    <s v="ODR00200"/>
    <d v="2025-02-17T00:00:00"/>
    <s v="Krishna Das"/>
    <s v="South"/>
    <s v="Bangalore"/>
    <x v="1"/>
    <x v="3"/>
    <s v="Cupboard - Furniture"/>
    <n v="2800.82"/>
    <n v="2"/>
    <n v="2"/>
    <n v="675.93"/>
  </r>
  <r>
    <s v="ODR00201"/>
    <d v="2024-07-26T00:00:00"/>
    <s v="Kriti Desai"/>
    <s v="North"/>
    <s v="Delhi"/>
    <x v="2"/>
    <x v="10"/>
    <s v="Pen - Office Supplies"/>
    <n v="7698.16"/>
    <n v="4"/>
    <n v="8"/>
    <n v="570.99"/>
  </r>
  <r>
    <s v="ODR00202"/>
    <d v="2024-10-19T00:00:00"/>
    <s v="Aarav Patel"/>
    <s v="East"/>
    <s v="Bhubaneswar"/>
    <x v="1"/>
    <x v="2"/>
    <s v="Chair - Furniture"/>
    <n v="10236.299999999999"/>
    <n v="10"/>
    <n v="11"/>
    <n v="1226.0899999999999"/>
  </r>
  <r>
    <s v="ODR00203"/>
    <d v="2025-02-10T00:00:00"/>
    <s v="Kabir Nair"/>
    <s v="West"/>
    <s v="Ahmedabad"/>
    <x v="1"/>
    <x v="4"/>
    <s v="Table - Furniture"/>
    <n v="11839.1"/>
    <n v="7"/>
    <n v="19"/>
    <n v="1919.48"/>
  </r>
  <r>
    <s v="ODR00204"/>
    <d v="2025-01-31T00:00:00"/>
    <s v="Saanvi Iyer"/>
    <s v="South"/>
    <s v="Chennai"/>
    <x v="0"/>
    <x v="9"/>
    <s v="Mobile - Technology"/>
    <n v="5352.92"/>
    <n v="4"/>
    <n v="7.0000000000000009"/>
    <n v="839.31"/>
  </r>
  <r>
    <s v="ODR00205"/>
    <d v="2025-02-18T00:00:00"/>
    <s v="Meera Joshi"/>
    <s v="East"/>
    <s v="Bhubaneswar"/>
    <x v="0"/>
    <x v="1"/>
    <s v="Printer - Technology"/>
    <n v="18896.599999999999"/>
    <n v="10"/>
    <n v="7.0000000000000009"/>
    <n v="1483.08"/>
  </r>
  <r>
    <s v="ODR00206"/>
    <d v="2024-06-09T00:00:00"/>
    <s v="Vivaan Shah"/>
    <s v="West"/>
    <s v="Ahmedabad"/>
    <x v="2"/>
    <x v="10"/>
    <s v="Pen - Office Supplies"/>
    <n v="1281.1500000000001"/>
    <n v="1"/>
    <n v="13"/>
    <n v="269.27"/>
  </r>
  <r>
    <s v="ODR00207"/>
    <d v="2025-01-04T00:00:00"/>
    <s v="Aarav Patel"/>
    <s v="North"/>
    <s v="Chandigarh"/>
    <x v="1"/>
    <x v="4"/>
    <s v="Table - Furniture"/>
    <n v="1060.56"/>
    <n v="8"/>
    <n v="23"/>
    <n v="46.17"/>
  </r>
  <r>
    <s v="ODR00208"/>
    <d v="2024-08-19T00:00:00"/>
    <s v="Tanishq Ghosh"/>
    <s v="East"/>
    <s v="Bhubaneswar"/>
    <x v="1"/>
    <x v="4"/>
    <s v="Table - Furniture"/>
    <n v="17271.36"/>
    <n v="9"/>
    <n v="19"/>
    <n v="1929.15"/>
  </r>
  <r>
    <s v="ODR00209"/>
    <d v="2025-04-11T00:00:00"/>
    <s v="Krishna Das"/>
    <s v="South"/>
    <s v="Hyderabad"/>
    <x v="2"/>
    <x v="8"/>
    <s v="Stapler - Office Supplies"/>
    <n v="4685.04"/>
    <n v="8"/>
    <n v="7.0000000000000009"/>
    <n v="271.33"/>
  </r>
  <r>
    <s v="ODR00210"/>
    <d v="2024-09-12T00:00:00"/>
    <s v="Diya Sharma"/>
    <s v="East"/>
    <s v="Kolkata"/>
    <x v="2"/>
    <x v="10"/>
    <s v="Pen - Office Supplies"/>
    <n v="6836.25"/>
    <n v="5"/>
    <n v="23"/>
    <n v="577.97"/>
  </r>
  <r>
    <s v="ODR00211"/>
    <d v="2024-10-14T00:00:00"/>
    <s v="Diya Sharma"/>
    <s v="North"/>
    <s v="Lucknow"/>
    <x v="0"/>
    <x v="7"/>
    <s v="Laptop - Technology"/>
    <n v="215.93"/>
    <n v="1"/>
    <n v="3"/>
    <n v="49.7"/>
  </r>
  <r>
    <s v="ODR00212"/>
    <d v="2025-01-27T00:00:00"/>
    <s v="Yuvraj Chauhan"/>
    <s v="West"/>
    <s v="Ahmedabad"/>
    <x v="1"/>
    <x v="3"/>
    <s v="Cupboard - Furniture"/>
    <n v="14407.38"/>
    <n v="9"/>
    <n v="22"/>
    <n v="1182.69"/>
  </r>
  <r>
    <s v="ODR00213"/>
    <d v="2024-11-29T00:00:00"/>
    <s v="Sneha Reddy"/>
    <s v="North"/>
    <s v="Delhi"/>
    <x v="2"/>
    <x v="8"/>
    <s v="Stapler - Office Supplies"/>
    <n v="10486.8"/>
    <n v="6"/>
    <n v="23"/>
    <n v="1813.34"/>
  </r>
  <r>
    <s v="ODR00214"/>
    <d v="2024-09-23T00:00:00"/>
    <s v="Riya Kapoor"/>
    <s v="East"/>
    <s v="Patna"/>
    <x v="0"/>
    <x v="7"/>
    <s v="Laptop - Technology"/>
    <n v="4445.3500000000004"/>
    <n v="7"/>
    <n v="16"/>
    <n v="877.73"/>
  </r>
  <r>
    <s v="ODR00215"/>
    <d v="2024-11-27T00:00:00"/>
    <s v="Krishna Das"/>
    <s v="North"/>
    <s v="Jaipur"/>
    <x v="2"/>
    <x v="6"/>
    <s v="Notebook - Office Supplies"/>
    <n v="7692.25"/>
    <n v="5"/>
    <n v="16"/>
    <n v="1235.53"/>
  </r>
  <r>
    <s v="ODR00216"/>
    <d v="2024-09-14T00:00:00"/>
    <s v="Saanvi Iyer"/>
    <s v="South"/>
    <s v="Chennai"/>
    <x v="0"/>
    <x v="0"/>
    <s v="Tablet - Technology"/>
    <n v="3414.66"/>
    <n v="2"/>
    <n v="18"/>
    <n v="328.18"/>
  </r>
  <r>
    <s v="ODR00217"/>
    <d v="2024-12-03T00:00:00"/>
    <s v="Kabir Nair"/>
    <s v="East"/>
    <s v="Patna"/>
    <x v="0"/>
    <x v="7"/>
    <s v="Laptop - Technology"/>
    <n v="2605.9499999999998"/>
    <n v="3"/>
    <n v="18"/>
    <n v="301.38"/>
  </r>
  <r>
    <s v="ODR00218"/>
    <d v="2024-07-06T00:00:00"/>
    <s v="Arjun Verma"/>
    <s v="North"/>
    <s v="Chandigarh"/>
    <x v="2"/>
    <x v="6"/>
    <s v="Notebook - Office Supplies"/>
    <n v="17874.900000000001"/>
    <n v="10"/>
    <n v="27"/>
    <n v="1396.63"/>
  </r>
  <r>
    <s v="ODR00219"/>
    <d v="2024-06-20T00:00:00"/>
    <s v="Krishna Das"/>
    <s v="East"/>
    <s v="Kolkata"/>
    <x v="1"/>
    <x v="11"/>
    <s v="Sofa - Furniture"/>
    <n v="5003.25"/>
    <n v="3"/>
    <n v="27"/>
    <n v="750.73"/>
  </r>
  <r>
    <s v="ODR00220"/>
    <d v="2024-11-12T00:00:00"/>
    <s v="Kriti Desai"/>
    <s v="East"/>
    <s v="Bhubaneswar"/>
    <x v="1"/>
    <x v="3"/>
    <s v="Cupboard - Furniture"/>
    <n v="8370.8799999999992"/>
    <n v="8"/>
    <n v="23"/>
    <n v="1136.53"/>
  </r>
  <r>
    <s v="ODR00221"/>
    <d v="2024-05-20T00:00:00"/>
    <s v="Meera Joshi"/>
    <s v="West"/>
    <s v="Ahmedabad"/>
    <x v="1"/>
    <x v="11"/>
    <s v="Sofa - Furniture"/>
    <n v="9669.65"/>
    <n v="5"/>
    <n v="3"/>
    <n v="1033.82"/>
  </r>
  <r>
    <s v="ODR00222"/>
    <d v="2025-01-07T00:00:00"/>
    <s v="Meera Joshi"/>
    <s v="West"/>
    <s v="Nagpur"/>
    <x v="1"/>
    <x v="11"/>
    <s v="Sofa - Furniture"/>
    <n v="9181.92"/>
    <n v="8"/>
    <n v="10"/>
    <n v="979.43"/>
  </r>
  <r>
    <s v="ODR00223"/>
    <d v="2025-01-20T00:00:00"/>
    <s v="Ishaan Mehta"/>
    <s v="West"/>
    <s v="Mumbai"/>
    <x v="2"/>
    <x v="5"/>
    <s v="Envelope - Office Supplies"/>
    <n v="3552.7"/>
    <n v="10"/>
    <n v="18"/>
    <n v="249.77"/>
  </r>
  <r>
    <s v="ODR00224"/>
    <d v="2025-02-21T00:00:00"/>
    <s v="Tanishq Ghosh"/>
    <s v="North"/>
    <s v="Chandigarh"/>
    <x v="1"/>
    <x v="2"/>
    <s v="Chair - Furniture"/>
    <n v="1928.3"/>
    <n v="10"/>
    <n v="12"/>
    <n v="278.29000000000002"/>
  </r>
  <r>
    <s v="ODR00225"/>
    <d v="2025-03-16T00:00:00"/>
    <s v="Anaya Singh"/>
    <s v="West"/>
    <s v="Indore"/>
    <x v="2"/>
    <x v="10"/>
    <s v="Pen - Office Supplies"/>
    <n v="343.38"/>
    <n v="2"/>
    <n v="24"/>
    <n v="23.8"/>
  </r>
  <r>
    <s v="ODR00226"/>
    <d v="2025-01-24T00:00:00"/>
    <s v="Kabir Nair"/>
    <s v="North"/>
    <s v="Lucknow"/>
    <x v="0"/>
    <x v="1"/>
    <s v="Printer - Technology"/>
    <n v="9572.48"/>
    <n v="8"/>
    <n v="23"/>
    <n v="1171.74"/>
  </r>
  <r>
    <s v="ODR00227"/>
    <d v="2024-07-07T00:00:00"/>
    <s v="Saanvi Iyer"/>
    <s v="West"/>
    <s v="Pune"/>
    <x v="1"/>
    <x v="4"/>
    <s v="Table - Furniture"/>
    <n v="739.16"/>
    <n v="4"/>
    <n v="13"/>
    <n v="127.81"/>
  </r>
  <r>
    <s v="ODR00228"/>
    <d v="2024-08-22T00:00:00"/>
    <s v="Aarav Patel"/>
    <s v="South"/>
    <s v="Chennai"/>
    <x v="0"/>
    <x v="9"/>
    <s v="Mobile - Technology"/>
    <n v="2875.23"/>
    <n v="3"/>
    <n v="30"/>
    <n v="360.89"/>
  </r>
  <r>
    <s v="ODR00229"/>
    <d v="2024-09-14T00:00:00"/>
    <s v="Riya Kapoor"/>
    <s v="West"/>
    <s v="Indore"/>
    <x v="1"/>
    <x v="4"/>
    <s v="Table - Furniture"/>
    <n v="7136.99"/>
    <n v="7"/>
    <n v="20"/>
    <n v="641.97"/>
  </r>
  <r>
    <s v="ODR00230"/>
    <d v="2025-03-25T00:00:00"/>
    <s v="Aarav Patel"/>
    <s v="South"/>
    <s v="Bangalore"/>
    <x v="2"/>
    <x v="8"/>
    <s v="Stapler - Office Supplies"/>
    <n v="1971.63"/>
    <n v="9"/>
    <n v="20"/>
    <n v="288.76"/>
  </r>
  <r>
    <s v="ODR00231"/>
    <d v="2025-02-09T00:00:00"/>
    <s v="Krishna Das"/>
    <s v="East"/>
    <s v="Bhubaneswar"/>
    <x v="2"/>
    <x v="5"/>
    <s v="Envelope - Office Supplies"/>
    <n v="5002.2"/>
    <n v="4"/>
    <n v="25"/>
    <n v="718.97"/>
  </r>
  <r>
    <s v="ODR00232"/>
    <d v="2024-12-31T00:00:00"/>
    <s v="Sneha Reddy"/>
    <s v="North"/>
    <s v="Lucknow"/>
    <x v="0"/>
    <x v="0"/>
    <s v="Tablet - Technology"/>
    <n v="2988.94"/>
    <n v="2"/>
    <n v="20"/>
    <n v="492.27"/>
  </r>
  <r>
    <s v="ODR00233"/>
    <d v="2025-02-11T00:00:00"/>
    <s v="Meera Joshi"/>
    <s v="North"/>
    <s v="Lucknow"/>
    <x v="0"/>
    <x v="7"/>
    <s v="Laptop - Technology"/>
    <n v="6342.48"/>
    <n v="8"/>
    <n v="27"/>
    <n v="249.15"/>
  </r>
  <r>
    <s v="ODR00234"/>
    <d v="2024-05-26T00:00:00"/>
    <s v="Yuvraj Chauhan"/>
    <s v="South"/>
    <s v="Hyderabad"/>
    <x v="0"/>
    <x v="0"/>
    <s v="Tablet - Technology"/>
    <n v="5731.28"/>
    <n v="8"/>
    <n v="2"/>
    <n v="651.47"/>
  </r>
  <r>
    <s v="ODR00235"/>
    <d v="2024-10-09T00:00:00"/>
    <s v="Saanvi Iyer"/>
    <s v="West"/>
    <s v="Mumbai"/>
    <x v="2"/>
    <x v="10"/>
    <s v="Pen - Office Supplies"/>
    <n v="8702.56"/>
    <n v="8"/>
    <n v="15"/>
    <n v="1031.06"/>
  </r>
  <r>
    <s v="ODR00236"/>
    <d v="2025-04-26T00:00:00"/>
    <s v="Saanvi Iyer"/>
    <s v="South"/>
    <s v="Hyderabad"/>
    <x v="0"/>
    <x v="9"/>
    <s v="Mobile - Technology"/>
    <n v="9942.64"/>
    <n v="8"/>
    <n v="6"/>
    <n v="1874.78"/>
  </r>
  <r>
    <s v="ODR00237"/>
    <d v="2024-12-23T00:00:00"/>
    <s v="Ishaan Mehta"/>
    <s v="South"/>
    <s v="Hyderabad"/>
    <x v="1"/>
    <x v="3"/>
    <s v="Cupboard - Furniture"/>
    <n v="11650.23"/>
    <n v="9"/>
    <n v="19"/>
    <n v="2249.7600000000002"/>
  </r>
  <r>
    <s v="ODR00238"/>
    <d v="2025-01-20T00:00:00"/>
    <s v="Saanvi Iyer"/>
    <s v="South"/>
    <s v="Hyderabad"/>
    <x v="0"/>
    <x v="1"/>
    <s v="Printer - Technology"/>
    <n v="5543.2"/>
    <n v="5"/>
    <n v="9"/>
    <n v="1054.68"/>
  </r>
  <r>
    <s v="ODR00239"/>
    <d v="2024-12-04T00:00:00"/>
    <s v="Riya Kapoor"/>
    <s v="West"/>
    <s v="Ahmedabad"/>
    <x v="2"/>
    <x v="6"/>
    <s v="Notebook - Office Supplies"/>
    <n v="5827.16"/>
    <n v="4"/>
    <n v="30"/>
    <n v="549.95000000000005"/>
  </r>
  <r>
    <s v="ODR00240"/>
    <d v="2024-11-09T00:00:00"/>
    <s v="Krishna Das"/>
    <s v="East"/>
    <s v="Bhubaneswar"/>
    <x v="2"/>
    <x v="10"/>
    <s v="Pen - Office Supplies"/>
    <n v="10705.8"/>
    <n v="6"/>
    <n v="15"/>
    <n v="1248.94"/>
  </r>
  <r>
    <s v="ODR00241"/>
    <d v="2025-03-20T00:00:00"/>
    <s v="Diya Sharma"/>
    <s v="North"/>
    <s v="Lucknow"/>
    <x v="1"/>
    <x v="3"/>
    <s v="Cupboard - Furniture"/>
    <n v="7004.7"/>
    <n v="9"/>
    <n v="7.0000000000000009"/>
    <n v="1287.23"/>
  </r>
  <r>
    <s v="ODR00242"/>
    <d v="2024-10-03T00:00:00"/>
    <s v="Arjun Verma"/>
    <s v="South"/>
    <s v="Hyderabad"/>
    <x v="1"/>
    <x v="4"/>
    <s v="Table - Furniture"/>
    <n v="14542.3"/>
    <n v="10"/>
    <n v="12"/>
    <n v="1404.2"/>
  </r>
  <r>
    <s v="ODR00243"/>
    <d v="2025-01-02T00:00:00"/>
    <s v="Ishaan Mehta"/>
    <s v="East"/>
    <s v="Kolkata"/>
    <x v="1"/>
    <x v="3"/>
    <s v="Cupboard - Furniture"/>
    <n v="12935.86"/>
    <n v="7"/>
    <n v="27"/>
    <n v="552.78"/>
  </r>
  <r>
    <s v="ODR00244"/>
    <d v="2025-04-14T00:00:00"/>
    <s v="Kriti Desai"/>
    <s v="South"/>
    <s v="Bangalore"/>
    <x v="1"/>
    <x v="3"/>
    <s v="Cupboard - Furniture"/>
    <n v="9876.2000000000007"/>
    <n v="10"/>
    <n v="8"/>
    <n v="810.68"/>
  </r>
  <r>
    <s v="ODR00245"/>
    <d v="2025-05-01T00:00:00"/>
    <s v="Saanvi Iyer"/>
    <s v="West"/>
    <s v="Mumbai"/>
    <x v="0"/>
    <x v="7"/>
    <s v="Laptop - Technology"/>
    <n v="469.36"/>
    <n v="2"/>
    <n v="2"/>
    <n v="108.43"/>
  </r>
  <r>
    <s v="ODR00246"/>
    <d v="2024-10-27T00:00:00"/>
    <s v="Diya Sharma"/>
    <s v="East"/>
    <s v="Kolkata"/>
    <x v="1"/>
    <x v="2"/>
    <s v="Chair - Furniture"/>
    <n v="3696.08"/>
    <n v="8"/>
    <n v="22"/>
    <n v="651.95000000000005"/>
  </r>
  <r>
    <s v="ODR00247"/>
    <d v="2024-06-10T00:00:00"/>
    <s v="Yuvraj Chauhan"/>
    <s v="East"/>
    <s v="Patna"/>
    <x v="2"/>
    <x v="8"/>
    <s v="Stapler - Office Supplies"/>
    <n v="9126.6"/>
    <n v="5"/>
    <n v="1"/>
    <n v="965.89"/>
  </r>
  <r>
    <s v="ODR00248"/>
    <d v="2025-01-25T00:00:00"/>
    <s v="Kriti Desai"/>
    <s v="North"/>
    <s v="Jaipur"/>
    <x v="1"/>
    <x v="3"/>
    <s v="Cupboard - Furniture"/>
    <n v="2047.2"/>
    <n v="3"/>
    <n v="21"/>
    <n v="397.8"/>
  </r>
  <r>
    <s v="ODR00249"/>
    <d v="2025-04-29T00:00:00"/>
    <s v="Tanishq Ghosh"/>
    <s v="West"/>
    <s v="Ahmedabad"/>
    <x v="2"/>
    <x v="6"/>
    <s v="Notebook - Office Supplies"/>
    <n v="10615.38"/>
    <n v="6"/>
    <n v="28"/>
    <n v="781.74"/>
  </r>
  <r>
    <s v="ODR00250"/>
    <d v="2024-06-06T00:00:00"/>
    <s v="Arjun Verma"/>
    <s v="South"/>
    <s v="Hyderabad"/>
    <x v="2"/>
    <x v="5"/>
    <s v="Envelope - Office Supplies"/>
    <n v="18725.2"/>
    <n v="10"/>
    <n v="15"/>
    <n v="2590.7800000000002"/>
  </r>
  <r>
    <s v="ODR00251"/>
    <d v="2025-01-01T00:00:00"/>
    <s v="Saanvi Iyer"/>
    <s v="South"/>
    <s v="Hyderabad"/>
    <x v="0"/>
    <x v="9"/>
    <s v="Mobile - Technology"/>
    <n v="8717.0499999999993"/>
    <n v="5"/>
    <n v="19"/>
    <n v="1195.8499999999999"/>
  </r>
  <r>
    <s v="ODR00252"/>
    <d v="2024-05-18T00:00:00"/>
    <s v="Yuvraj Chauhan"/>
    <s v="North"/>
    <s v="Delhi"/>
    <x v="1"/>
    <x v="4"/>
    <s v="Table - Furniture"/>
    <n v="10953.44"/>
    <n v="8"/>
    <n v="28"/>
    <n v="572.64"/>
  </r>
  <r>
    <s v="ODR00253"/>
    <d v="2024-08-07T00:00:00"/>
    <s v="Riya Kapoor"/>
    <s v="West"/>
    <s v="Nagpur"/>
    <x v="2"/>
    <x v="8"/>
    <s v="Stapler - Office Supplies"/>
    <n v="5761.32"/>
    <n v="6"/>
    <n v="1"/>
    <n v="1180.47"/>
  </r>
  <r>
    <s v="ODR00254"/>
    <d v="2024-09-01T00:00:00"/>
    <s v="Yuvraj Chauhan"/>
    <s v="South"/>
    <s v="Hyderabad"/>
    <x v="1"/>
    <x v="11"/>
    <s v="Sofa - Furniture"/>
    <n v="2648.88"/>
    <n v="3"/>
    <n v="14"/>
    <n v="439.61"/>
  </r>
  <r>
    <s v="ODR00255"/>
    <d v="2025-03-06T00:00:00"/>
    <s v="Anaya Singh"/>
    <s v="South"/>
    <s v="Bangalore"/>
    <x v="1"/>
    <x v="11"/>
    <s v="Sofa - Furniture"/>
    <n v="13710.6"/>
    <n v="9"/>
    <n v="6"/>
    <n v="1371.34"/>
  </r>
  <r>
    <s v="ODR00256"/>
    <d v="2024-10-08T00:00:00"/>
    <s v="Ishaan Mehta"/>
    <s v="South"/>
    <s v="Chennai"/>
    <x v="1"/>
    <x v="4"/>
    <s v="Table - Furniture"/>
    <n v="1834.04"/>
    <n v="2"/>
    <n v="24"/>
    <n v="189.55"/>
  </r>
  <r>
    <s v="ODR00257"/>
    <d v="2025-05-01T00:00:00"/>
    <s v="Anaya Singh"/>
    <s v="South"/>
    <s v="Bangalore"/>
    <x v="1"/>
    <x v="4"/>
    <s v="Table - Furniture"/>
    <n v="3243.4"/>
    <n v="10"/>
    <n v="2"/>
    <n v="344.83"/>
  </r>
  <r>
    <s v="ODR00258"/>
    <d v="2025-03-17T00:00:00"/>
    <s v="Diya Sharma"/>
    <s v="South"/>
    <s v="Hyderabad"/>
    <x v="2"/>
    <x v="10"/>
    <s v="Pen - Office Supplies"/>
    <n v="9303.68"/>
    <n v="8"/>
    <n v="28"/>
    <n v="818.19"/>
  </r>
  <r>
    <s v="ODR00259"/>
    <d v="2024-06-27T00:00:00"/>
    <s v="Sneha Reddy"/>
    <s v="North"/>
    <s v="Jaipur"/>
    <x v="1"/>
    <x v="11"/>
    <s v="Sofa - Furniture"/>
    <n v="961.04"/>
    <n v="4"/>
    <n v="1"/>
    <n v="52.23"/>
  </r>
  <r>
    <s v="ODR00260"/>
    <d v="2024-08-04T00:00:00"/>
    <s v="Diya Sharma"/>
    <s v="East"/>
    <s v="Bhubaneswar"/>
    <x v="0"/>
    <x v="9"/>
    <s v="Mobile - Technology"/>
    <n v="6185.4"/>
    <n v="4"/>
    <n v="27"/>
    <n v="755.07"/>
  </r>
  <r>
    <s v="ODR00261"/>
    <d v="2025-02-26T00:00:00"/>
    <s v="Kriti Desai"/>
    <s v="East"/>
    <s v="Patna"/>
    <x v="0"/>
    <x v="9"/>
    <s v="Mobile - Technology"/>
    <n v="890.76"/>
    <n v="1"/>
    <n v="15"/>
    <n v="127.15"/>
  </r>
  <r>
    <s v="ODR00262"/>
    <d v="2024-08-06T00:00:00"/>
    <s v="Diya Sharma"/>
    <s v="West"/>
    <s v="Indore"/>
    <x v="1"/>
    <x v="4"/>
    <s v="Table - Furniture"/>
    <n v="17465"/>
    <n v="10"/>
    <n v="5"/>
    <n v="2087.16"/>
  </r>
  <r>
    <s v="ODR00263"/>
    <d v="2024-10-16T00:00:00"/>
    <s v="Yuvraj Chauhan"/>
    <s v="South"/>
    <s v="Chennai"/>
    <x v="1"/>
    <x v="2"/>
    <s v="Chair - Furniture"/>
    <n v="5031.55"/>
    <n v="5"/>
    <n v="29"/>
    <n v="332.29"/>
  </r>
  <r>
    <s v="ODR00264"/>
    <d v="2024-07-24T00:00:00"/>
    <s v="Aarav Patel"/>
    <s v="North"/>
    <s v="Jaipur"/>
    <x v="0"/>
    <x v="0"/>
    <s v="Tablet - Technology"/>
    <n v="1916.2"/>
    <n v="4"/>
    <n v="15"/>
    <n v="298.97000000000003"/>
  </r>
  <r>
    <s v="ODR00265"/>
    <d v="2025-04-16T00:00:00"/>
    <s v="Vivaan Shah"/>
    <s v="North"/>
    <s v="Chandigarh"/>
    <x v="2"/>
    <x v="10"/>
    <s v="Pen - Office Supplies"/>
    <n v="9407.4"/>
    <n v="10"/>
    <n v="2"/>
    <n v="1067.6199999999999"/>
  </r>
  <r>
    <s v="ODR00266"/>
    <d v="2024-07-26T00:00:00"/>
    <s v="Riya Kapoor"/>
    <s v="North"/>
    <s v="Delhi"/>
    <x v="2"/>
    <x v="10"/>
    <s v="Pen - Office Supplies"/>
    <n v="1808.13"/>
    <n v="1"/>
    <n v="9"/>
    <n v="156.77000000000001"/>
  </r>
  <r>
    <s v="ODR00267"/>
    <d v="2025-05-03T00:00:00"/>
    <s v="Krishna Das"/>
    <s v="North"/>
    <s v="Lucknow"/>
    <x v="0"/>
    <x v="1"/>
    <s v="Printer - Technology"/>
    <n v="2468.46"/>
    <n v="3"/>
    <n v="24"/>
    <n v="108.13"/>
  </r>
  <r>
    <s v="ODR00268"/>
    <d v="2025-04-28T00:00:00"/>
    <s v="Arjun Verma"/>
    <s v="West"/>
    <s v="Nagpur"/>
    <x v="1"/>
    <x v="3"/>
    <s v="Cupboard - Furniture"/>
    <n v="2580"/>
    <n v="10"/>
    <n v="10"/>
    <n v="203.39"/>
  </r>
  <r>
    <s v="ODR00269"/>
    <d v="2025-04-03T00:00:00"/>
    <s v="Meera Joshi"/>
    <s v="South"/>
    <s v="Hyderabad"/>
    <x v="0"/>
    <x v="9"/>
    <s v="Mobile - Technology"/>
    <n v="13564.8"/>
    <n v="8"/>
    <n v="7.0000000000000009"/>
    <n v="3074.62"/>
  </r>
  <r>
    <s v="ODR00270"/>
    <d v="2025-02-16T00:00:00"/>
    <s v="Saanvi Iyer"/>
    <s v="West"/>
    <s v="Indore"/>
    <x v="2"/>
    <x v="8"/>
    <s v="Stapler - Office Supplies"/>
    <n v="641.17999999999995"/>
    <n v="2"/>
    <n v="24"/>
    <n v="98.47"/>
  </r>
  <r>
    <s v="ODR00271"/>
    <d v="2025-01-26T00:00:00"/>
    <s v="Saanvi Iyer"/>
    <s v="West"/>
    <s v="Indore"/>
    <x v="1"/>
    <x v="4"/>
    <s v="Table - Furniture"/>
    <n v="12137.3"/>
    <n v="10"/>
    <n v="12"/>
    <n v="1336.04"/>
  </r>
  <r>
    <s v="ODR00272"/>
    <d v="2024-06-30T00:00:00"/>
    <s v="Kabir Nair"/>
    <s v="West"/>
    <s v="Indore"/>
    <x v="0"/>
    <x v="7"/>
    <s v="Laptop - Technology"/>
    <n v="5395.14"/>
    <n v="9"/>
    <n v="30"/>
    <n v="803.26"/>
  </r>
  <r>
    <s v="ODR00273"/>
    <d v="2024-12-14T00:00:00"/>
    <s v="Vivaan Shah"/>
    <s v="North"/>
    <s v="Chandigarh"/>
    <x v="2"/>
    <x v="10"/>
    <s v="Pen - Office Supplies"/>
    <n v="1286.3"/>
    <n v="10"/>
    <n v="24"/>
    <n v="128.87"/>
  </r>
  <r>
    <s v="ODR00274"/>
    <d v="2024-09-14T00:00:00"/>
    <s v="Ishaan Mehta"/>
    <s v="East"/>
    <s v="Patna"/>
    <x v="1"/>
    <x v="4"/>
    <s v="Table - Furniture"/>
    <n v="4079.6"/>
    <n v="4"/>
    <n v="2"/>
    <n v="908.73"/>
  </r>
  <r>
    <s v="ODR00275"/>
    <d v="2024-07-02T00:00:00"/>
    <s v="Tanishq Ghosh"/>
    <s v="East"/>
    <s v="Kolkata"/>
    <x v="0"/>
    <x v="0"/>
    <s v="Tablet - Technology"/>
    <n v="2245.86"/>
    <n v="6"/>
    <n v="27"/>
    <n v="361.41"/>
  </r>
  <r>
    <s v="ODR00276"/>
    <d v="2024-05-24T00:00:00"/>
    <s v="Kriti Desai"/>
    <s v="South"/>
    <s v="Chennai"/>
    <x v="1"/>
    <x v="11"/>
    <s v="Sofa - Furniture"/>
    <n v="12438.86"/>
    <n v="7"/>
    <n v="9"/>
    <n v="2097.65"/>
  </r>
  <r>
    <s v="ODR00277"/>
    <d v="2024-08-02T00:00:00"/>
    <s v="Kriti Desai"/>
    <s v="North"/>
    <s v="Chandigarh"/>
    <x v="1"/>
    <x v="11"/>
    <s v="Sofa - Furniture"/>
    <n v="5064.3599999999997"/>
    <n v="4"/>
    <n v="19"/>
    <n v="507.66"/>
  </r>
  <r>
    <s v="ODR00278"/>
    <d v="2024-10-09T00:00:00"/>
    <s v="Ishaan Mehta"/>
    <s v="North"/>
    <s v="Jaipur"/>
    <x v="1"/>
    <x v="4"/>
    <s v="Table - Furniture"/>
    <n v="472.86"/>
    <n v="2"/>
    <n v="0"/>
    <n v="94.75"/>
  </r>
  <r>
    <s v="ODR00279"/>
    <d v="2025-04-20T00:00:00"/>
    <s v="Riya Kapoor"/>
    <s v="North"/>
    <s v="Chandigarh"/>
    <x v="2"/>
    <x v="6"/>
    <s v="Notebook - Office Supplies"/>
    <n v="1478.69"/>
    <n v="1"/>
    <n v="12"/>
    <n v="275.02999999999997"/>
  </r>
  <r>
    <s v="ODR00280"/>
    <d v="2025-03-13T00:00:00"/>
    <s v="Vivaan Shah"/>
    <s v="South"/>
    <s v="Bangalore"/>
    <x v="2"/>
    <x v="5"/>
    <s v="Envelope - Office Supplies"/>
    <n v="18644.2"/>
    <n v="10"/>
    <n v="19"/>
    <n v="2363.31"/>
  </r>
  <r>
    <s v="ODR00281"/>
    <d v="2024-07-21T00:00:00"/>
    <s v="Yuvraj Chauhan"/>
    <s v="South"/>
    <s v="Hyderabad"/>
    <x v="0"/>
    <x v="9"/>
    <s v="Mobile - Technology"/>
    <n v="4942.0200000000004"/>
    <n v="6"/>
    <n v="22"/>
    <n v="631.66"/>
  </r>
  <r>
    <s v="ODR00282"/>
    <d v="2024-11-13T00:00:00"/>
    <s v="Arjun Verma"/>
    <s v="East"/>
    <s v="Bhubaneswar"/>
    <x v="2"/>
    <x v="10"/>
    <s v="Pen - Office Supplies"/>
    <n v="5029.0200000000004"/>
    <n v="6"/>
    <n v="19"/>
    <n v="486.97"/>
  </r>
  <r>
    <s v="ODR00283"/>
    <d v="2024-08-10T00:00:00"/>
    <s v="Anaya Singh"/>
    <s v="South"/>
    <s v="Chennai"/>
    <x v="0"/>
    <x v="9"/>
    <s v="Mobile - Technology"/>
    <n v="2464.6799999999998"/>
    <n v="2"/>
    <n v="13"/>
    <n v="438.25"/>
  </r>
  <r>
    <s v="ODR00284"/>
    <d v="2024-05-20T00:00:00"/>
    <s v="Krishna Das"/>
    <s v="East"/>
    <s v="Kolkata"/>
    <x v="0"/>
    <x v="0"/>
    <s v="Tablet - Technology"/>
    <n v="3877.72"/>
    <n v="2"/>
    <n v="12"/>
    <n v="722.87"/>
  </r>
  <r>
    <s v="ODR00285"/>
    <d v="2024-06-18T00:00:00"/>
    <s v="Diya Sharma"/>
    <s v="East"/>
    <s v="Kolkata"/>
    <x v="1"/>
    <x v="4"/>
    <s v="Table - Furniture"/>
    <n v="6679.44"/>
    <n v="9"/>
    <n v="1"/>
    <n v="807.7"/>
  </r>
  <r>
    <s v="ODR00286"/>
    <d v="2025-01-15T00:00:00"/>
    <s v="Arjun Verma"/>
    <s v="North"/>
    <s v="Lucknow"/>
    <x v="2"/>
    <x v="6"/>
    <s v="Notebook - Office Supplies"/>
    <n v="4123.8"/>
    <n v="4"/>
    <n v="8"/>
    <n v="593.76"/>
  </r>
  <r>
    <s v="ODR00287"/>
    <d v="2024-09-04T00:00:00"/>
    <s v="Diya Sharma"/>
    <s v="South"/>
    <s v="Bangalore"/>
    <x v="1"/>
    <x v="2"/>
    <s v="Chair - Furniture"/>
    <n v="2261.34"/>
    <n v="9"/>
    <n v="8"/>
    <n v="509.97"/>
  </r>
  <r>
    <s v="ODR00288"/>
    <d v="2025-04-07T00:00:00"/>
    <s v="Kriti Desai"/>
    <s v="West"/>
    <s v="Ahmedabad"/>
    <x v="2"/>
    <x v="6"/>
    <s v="Notebook - Office Supplies"/>
    <n v="3802.44"/>
    <n v="3"/>
    <n v="5"/>
    <n v="845.87"/>
  </r>
  <r>
    <s v="ODR00289"/>
    <d v="2025-03-08T00:00:00"/>
    <s v="Kriti Desai"/>
    <s v="East"/>
    <s v="Bhubaneswar"/>
    <x v="0"/>
    <x v="1"/>
    <s v="Printer - Technology"/>
    <n v="4210.0200000000004"/>
    <n v="9"/>
    <n v="12"/>
    <n v="273.68"/>
  </r>
  <r>
    <s v="ODR00290"/>
    <d v="2025-04-01T00:00:00"/>
    <s v="Diya Sharma"/>
    <s v="North"/>
    <s v="Jaipur"/>
    <x v="2"/>
    <x v="6"/>
    <s v="Notebook - Office Supplies"/>
    <n v="2581.6"/>
    <n v="2"/>
    <n v="5"/>
    <n v="417.01"/>
  </r>
  <r>
    <s v="ODR00291"/>
    <d v="2025-03-22T00:00:00"/>
    <s v="Kabir Nair"/>
    <s v="North"/>
    <s v="Chandigarh"/>
    <x v="1"/>
    <x v="11"/>
    <s v="Sofa - Furniture"/>
    <n v="7488.6"/>
    <n v="7"/>
    <n v="17"/>
    <n v="1006.99"/>
  </r>
  <r>
    <s v="ODR00292"/>
    <d v="2025-04-02T00:00:00"/>
    <s v="Saanvi Iyer"/>
    <s v="North"/>
    <s v="Delhi"/>
    <x v="1"/>
    <x v="11"/>
    <s v="Sofa - Furniture"/>
    <n v="14933.12"/>
    <n v="8"/>
    <n v="5"/>
    <n v="1934.32"/>
  </r>
  <r>
    <s v="ODR00293"/>
    <d v="2024-06-03T00:00:00"/>
    <s v="Krishna Das"/>
    <s v="West"/>
    <s v="Mumbai"/>
    <x v="2"/>
    <x v="10"/>
    <s v="Pen - Office Supplies"/>
    <n v="5846.7"/>
    <n v="6"/>
    <n v="27"/>
    <n v="295.01"/>
  </r>
  <r>
    <s v="ODR00294"/>
    <d v="2024-12-05T00:00:00"/>
    <s v="Anaya Singh"/>
    <s v="South"/>
    <s v="Chennai"/>
    <x v="2"/>
    <x v="10"/>
    <s v="Pen - Office Supplies"/>
    <n v="13209.21"/>
    <n v="7"/>
    <n v="27"/>
    <n v="968.94"/>
  </r>
  <r>
    <s v="ODR00295"/>
    <d v="2024-07-02T00:00:00"/>
    <s v="Diya Sharma"/>
    <s v="North"/>
    <s v="Delhi"/>
    <x v="1"/>
    <x v="11"/>
    <s v="Sofa - Furniture"/>
    <n v="1213.32"/>
    <n v="1"/>
    <n v="2"/>
    <n v="265.82"/>
  </r>
  <r>
    <s v="ODR00296"/>
    <d v="2025-04-11T00:00:00"/>
    <s v="Vivaan Shah"/>
    <s v="West"/>
    <s v="Ahmedabad"/>
    <x v="1"/>
    <x v="3"/>
    <s v="Cupboard - Furniture"/>
    <n v="2540.7600000000002"/>
    <n v="6"/>
    <n v="2"/>
    <n v="289.39"/>
  </r>
  <r>
    <s v="ODR00297"/>
    <d v="2024-12-07T00:00:00"/>
    <s v="Kriti Desai"/>
    <s v="North"/>
    <s v="Lucknow"/>
    <x v="0"/>
    <x v="7"/>
    <s v="Laptop - Technology"/>
    <n v="6833.76"/>
    <n v="8"/>
    <n v="5"/>
    <n v="899.79"/>
  </r>
  <r>
    <s v="ODR00298"/>
    <d v="2024-12-12T00:00:00"/>
    <s v="Kabir Nair"/>
    <s v="West"/>
    <s v="Ahmedabad"/>
    <x v="1"/>
    <x v="3"/>
    <s v="Cupboard - Furniture"/>
    <n v="13150.88"/>
    <n v="8"/>
    <n v="1"/>
    <n v="1750.48"/>
  </r>
  <r>
    <s v="ODR00299"/>
    <d v="2024-07-14T00:00:00"/>
    <s v="Anaya Singh"/>
    <s v="West"/>
    <s v="Mumbai"/>
    <x v="1"/>
    <x v="11"/>
    <s v="Sofa - Furniture"/>
    <n v="6603"/>
    <n v="10"/>
    <n v="27"/>
    <n v="922.36"/>
  </r>
  <r>
    <s v="ODR00300"/>
    <d v="2024-07-17T00:00:00"/>
    <s v="Krishna Das"/>
    <s v="West"/>
    <s v="Mumbai"/>
    <x v="2"/>
    <x v="10"/>
    <s v="Pen - Office Supplies"/>
    <n v="7474.92"/>
    <n v="6"/>
    <n v="21"/>
    <n v="981.6"/>
  </r>
  <r>
    <s v="ODR00301"/>
    <d v="2024-07-11T00:00:00"/>
    <s v="Vivaan Shah"/>
    <s v="South"/>
    <s v="Hyderabad"/>
    <x v="2"/>
    <x v="8"/>
    <s v="Stapler - Office Supplies"/>
    <n v="7753.2"/>
    <n v="7"/>
    <n v="8"/>
    <n v="1136.17"/>
  </r>
  <r>
    <s v="ODR00302"/>
    <d v="2025-04-24T00:00:00"/>
    <s v="Yuvraj Chauhan"/>
    <s v="South"/>
    <s v="Hyderabad"/>
    <x v="1"/>
    <x v="3"/>
    <s v="Cupboard - Furniture"/>
    <n v="4486.2"/>
    <n v="4"/>
    <n v="22"/>
    <n v="450.58"/>
  </r>
  <r>
    <s v="ODR00303"/>
    <d v="2025-03-29T00:00:00"/>
    <s v="Sneha Reddy"/>
    <s v="South"/>
    <s v="Bangalore"/>
    <x v="2"/>
    <x v="8"/>
    <s v="Stapler - Office Supplies"/>
    <n v="3678.36"/>
    <n v="4"/>
    <n v="26"/>
    <n v="174.5"/>
  </r>
  <r>
    <s v="ODR00304"/>
    <d v="2024-06-13T00:00:00"/>
    <s v="Sneha Reddy"/>
    <s v="North"/>
    <s v="Jaipur"/>
    <x v="2"/>
    <x v="8"/>
    <s v="Stapler - Office Supplies"/>
    <n v="1635.62"/>
    <n v="2"/>
    <n v="16"/>
    <n v="165.3"/>
  </r>
  <r>
    <s v="ODR00305"/>
    <d v="2024-09-24T00:00:00"/>
    <s v="Vivaan Shah"/>
    <s v="South"/>
    <s v="Chennai"/>
    <x v="1"/>
    <x v="2"/>
    <s v="Chair - Furniture"/>
    <n v="5816.9"/>
    <n v="10"/>
    <n v="13"/>
    <n v="955.4"/>
  </r>
  <r>
    <s v="ODR00306"/>
    <d v="2024-09-11T00:00:00"/>
    <s v="Vivaan Shah"/>
    <s v="West"/>
    <s v="Nagpur"/>
    <x v="2"/>
    <x v="5"/>
    <s v="Envelope - Office Supplies"/>
    <n v="2113.75"/>
    <n v="5"/>
    <n v="29"/>
    <n v="285.45"/>
  </r>
  <r>
    <s v="ODR00307"/>
    <d v="2025-04-07T00:00:00"/>
    <s v="Ishaan Mehta"/>
    <s v="South"/>
    <s v="Bangalore"/>
    <x v="0"/>
    <x v="1"/>
    <s v="Printer - Technology"/>
    <n v="5635.68"/>
    <n v="3"/>
    <n v="8"/>
    <n v="804.34"/>
  </r>
  <r>
    <s v="ODR00308"/>
    <d v="2024-09-27T00:00:00"/>
    <s v="Sneha Reddy"/>
    <s v="North"/>
    <s v="Jaipur"/>
    <x v="1"/>
    <x v="4"/>
    <s v="Table - Furniture"/>
    <n v="1873.53"/>
    <n v="9"/>
    <n v="4"/>
    <n v="365.97"/>
  </r>
  <r>
    <s v="ODR00309"/>
    <d v="2025-02-17T00:00:00"/>
    <s v="Arjun Verma"/>
    <s v="East"/>
    <s v="Kolkata"/>
    <x v="1"/>
    <x v="11"/>
    <s v="Sofa - Furniture"/>
    <n v="3115.26"/>
    <n v="6"/>
    <n v="30"/>
    <n v="345.2"/>
  </r>
  <r>
    <s v="ODR00310"/>
    <d v="2024-12-24T00:00:00"/>
    <s v="Aarav Patel"/>
    <s v="East"/>
    <s v="Kolkata"/>
    <x v="0"/>
    <x v="9"/>
    <s v="Mobile - Technology"/>
    <n v="5687"/>
    <n v="5"/>
    <n v="28"/>
    <n v="574.04999999999995"/>
  </r>
  <r>
    <s v="ODR00311"/>
    <d v="2025-04-30T00:00:00"/>
    <s v="Saanvi Iyer"/>
    <s v="North"/>
    <s v="Jaipur"/>
    <x v="0"/>
    <x v="7"/>
    <s v="Laptop - Technology"/>
    <n v="7704.48"/>
    <n v="8"/>
    <n v="15"/>
    <n v="405.89"/>
  </r>
  <r>
    <s v="ODR00312"/>
    <d v="2025-01-04T00:00:00"/>
    <s v="Tanishq Ghosh"/>
    <s v="East"/>
    <s v="Kolkata"/>
    <x v="0"/>
    <x v="0"/>
    <s v="Tablet - Technology"/>
    <n v="8439.6"/>
    <n v="10"/>
    <n v="27"/>
    <n v="907.33"/>
  </r>
  <r>
    <s v="ODR00313"/>
    <d v="2024-11-02T00:00:00"/>
    <s v="Diya Sharma"/>
    <s v="South"/>
    <s v="Chennai"/>
    <x v="0"/>
    <x v="7"/>
    <s v="Laptop - Technology"/>
    <n v="3395.94"/>
    <n v="3"/>
    <n v="7.0000000000000009"/>
    <n v="634.03"/>
  </r>
  <r>
    <s v="ODR00314"/>
    <d v="2025-03-13T00:00:00"/>
    <s v="Diya Sharma"/>
    <s v="South"/>
    <s v="Bangalore"/>
    <x v="0"/>
    <x v="0"/>
    <s v="Tablet - Technology"/>
    <n v="3477.48"/>
    <n v="4"/>
    <n v="8"/>
    <n v="249.99"/>
  </r>
  <r>
    <s v="ODR00315"/>
    <d v="2025-04-26T00:00:00"/>
    <s v="Yuvraj Chauhan"/>
    <s v="East"/>
    <s v="Bhubaneswar"/>
    <x v="2"/>
    <x v="10"/>
    <s v="Pen - Office Supplies"/>
    <n v="415.86"/>
    <n v="3"/>
    <n v="25"/>
    <n v="56.97"/>
  </r>
  <r>
    <s v="ODR00316"/>
    <d v="2025-04-10T00:00:00"/>
    <s v="Meera Joshi"/>
    <s v="East"/>
    <s v="Bhubaneswar"/>
    <x v="2"/>
    <x v="5"/>
    <s v="Envelope - Office Supplies"/>
    <n v="8754.5400000000009"/>
    <n v="6"/>
    <n v="1"/>
    <n v="1955.03"/>
  </r>
  <r>
    <s v="ODR00317"/>
    <d v="2024-08-27T00:00:00"/>
    <s v="Sneha Reddy"/>
    <s v="South"/>
    <s v="Hyderabad"/>
    <x v="1"/>
    <x v="2"/>
    <s v="Chair - Furniture"/>
    <n v="1419.44"/>
    <n v="1"/>
    <n v="14"/>
    <n v="304.38"/>
  </r>
  <r>
    <s v="ODR00318"/>
    <d v="2024-11-11T00:00:00"/>
    <s v="Kabir Nair"/>
    <s v="South"/>
    <s v="Hyderabad"/>
    <x v="1"/>
    <x v="11"/>
    <s v="Sofa - Furniture"/>
    <n v="3688.48"/>
    <n v="2"/>
    <n v="25"/>
    <n v="216.22"/>
  </r>
  <r>
    <s v="ODR00319"/>
    <d v="2024-05-31T00:00:00"/>
    <s v="Ishaan Mehta"/>
    <s v="South"/>
    <s v="Chennai"/>
    <x v="0"/>
    <x v="1"/>
    <s v="Printer - Technology"/>
    <n v="532.09"/>
    <n v="1"/>
    <n v="21"/>
    <n v="63.65"/>
  </r>
  <r>
    <s v="ODR00320"/>
    <d v="2025-03-07T00:00:00"/>
    <s v="Krishna Das"/>
    <s v="North"/>
    <s v="Delhi"/>
    <x v="0"/>
    <x v="7"/>
    <s v="Laptop - Technology"/>
    <n v="358.86"/>
    <n v="2"/>
    <n v="1"/>
    <n v="66.47"/>
  </r>
  <r>
    <s v="ODR00321"/>
    <d v="2025-01-10T00:00:00"/>
    <s v="Ishaan Mehta"/>
    <s v="North"/>
    <s v="Delhi"/>
    <x v="2"/>
    <x v="5"/>
    <s v="Envelope - Office Supplies"/>
    <n v="3260.24"/>
    <n v="4"/>
    <n v="24"/>
    <n v="249.27"/>
  </r>
  <r>
    <s v="ODR00322"/>
    <d v="2024-08-29T00:00:00"/>
    <s v="Ishaan Mehta"/>
    <s v="East"/>
    <s v="Patna"/>
    <x v="1"/>
    <x v="4"/>
    <s v="Table - Furniture"/>
    <n v="1331.07"/>
    <n v="3"/>
    <n v="12"/>
    <n v="165.94"/>
  </r>
  <r>
    <s v="ODR00323"/>
    <d v="2024-07-21T00:00:00"/>
    <s v="Tanishq Ghosh"/>
    <s v="West"/>
    <s v="Ahmedabad"/>
    <x v="1"/>
    <x v="11"/>
    <s v="Sofa - Furniture"/>
    <n v="3054.02"/>
    <n v="2"/>
    <n v="16"/>
    <n v="614.72"/>
  </r>
  <r>
    <s v="ODR00324"/>
    <d v="2025-02-12T00:00:00"/>
    <s v="Ishaan Mehta"/>
    <s v="West"/>
    <s v="Nagpur"/>
    <x v="1"/>
    <x v="3"/>
    <s v="Cupboard - Furniture"/>
    <n v="804.38"/>
    <n v="2"/>
    <n v="14"/>
    <n v="157.79"/>
  </r>
  <r>
    <s v="ODR00325"/>
    <d v="2024-06-20T00:00:00"/>
    <s v="Kabir Nair"/>
    <s v="North"/>
    <s v="Lucknow"/>
    <x v="0"/>
    <x v="1"/>
    <s v="Printer - Technology"/>
    <n v="2328"/>
    <n v="2"/>
    <n v="8"/>
    <n v="435.9"/>
  </r>
  <r>
    <s v="ODR00326"/>
    <d v="2024-10-02T00:00:00"/>
    <s v="Tanishq Ghosh"/>
    <s v="West"/>
    <s v="Indore"/>
    <x v="1"/>
    <x v="11"/>
    <s v="Sofa - Furniture"/>
    <n v="12077.12"/>
    <n v="8"/>
    <n v="0"/>
    <n v="1936.97"/>
  </r>
  <r>
    <s v="ODR00327"/>
    <d v="2024-10-24T00:00:00"/>
    <s v="Meera Joshi"/>
    <s v="West"/>
    <s v="Indore"/>
    <x v="0"/>
    <x v="7"/>
    <s v="Laptop - Technology"/>
    <n v="8844.7999999999993"/>
    <n v="5"/>
    <n v="5"/>
    <n v="1924.11"/>
  </r>
  <r>
    <s v="ODR00328"/>
    <d v="2024-07-17T00:00:00"/>
    <s v="Saanvi Iyer"/>
    <s v="North"/>
    <s v="Lucknow"/>
    <x v="0"/>
    <x v="7"/>
    <s v="Laptop - Technology"/>
    <n v="9259.2999999999993"/>
    <n v="10"/>
    <n v="18"/>
    <n v="706.01"/>
  </r>
  <r>
    <s v="ODR00329"/>
    <d v="2025-03-09T00:00:00"/>
    <s v="Ishaan Mehta"/>
    <s v="West"/>
    <s v="Nagpur"/>
    <x v="1"/>
    <x v="11"/>
    <s v="Sofa - Furniture"/>
    <n v="2628.6"/>
    <n v="4"/>
    <n v="20"/>
    <n v="375.05"/>
  </r>
  <r>
    <s v="ODR00330"/>
    <d v="2024-06-23T00:00:00"/>
    <s v="Yuvraj Chauhan"/>
    <s v="North"/>
    <s v="Lucknow"/>
    <x v="1"/>
    <x v="2"/>
    <s v="Chair - Furniture"/>
    <n v="1033.49"/>
    <n v="1"/>
    <n v="1"/>
    <n v="212.27"/>
  </r>
  <r>
    <s v="ODR00331"/>
    <d v="2024-12-02T00:00:00"/>
    <s v="Riya Kapoor"/>
    <s v="East"/>
    <s v="Bhubaneswar"/>
    <x v="0"/>
    <x v="0"/>
    <s v="Tablet - Technology"/>
    <n v="2148.36"/>
    <n v="2"/>
    <n v="13"/>
    <n v="360.59"/>
  </r>
  <r>
    <s v="ODR00332"/>
    <d v="2024-10-23T00:00:00"/>
    <s v="Vivaan Shah"/>
    <s v="South"/>
    <s v="Bangalore"/>
    <x v="2"/>
    <x v="6"/>
    <s v="Notebook - Office Supplies"/>
    <n v="7124.11"/>
    <n v="7"/>
    <n v="5"/>
    <n v="1534.65"/>
  </r>
  <r>
    <s v="ODR00333"/>
    <d v="2025-05-07T00:00:00"/>
    <s v="Diya Sharma"/>
    <s v="East"/>
    <s v="Bhubaneswar"/>
    <x v="1"/>
    <x v="3"/>
    <s v="Cupboard - Furniture"/>
    <n v="1482.28"/>
    <n v="2"/>
    <n v="0"/>
    <n v="208.11"/>
  </r>
  <r>
    <s v="ODR00334"/>
    <d v="2024-07-24T00:00:00"/>
    <s v="Kabir Nair"/>
    <s v="North"/>
    <s v="Chandigarh"/>
    <x v="0"/>
    <x v="9"/>
    <s v="Mobile - Technology"/>
    <n v="2994.2"/>
    <n v="5"/>
    <n v="5"/>
    <n v="669.55"/>
  </r>
  <r>
    <s v="ODR00335"/>
    <d v="2024-05-27T00:00:00"/>
    <s v="Diya Sharma"/>
    <s v="South"/>
    <s v="Hyderabad"/>
    <x v="0"/>
    <x v="7"/>
    <s v="Laptop - Technology"/>
    <n v="3711.04"/>
    <n v="8"/>
    <n v="17"/>
    <n v="516.16999999999996"/>
  </r>
  <r>
    <s v="ODR00336"/>
    <d v="2024-09-12T00:00:00"/>
    <s v="Vivaan Shah"/>
    <s v="North"/>
    <s v="Lucknow"/>
    <x v="2"/>
    <x v="5"/>
    <s v="Envelope - Office Supplies"/>
    <n v="3015.84"/>
    <n v="4"/>
    <n v="10"/>
    <n v="148.22999999999999"/>
  </r>
  <r>
    <s v="ODR00337"/>
    <d v="2025-01-15T00:00:00"/>
    <s v="Tanishq Ghosh"/>
    <s v="West"/>
    <s v="Pune"/>
    <x v="2"/>
    <x v="8"/>
    <s v="Stapler - Office Supplies"/>
    <n v="5041.8"/>
    <n v="10"/>
    <n v="17"/>
    <n v="832.98"/>
  </r>
  <r>
    <s v="ODR00338"/>
    <d v="2025-04-22T00:00:00"/>
    <s v="Saanvi Iyer"/>
    <s v="East"/>
    <s v="Kolkata"/>
    <x v="0"/>
    <x v="1"/>
    <s v="Printer - Technology"/>
    <n v="6595.6"/>
    <n v="5"/>
    <n v="10"/>
    <n v="1450.17"/>
  </r>
  <r>
    <s v="ODR00339"/>
    <d v="2025-04-28T00:00:00"/>
    <s v="Diya Sharma"/>
    <s v="West"/>
    <s v="Nagpur"/>
    <x v="2"/>
    <x v="5"/>
    <s v="Envelope - Office Supplies"/>
    <n v="1803.52"/>
    <n v="8"/>
    <n v="25"/>
    <n v="146.33000000000001"/>
  </r>
  <r>
    <s v="ODR00340"/>
    <d v="2024-06-28T00:00:00"/>
    <s v="Diya Sharma"/>
    <s v="West"/>
    <s v="Indore"/>
    <x v="2"/>
    <x v="8"/>
    <s v="Stapler - Office Supplies"/>
    <n v="1528.38"/>
    <n v="6"/>
    <n v="8"/>
    <n v="257.32"/>
  </r>
  <r>
    <s v="ODR00341"/>
    <d v="2025-05-03T00:00:00"/>
    <s v="Anaya Singh"/>
    <s v="East"/>
    <s v="Bhubaneswar"/>
    <x v="0"/>
    <x v="7"/>
    <s v="Laptop - Technology"/>
    <n v="3866.16"/>
    <n v="3"/>
    <n v="16"/>
    <n v="454.36"/>
  </r>
  <r>
    <s v="ODR00342"/>
    <d v="2024-10-12T00:00:00"/>
    <s v="Vivaan Shah"/>
    <s v="South"/>
    <s v="Chennai"/>
    <x v="2"/>
    <x v="6"/>
    <s v="Notebook - Office Supplies"/>
    <n v="1992.24"/>
    <n v="4"/>
    <n v="9"/>
    <n v="317.91000000000003"/>
  </r>
  <r>
    <s v="ODR00343"/>
    <d v="2024-08-02T00:00:00"/>
    <s v="Vivaan Shah"/>
    <s v="North"/>
    <s v="Jaipur"/>
    <x v="1"/>
    <x v="11"/>
    <s v="Sofa - Furniture"/>
    <n v="1066.3499999999999"/>
    <n v="1"/>
    <n v="19"/>
    <n v="203.27"/>
  </r>
  <r>
    <s v="ODR00344"/>
    <d v="2024-07-05T00:00:00"/>
    <s v="Ishaan Mehta"/>
    <s v="East"/>
    <s v="Patna"/>
    <x v="2"/>
    <x v="8"/>
    <s v="Stapler - Office Supplies"/>
    <n v="3256.5"/>
    <n v="6"/>
    <n v="3"/>
    <n v="430.26"/>
  </r>
  <r>
    <s v="ODR00345"/>
    <d v="2024-09-19T00:00:00"/>
    <s v="Diya Sharma"/>
    <s v="North"/>
    <s v="Jaipur"/>
    <x v="1"/>
    <x v="11"/>
    <s v="Sofa - Furniture"/>
    <n v="3086.4"/>
    <n v="8"/>
    <n v="7.0000000000000009"/>
    <n v="541.91"/>
  </r>
  <r>
    <s v="ODR00346"/>
    <d v="2024-12-14T00:00:00"/>
    <s v="Kriti Desai"/>
    <s v="North"/>
    <s v="Lucknow"/>
    <x v="0"/>
    <x v="0"/>
    <s v="Tablet - Technology"/>
    <n v="3828.66"/>
    <n v="3"/>
    <n v="25"/>
    <n v="572.72"/>
  </r>
  <r>
    <s v="ODR00347"/>
    <d v="2024-08-30T00:00:00"/>
    <s v="Aarav Patel"/>
    <s v="East"/>
    <s v="Patna"/>
    <x v="0"/>
    <x v="1"/>
    <s v="Printer - Technology"/>
    <n v="1490.85"/>
    <n v="5"/>
    <n v="8"/>
    <n v="243.51"/>
  </r>
  <r>
    <s v="ODR00348"/>
    <d v="2025-05-04T00:00:00"/>
    <s v="Kriti Desai"/>
    <s v="North"/>
    <s v="Lucknow"/>
    <x v="2"/>
    <x v="5"/>
    <s v="Envelope - Office Supplies"/>
    <n v="7593.6"/>
    <n v="4"/>
    <n v="0"/>
    <n v="686.94"/>
  </r>
  <r>
    <s v="ODR00349"/>
    <d v="2024-10-04T00:00:00"/>
    <s v="Diya Sharma"/>
    <s v="South"/>
    <s v="Hyderabad"/>
    <x v="0"/>
    <x v="9"/>
    <s v="Mobile - Technology"/>
    <n v="10440.08"/>
    <n v="8"/>
    <n v="3"/>
    <n v="2315.37"/>
  </r>
  <r>
    <s v="ODR00350"/>
    <d v="2024-12-20T00:00:00"/>
    <s v="Aarav Patel"/>
    <s v="North"/>
    <s v="Delhi"/>
    <x v="2"/>
    <x v="6"/>
    <s v="Notebook - Office Supplies"/>
    <n v="1530.21"/>
    <n v="1"/>
    <n v="4"/>
    <n v="358.53"/>
  </r>
  <r>
    <s v="ODR00351"/>
    <d v="2025-04-10T00:00:00"/>
    <s v="Riya Kapoor"/>
    <s v="North"/>
    <s v="Delhi"/>
    <x v="0"/>
    <x v="0"/>
    <s v="Tablet - Technology"/>
    <n v="4381.8"/>
    <n v="3"/>
    <n v="2"/>
    <n v="346.29"/>
  </r>
  <r>
    <s v="ODR00352"/>
    <d v="2024-11-20T00:00:00"/>
    <s v="Anaya Singh"/>
    <s v="West"/>
    <s v="Mumbai"/>
    <x v="1"/>
    <x v="3"/>
    <s v="Cupboard - Furniture"/>
    <n v="12574.98"/>
    <n v="9"/>
    <n v="26"/>
    <n v="2293.2800000000002"/>
  </r>
  <r>
    <s v="ODR00353"/>
    <d v="2025-05-07T00:00:00"/>
    <s v="Tanishq Ghosh"/>
    <s v="South"/>
    <s v="Hyderabad"/>
    <x v="1"/>
    <x v="3"/>
    <s v="Cupboard - Furniture"/>
    <n v="2649.95"/>
    <n v="5"/>
    <n v="11"/>
    <n v="241.79"/>
  </r>
  <r>
    <s v="ODR00354"/>
    <d v="2024-10-17T00:00:00"/>
    <s v="Saanvi Iyer"/>
    <s v="South"/>
    <s v="Bangalore"/>
    <x v="1"/>
    <x v="11"/>
    <s v="Sofa - Furniture"/>
    <n v="1186.8599999999999"/>
    <n v="3"/>
    <n v="19"/>
    <n v="81.53"/>
  </r>
  <r>
    <s v="ODR00355"/>
    <d v="2024-06-04T00:00:00"/>
    <s v="Tanishq Ghosh"/>
    <s v="West"/>
    <s v="Indore"/>
    <x v="2"/>
    <x v="6"/>
    <s v="Notebook - Office Supplies"/>
    <n v="649.16"/>
    <n v="2"/>
    <n v="5"/>
    <n v="95.89"/>
  </r>
  <r>
    <s v="ODR00356"/>
    <d v="2024-10-02T00:00:00"/>
    <s v="Kabir Nair"/>
    <s v="West"/>
    <s v="Ahmedabad"/>
    <x v="0"/>
    <x v="9"/>
    <s v="Mobile - Technology"/>
    <n v="607.6"/>
    <n v="2"/>
    <n v="2"/>
    <n v="82.34"/>
  </r>
  <r>
    <s v="ODR00357"/>
    <d v="2024-07-16T00:00:00"/>
    <s v="Anaya Singh"/>
    <s v="South"/>
    <s v="Hyderabad"/>
    <x v="2"/>
    <x v="6"/>
    <s v="Notebook - Office Supplies"/>
    <n v="125.5"/>
    <n v="1"/>
    <n v="15"/>
    <n v="25.78"/>
  </r>
  <r>
    <s v="ODR00358"/>
    <d v="2024-06-08T00:00:00"/>
    <s v="Diya Sharma"/>
    <s v="North"/>
    <s v="Jaipur"/>
    <x v="1"/>
    <x v="3"/>
    <s v="Cupboard - Furniture"/>
    <n v="4103.13"/>
    <n v="3"/>
    <n v="6"/>
    <n v="612.36"/>
  </r>
  <r>
    <s v="ODR00359"/>
    <d v="2024-07-29T00:00:00"/>
    <s v="Sneha Reddy"/>
    <s v="West"/>
    <s v="Pune"/>
    <x v="2"/>
    <x v="6"/>
    <s v="Notebook - Office Supplies"/>
    <n v="638.14"/>
    <n v="1"/>
    <n v="23"/>
    <n v="75.63"/>
  </r>
  <r>
    <s v="ODR00360"/>
    <d v="2024-12-24T00:00:00"/>
    <s v="Arjun Verma"/>
    <s v="North"/>
    <s v="Lucknow"/>
    <x v="0"/>
    <x v="1"/>
    <s v="Printer - Technology"/>
    <n v="2355.9"/>
    <n v="5"/>
    <n v="22"/>
    <n v="94.95"/>
  </r>
  <r>
    <s v="ODR00361"/>
    <d v="2024-08-09T00:00:00"/>
    <s v="Aarav Patel"/>
    <s v="East"/>
    <s v="Kolkata"/>
    <x v="0"/>
    <x v="7"/>
    <s v="Laptop - Technology"/>
    <n v="6929.82"/>
    <n v="9"/>
    <n v="13"/>
    <n v="970.58"/>
  </r>
  <r>
    <s v="ODR00362"/>
    <d v="2025-03-26T00:00:00"/>
    <s v="Ishaan Mehta"/>
    <s v="East"/>
    <s v="Patna"/>
    <x v="1"/>
    <x v="4"/>
    <s v="Table - Furniture"/>
    <n v="1120.5"/>
    <n v="2"/>
    <n v="13"/>
    <n v="130.99"/>
  </r>
  <r>
    <s v="ODR00363"/>
    <d v="2024-12-30T00:00:00"/>
    <s v="Aarav Patel"/>
    <s v="North"/>
    <s v="Chandigarh"/>
    <x v="1"/>
    <x v="2"/>
    <s v="Chair - Furniture"/>
    <n v="10397.700000000001"/>
    <n v="9"/>
    <n v="14"/>
    <n v="1979.25"/>
  </r>
  <r>
    <s v="ODR00364"/>
    <d v="2024-08-28T00:00:00"/>
    <s v="Aarav Patel"/>
    <s v="South"/>
    <s v="Bangalore"/>
    <x v="0"/>
    <x v="0"/>
    <s v="Tablet - Technology"/>
    <n v="2427.3000000000002"/>
    <n v="2"/>
    <n v="23"/>
    <n v="229.71"/>
  </r>
  <r>
    <s v="ODR00365"/>
    <d v="2024-12-03T00:00:00"/>
    <s v="Kriti Desai"/>
    <s v="North"/>
    <s v="Jaipur"/>
    <x v="0"/>
    <x v="0"/>
    <s v="Tablet - Technology"/>
    <n v="1987.68"/>
    <n v="1"/>
    <n v="14"/>
    <n v="201.27"/>
  </r>
  <r>
    <s v="ODR00366"/>
    <d v="2024-09-08T00:00:00"/>
    <s v="Vivaan Shah"/>
    <s v="North"/>
    <s v="Chandigarh"/>
    <x v="2"/>
    <x v="8"/>
    <s v="Stapler - Office Supplies"/>
    <n v="5859.12"/>
    <n v="4"/>
    <n v="7.0000000000000009"/>
    <n v="537.89"/>
  </r>
  <r>
    <s v="ODR00367"/>
    <d v="2024-11-19T00:00:00"/>
    <s v="Sneha Reddy"/>
    <s v="East"/>
    <s v="Bhubaneswar"/>
    <x v="0"/>
    <x v="0"/>
    <s v="Tablet - Technology"/>
    <n v="3915.3"/>
    <n v="5"/>
    <n v="7.0000000000000009"/>
    <n v="264.56"/>
  </r>
  <r>
    <s v="ODR00368"/>
    <d v="2024-10-12T00:00:00"/>
    <s v="Anaya Singh"/>
    <s v="West"/>
    <s v="Indore"/>
    <x v="0"/>
    <x v="7"/>
    <s v="Laptop - Technology"/>
    <n v="3355.4"/>
    <n v="4"/>
    <n v="9"/>
    <n v="243.86"/>
  </r>
  <r>
    <s v="ODR00369"/>
    <d v="2025-02-09T00:00:00"/>
    <s v="Sneha Reddy"/>
    <s v="East"/>
    <s v="Kolkata"/>
    <x v="2"/>
    <x v="10"/>
    <s v="Pen - Office Supplies"/>
    <n v="6153.66"/>
    <n v="6"/>
    <n v="8"/>
    <n v="1157.21"/>
  </r>
  <r>
    <s v="ODR00370"/>
    <d v="2024-07-06T00:00:00"/>
    <s v="Krishna Das"/>
    <s v="South"/>
    <s v="Bangalore"/>
    <x v="2"/>
    <x v="10"/>
    <s v="Pen - Office Supplies"/>
    <n v="18243.5"/>
    <n v="10"/>
    <n v="13"/>
    <n v="2512.92"/>
  </r>
  <r>
    <s v="ODR00371"/>
    <d v="2024-09-19T00:00:00"/>
    <s v="Kriti Desai"/>
    <s v="North"/>
    <s v="Delhi"/>
    <x v="2"/>
    <x v="8"/>
    <s v="Stapler - Office Supplies"/>
    <n v="3586.23"/>
    <n v="3"/>
    <n v="5"/>
    <n v="412.87"/>
  </r>
  <r>
    <s v="ODR00372"/>
    <d v="2024-12-25T00:00:00"/>
    <s v="Krishna Das"/>
    <s v="West"/>
    <s v="Indore"/>
    <x v="2"/>
    <x v="6"/>
    <s v="Notebook - Office Supplies"/>
    <n v="14273.52"/>
    <n v="8"/>
    <n v="18"/>
    <n v="2538.7800000000002"/>
  </r>
  <r>
    <s v="ODR00373"/>
    <d v="2024-10-15T00:00:00"/>
    <s v="Sneha Reddy"/>
    <s v="South"/>
    <s v="Bangalore"/>
    <x v="1"/>
    <x v="4"/>
    <s v="Table - Furniture"/>
    <n v="2922.58"/>
    <n v="2"/>
    <n v="22"/>
    <n v="150.24"/>
  </r>
  <r>
    <s v="ODR00374"/>
    <d v="2025-04-14T00:00:00"/>
    <s v="Saanvi Iyer"/>
    <s v="North"/>
    <s v="Chandigarh"/>
    <x v="2"/>
    <x v="6"/>
    <s v="Notebook - Office Supplies"/>
    <n v="848.16"/>
    <n v="8"/>
    <n v="16"/>
    <n v="103.34"/>
  </r>
  <r>
    <s v="ODR00375"/>
    <d v="2025-03-24T00:00:00"/>
    <s v="Saanvi Iyer"/>
    <s v="North"/>
    <s v="Lucknow"/>
    <x v="1"/>
    <x v="2"/>
    <s v="Chair - Furniture"/>
    <n v="7435.68"/>
    <n v="7"/>
    <n v="7.0000000000000009"/>
    <n v="1366.4"/>
  </r>
  <r>
    <s v="ODR00376"/>
    <d v="2024-12-31T00:00:00"/>
    <s v="Anaya Singh"/>
    <s v="North"/>
    <s v="Jaipur"/>
    <x v="2"/>
    <x v="5"/>
    <s v="Envelope - Office Supplies"/>
    <n v="4694.08"/>
    <n v="4"/>
    <n v="25"/>
    <n v="279.85000000000002"/>
  </r>
  <r>
    <s v="ODR00377"/>
    <d v="2025-01-31T00:00:00"/>
    <s v="Sneha Reddy"/>
    <s v="North"/>
    <s v="Lucknow"/>
    <x v="1"/>
    <x v="2"/>
    <s v="Chair - Furniture"/>
    <n v="3252.08"/>
    <n v="2"/>
    <n v="21"/>
    <n v="623.16999999999996"/>
  </r>
  <r>
    <s v="ODR00378"/>
    <d v="2025-02-03T00:00:00"/>
    <s v="Ishaan Mehta"/>
    <s v="North"/>
    <s v="Chandigarh"/>
    <x v="0"/>
    <x v="9"/>
    <s v="Mobile - Technology"/>
    <n v="7742.07"/>
    <n v="9"/>
    <n v="1"/>
    <n v="794.37"/>
  </r>
  <r>
    <s v="ODR00379"/>
    <d v="2024-11-22T00:00:00"/>
    <s v="Yuvraj Chauhan"/>
    <s v="East"/>
    <s v="Kolkata"/>
    <x v="2"/>
    <x v="10"/>
    <s v="Pen - Office Supplies"/>
    <n v="9138.5"/>
    <n v="10"/>
    <n v="7.0000000000000009"/>
    <n v="1421.7"/>
  </r>
  <r>
    <s v="ODR00380"/>
    <d v="2024-07-18T00:00:00"/>
    <s v="Saanvi Iyer"/>
    <s v="North"/>
    <s v="Delhi"/>
    <x v="1"/>
    <x v="3"/>
    <s v="Cupboard - Furniture"/>
    <n v="7986.75"/>
    <n v="5"/>
    <n v="16"/>
    <n v="812.1"/>
  </r>
  <r>
    <s v="ODR00381"/>
    <d v="2025-01-11T00:00:00"/>
    <s v="Kriti Desai"/>
    <s v="North"/>
    <s v="Delhi"/>
    <x v="2"/>
    <x v="6"/>
    <s v="Notebook - Office Supplies"/>
    <n v="266.87"/>
    <n v="1"/>
    <n v="0"/>
    <n v="40.72"/>
  </r>
  <r>
    <s v="ODR00382"/>
    <d v="2024-08-19T00:00:00"/>
    <s v="Saanvi Iyer"/>
    <s v="West"/>
    <s v="Pune"/>
    <x v="1"/>
    <x v="4"/>
    <s v="Table - Furniture"/>
    <n v="2537.46"/>
    <n v="9"/>
    <n v="17"/>
    <n v="501.71"/>
  </r>
  <r>
    <s v="ODR00383"/>
    <d v="2024-05-20T00:00:00"/>
    <s v="Aarav Patel"/>
    <s v="West"/>
    <s v="Ahmedabad"/>
    <x v="0"/>
    <x v="1"/>
    <s v="Printer - Technology"/>
    <n v="7377.39"/>
    <n v="9"/>
    <n v="2"/>
    <n v="908.57"/>
  </r>
  <r>
    <s v="ODR00384"/>
    <d v="2024-09-24T00:00:00"/>
    <s v="Sneha Reddy"/>
    <s v="West"/>
    <s v="Nagpur"/>
    <x v="0"/>
    <x v="1"/>
    <s v="Printer - Technology"/>
    <n v="4547.34"/>
    <n v="6"/>
    <n v="29"/>
    <n v="392.98"/>
  </r>
  <r>
    <s v="ODR00385"/>
    <d v="2025-02-20T00:00:00"/>
    <s v="Vivaan Shah"/>
    <s v="West"/>
    <s v="Nagpur"/>
    <x v="2"/>
    <x v="10"/>
    <s v="Pen - Office Supplies"/>
    <n v="1055.52"/>
    <n v="1"/>
    <n v="1"/>
    <n v="187"/>
  </r>
  <r>
    <s v="ODR00386"/>
    <d v="2025-04-28T00:00:00"/>
    <s v="Ishaan Mehta"/>
    <s v="West"/>
    <s v="Indore"/>
    <x v="2"/>
    <x v="10"/>
    <s v="Pen - Office Supplies"/>
    <n v="4521.84"/>
    <n v="6"/>
    <n v="29"/>
    <n v="516.24"/>
  </r>
  <r>
    <s v="ODR00387"/>
    <d v="2024-12-19T00:00:00"/>
    <s v="Vivaan Shah"/>
    <s v="East"/>
    <s v="Patna"/>
    <x v="1"/>
    <x v="3"/>
    <s v="Cupboard - Furniture"/>
    <n v="10116.81"/>
    <n v="9"/>
    <n v="19"/>
    <n v="586.13"/>
  </r>
  <r>
    <s v="ODR00388"/>
    <d v="2024-06-29T00:00:00"/>
    <s v="Ishaan Mehta"/>
    <s v="East"/>
    <s v="Bhubaneswar"/>
    <x v="0"/>
    <x v="0"/>
    <s v="Tablet - Technology"/>
    <n v="2999.14"/>
    <n v="2"/>
    <n v="28"/>
    <n v="505.06"/>
  </r>
  <r>
    <s v="ODR00389"/>
    <d v="2025-04-28T00:00:00"/>
    <s v="Meera Joshi"/>
    <s v="North"/>
    <s v="Jaipur"/>
    <x v="0"/>
    <x v="0"/>
    <s v="Tablet - Technology"/>
    <n v="1576.13"/>
    <n v="1"/>
    <n v="16"/>
    <n v="288.45999999999998"/>
  </r>
  <r>
    <s v="ODR00390"/>
    <d v="2025-02-24T00:00:00"/>
    <s v="Saanvi Iyer"/>
    <s v="North"/>
    <s v="Chandigarh"/>
    <x v="0"/>
    <x v="9"/>
    <s v="Mobile - Technology"/>
    <n v="869.13"/>
    <n v="1"/>
    <n v="3"/>
    <n v="150.25"/>
  </r>
  <r>
    <s v="ODR00391"/>
    <d v="2025-04-15T00:00:00"/>
    <s v="Aarav Patel"/>
    <s v="South"/>
    <s v="Hyderabad"/>
    <x v="0"/>
    <x v="9"/>
    <s v="Mobile - Technology"/>
    <n v="8414.4"/>
    <n v="8"/>
    <n v="20"/>
    <n v="430.15"/>
  </r>
  <r>
    <s v="ODR00392"/>
    <d v="2024-12-02T00:00:00"/>
    <s v="Saanvi Iyer"/>
    <s v="East"/>
    <s v="Bhubaneswar"/>
    <x v="1"/>
    <x v="2"/>
    <s v="Chair - Furniture"/>
    <n v="5007.7"/>
    <n v="10"/>
    <n v="25"/>
    <n v="498"/>
  </r>
  <r>
    <s v="ODR00393"/>
    <d v="2024-11-17T00:00:00"/>
    <s v="Anaya Singh"/>
    <s v="North"/>
    <s v="Lucknow"/>
    <x v="2"/>
    <x v="8"/>
    <s v="Stapler - Office Supplies"/>
    <n v="3023.52"/>
    <n v="3"/>
    <n v="21"/>
    <n v="140.82"/>
  </r>
  <r>
    <s v="ODR00394"/>
    <d v="2024-12-16T00:00:00"/>
    <s v="Aarav Patel"/>
    <s v="South"/>
    <s v="Bangalore"/>
    <x v="1"/>
    <x v="2"/>
    <s v="Chair - Furniture"/>
    <n v="1089.1199999999999"/>
    <n v="6"/>
    <n v="1"/>
    <n v="260.64999999999998"/>
  </r>
  <r>
    <s v="ODR00395"/>
    <d v="2025-04-11T00:00:00"/>
    <s v="Vivaan Shah"/>
    <s v="East"/>
    <s v="Kolkata"/>
    <x v="1"/>
    <x v="4"/>
    <s v="Table - Furniture"/>
    <n v="5421.92"/>
    <n v="7"/>
    <n v="16"/>
    <n v="895.38"/>
  </r>
  <r>
    <s v="ODR00396"/>
    <d v="2025-01-10T00:00:00"/>
    <s v="Riya Kapoor"/>
    <s v="West"/>
    <s v="Pune"/>
    <x v="1"/>
    <x v="11"/>
    <s v="Sofa - Furniture"/>
    <n v="19339.5"/>
    <n v="10"/>
    <n v="6"/>
    <n v="4044.33"/>
  </r>
  <r>
    <s v="ODR00397"/>
    <d v="2024-08-28T00:00:00"/>
    <s v="Kriti Desai"/>
    <s v="East"/>
    <s v="Patna"/>
    <x v="1"/>
    <x v="11"/>
    <s v="Sofa - Furniture"/>
    <n v="2727.08"/>
    <n v="4"/>
    <n v="29"/>
    <n v="337.83"/>
  </r>
  <r>
    <s v="ODR00398"/>
    <d v="2025-03-27T00:00:00"/>
    <s v="Anaya Singh"/>
    <s v="South"/>
    <s v="Chennai"/>
    <x v="2"/>
    <x v="8"/>
    <s v="Stapler - Office Supplies"/>
    <n v="2193.7600000000002"/>
    <n v="2"/>
    <n v="9"/>
    <n v="142.44999999999999"/>
  </r>
  <r>
    <s v="ODR00399"/>
    <d v="2024-08-26T00:00:00"/>
    <s v="Sneha Reddy"/>
    <s v="North"/>
    <s v="Chandigarh"/>
    <x v="1"/>
    <x v="4"/>
    <s v="Table - Furniture"/>
    <n v="5009.6000000000004"/>
    <n v="8"/>
    <n v="29"/>
    <n v="515.53"/>
  </r>
  <r>
    <s v="ODR00400"/>
    <d v="2025-03-10T00:00:00"/>
    <s v="Kabir Nair"/>
    <s v="North"/>
    <s v="Delhi"/>
    <x v="0"/>
    <x v="1"/>
    <s v="Printer - Technology"/>
    <n v="658.31"/>
    <n v="1"/>
    <n v="1"/>
    <n v="99.43"/>
  </r>
  <r>
    <s v="ODR00401"/>
    <d v="2025-04-02T00:00:00"/>
    <s v="Ishaan Mehta"/>
    <s v="West"/>
    <s v="Indore"/>
    <x v="2"/>
    <x v="5"/>
    <s v="Envelope - Office Supplies"/>
    <n v="659.76"/>
    <n v="2"/>
    <n v="8"/>
    <n v="85.88"/>
  </r>
  <r>
    <s v="ODR00402"/>
    <d v="2024-07-10T00:00:00"/>
    <s v="Riya Kapoor"/>
    <s v="West"/>
    <s v="Nagpur"/>
    <x v="1"/>
    <x v="11"/>
    <s v="Sofa - Furniture"/>
    <n v="2151.0300000000002"/>
    <n v="7"/>
    <n v="27"/>
    <n v="378.63"/>
  </r>
  <r>
    <s v="ODR00403"/>
    <d v="2024-09-07T00:00:00"/>
    <s v="Vivaan Shah"/>
    <s v="East"/>
    <s v="Patna"/>
    <x v="1"/>
    <x v="11"/>
    <s v="Sofa - Furniture"/>
    <n v="809.87"/>
    <n v="1"/>
    <n v="30"/>
    <n v="70.05"/>
  </r>
  <r>
    <s v="ODR00404"/>
    <d v="2024-10-19T00:00:00"/>
    <s v="Tanishq Ghosh"/>
    <s v="West"/>
    <s v="Mumbai"/>
    <x v="2"/>
    <x v="5"/>
    <s v="Envelope - Office Supplies"/>
    <n v="1478.61"/>
    <n v="3"/>
    <n v="27"/>
    <n v="178.68"/>
  </r>
  <r>
    <s v="ODR00405"/>
    <d v="2024-11-27T00:00:00"/>
    <s v="Saanvi Iyer"/>
    <s v="South"/>
    <s v="Bangalore"/>
    <x v="2"/>
    <x v="6"/>
    <s v="Notebook - Office Supplies"/>
    <n v="1823.5"/>
    <n v="5"/>
    <n v="16"/>
    <n v="347.94"/>
  </r>
  <r>
    <s v="ODR00406"/>
    <d v="2025-02-26T00:00:00"/>
    <s v="Arjun Verma"/>
    <s v="North"/>
    <s v="Jaipur"/>
    <x v="0"/>
    <x v="9"/>
    <s v="Mobile - Technology"/>
    <n v="15487.1"/>
    <n v="10"/>
    <n v="5"/>
    <n v="3530.67"/>
  </r>
  <r>
    <s v="ODR00407"/>
    <d v="2024-09-28T00:00:00"/>
    <s v="Diya Sharma"/>
    <s v="East"/>
    <s v="Bhubaneswar"/>
    <x v="0"/>
    <x v="1"/>
    <s v="Printer - Technology"/>
    <n v="2943.81"/>
    <n v="3"/>
    <n v="19"/>
    <n v="291.51"/>
  </r>
  <r>
    <s v="ODR00408"/>
    <d v="2024-11-12T00:00:00"/>
    <s v="Sneha Reddy"/>
    <s v="South"/>
    <s v="Bangalore"/>
    <x v="1"/>
    <x v="11"/>
    <s v="Sofa - Furniture"/>
    <n v="884.9"/>
    <n v="2"/>
    <n v="21"/>
    <n v="128.82"/>
  </r>
  <r>
    <s v="ODR00409"/>
    <d v="2025-01-14T00:00:00"/>
    <s v="Vivaan Shah"/>
    <s v="North"/>
    <s v="Lucknow"/>
    <x v="2"/>
    <x v="6"/>
    <s v="Notebook - Office Supplies"/>
    <n v="6923.2"/>
    <n v="8"/>
    <n v="2"/>
    <n v="624.34"/>
  </r>
  <r>
    <s v="ODR00410"/>
    <d v="2024-12-10T00:00:00"/>
    <s v="Krishna Das"/>
    <s v="West"/>
    <s v="Mumbai"/>
    <x v="0"/>
    <x v="0"/>
    <s v="Tablet - Technology"/>
    <n v="10001.82"/>
    <n v="6"/>
    <n v="25"/>
    <n v="1262.75"/>
  </r>
  <r>
    <s v="ODR00411"/>
    <d v="2024-08-23T00:00:00"/>
    <s v="Vivaan Shah"/>
    <s v="West"/>
    <s v="Pune"/>
    <x v="0"/>
    <x v="7"/>
    <s v="Laptop - Technology"/>
    <n v="10358.549999999999"/>
    <n v="9"/>
    <n v="5"/>
    <n v="1155.9000000000001"/>
  </r>
  <r>
    <s v="ODR00412"/>
    <d v="2024-10-15T00:00:00"/>
    <s v="Diya Sharma"/>
    <s v="South"/>
    <s v="Chennai"/>
    <x v="0"/>
    <x v="9"/>
    <s v="Mobile - Technology"/>
    <n v="7133.31"/>
    <n v="9"/>
    <n v="5"/>
    <n v="461.08"/>
  </r>
  <r>
    <s v="ODR00413"/>
    <d v="2024-09-19T00:00:00"/>
    <s v="Krishna Das"/>
    <s v="North"/>
    <s v="Lucknow"/>
    <x v="0"/>
    <x v="9"/>
    <s v="Mobile - Technology"/>
    <n v="402.28"/>
    <n v="1"/>
    <n v="21"/>
    <n v="78.58"/>
  </r>
  <r>
    <s v="ODR00414"/>
    <d v="2025-04-08T00:00:00"/>
    <s v="Saanvi Iyer"/>
    <s v="North"/>
    <s v="Chandigarh"/>
    <x v="1"/>
    <x v="3"/>
    <s v="Cupboard - Furniture"/>
    <n v="6086.15"/>
    <n v="7"/>
    <n v="6"/>
    <n v="411.71"/>
  </r>
  <r>
    <s v="ODR00415"/>
    <d v="2025-04-30T00:00:00"/>
    <s v="Saanvi Iyer"/>
    <s v="West"/>
    <s v="Ahmedabad"/>
    <x v="2"/>
    <x v="8"/>
    <s v="Stapler - Office Supplies"/>
    <n v="4336.4399999999996"/>
    <n v="4"/>
    <n v="2"/>
    <n v="393.77"/>
  </r>
  <r>
    <s v="ODR00416"/>
    <d v="2024-10-05T00:00:00"/>
    <s v="Yuvraj Chauhan"/>
    <s v="East"/>
    <s v="Patna"/>
    <x v="1"/>
    <x v="3"/>
    <s v="Cupboard - Furniture"/>
    <n v="13799.25"/>
    <n v="9"/>
    <n v="9"/>
    <n v="963.98"/>
  </r>
  <r>
    <s v="ODR00417"/>
    <d v="2024-10-15T00:00:00"/>
    <s v="Saanvi Iyer"/>
    <s v="North"/>
    <s v="Delhi"/>
    <x v="0"/>
    <x v="1"/>
    <s v="Printer - Technology"/>
    <n v="3555.92"/>
    <n v="4"/>
    <n v="28"/>
    <n v="190.25"/>
  </r>
  <r>
    <s v="ODR00418"/>
    <d v="2025-01-14T00:00:00"/>
    <s v="Sneha Reddy"/>
    <s v="West"/>
    <s v="Ahmedabad"/>
    <x v="1"/>
    <x v="11"/>
    <s v="Sofa - Furniture"/>
    <n v="1187.6400000000001"/>
    <n v="3"/>
    <n v="18"/>
    <n v="104.72"/>
  </r>
  <r>
    <s v="ODR00419"/>
    <d v="2024-08-26T00:00:00"/>
    <s v="Arjun Verma"/>
    <s v="South"/>
    <s v="Bangalore"/>
    <x v="0"/>
    <x v="9"/>
    <s v="Mobile - Technology"/>
    <n v="1644.98"/>
    <n v="2"/>
    <n v="17"/>
    <n v="73.59"/>
  </r>
  <r>
    <s v="ODR00420"/>
    <d v="2024-12-21T00:00:00"/>
    <s v="Krishna Das"/>
    <s v="South"/>
    <s v="Chennai"/>
    <x v="1"/>
    <x v="2"/>
    <s v="Chair - Furniture"/>
    <n v="5907.76"/>
    <n v="8"/>
    <n v="9"/>
    <n v="391.28"/>
  </r>
  <r>
    <s v="ODR00421"/>
    <d v="2025-01-29T00:00:00"/>
    <s v="Aarav Patel"/>
    <s v="West"/>
    <s v="Nagpur"/>
    <x v="1"/>
    <x v="11"/>
    <s v="Sofa - Furniture"/>
    <n v="13279.05"/>
    <n v="9"/>
    <n v="19"/>
    <n v="1501.59"/>
  </r>
  <r>
    <s v="ODR00422"/>
    <d v="2024-09-20T00:00:00"/>
    <s v="Krishna Das"/>
    <s v="East"/>
    <s v="Kolkata"/>
    <x v="0"/>
    <x v="0"/>
    <s v="Tablet - Technology"/>
    <n v="799.85"/>
    <n v="5"/>
    <n v="21"/>
    <n v="56.32"/>
  </r>
  <r>
    <s v="ODR00423"/>
    <d v="2024-05-22T00:00:00"/>
    <s v="Krishna Das"/>
    <s v="East"/>
    <s v="Bhubaneswar"/>
    <x v="0"/>
    <x v="1"/>
    <s v="Printer - Technology"/>
    <n v="4185.3599999999997"/>
    <n v="9"/>
    <n v="27"/>
    <n v="695.6"/>
  </r>
  <r>
    <s v="ODR00424"/>
    <d v="2024-06-16T00:00:00"/>
    <s v="Ishaan Mehta"/>
    <s v="East"/>
    <s v="Patna"/>
    <x v="1"/>
    <x v="4"/>
    <s v="Table - Furniture"/>
    <n v="809.01"/>
    <n v="3"/>
    <n v="20"/>
    <n v="107.92"/>
  </r>
  <r>
    <s v="ODR00425"/>
    <d v="2024-09-19T00:00:00"/>
    <s v="Anaya Singh"/>
    <s v="North"/>
    <s v="Chandigarh"/>
    <x v="2"/>
    <x v="10"/>
    <s v="Pen - Office Supplies"/>
    <n v="3162.5"/>
    <n v="10"/>
    <n v="9"/>
    <n v="612.22"/>
  </r>
  <r>
    <s v="ODR00426"/>
    <d v="2024-08-13T00:00:00"/>
    <s v="Sneha Reddy"/>
    <s v="South"/>
    <s v="Chennai"/>
    <x v="1"/>
    <x v="3"/>
    <s v="Cupboard - Furniture"/>
    <n v="1839.52"/>
    <n v="8"/>
    <n v="6"/>
    <n v="372.79"/>
  </r>
  <r>
    <s v="ODR00427"/>
    <d v="2025-01-15T00:00:00"/>
    <s v="Diya Sharma"/>
    <s v="West"/>
    <s v="Nagpur"/>
    <x v="1"/>
    <x v="11"/>
    <s v="Sofa - Furniture"/>
    <n v="14450.88"/>
    <n v="8"/>
    <n v="23"/>
    <n v="1507.94"/>
  </r>
  <r>
    <s v="ODR00428"/>
    <d v="2025-01-07T00:00:00"/>
    <s v="Diya Sharma"/>
    <s v="West"/>
    <s v="Mumbai"/>
    <x v="2"/>
    <x v="5"/>
    <s v="Envelope - Office Supplies"/>
    <n v="3433.4"/>
    <n v="4"/>
    <n v="27"/>
    <n v="295.5"/>
  </r>
  <r>
    <s v="ODR00429"/>
    <d v="2024-08-11T00:00:00"/>
    <s v="Yuvraj Chauhan"/>
    <s v="South"/>
    <s v="Bangalore"/>
    <x v="0"/>
    <x v="0"/>
    <s v="Tablet - Technology"/>
    <n v="1898.12"/>
    <n v="1"/>
    <n v="26"/>
    <n v="215.71"/>
  </r>
  <r>
    <s v="ODR00430"/>
    <d v="2024-07-11T00:00:00"/>
    <s v="Ishaan Mehta"/>
    <s v="West"/>
    <s v="Ahmedabad"/>
    <x v="2"/>
    <x v="5"/>
    <s v="Envelope - Office Supplies"/>
    <n v="5968.56"/>
    <n v="3"/>
    <n v="10"/>
    <n v="1257.33"/>
  </r>
  <r>
    <s v="ODR00431"/>
    <d v="2024-12-01T00:00:00"/>
    <s v="Arjun Verma"/>
    <s v="South"/>
    <s v="Chennai"/>
    <x v="0"/>
    <x v="7"/>
    <s v="Laptop - Technology"/>
    <n v="3195.22"/>
    <n v="7"/>
    <n v="29"/>
    <n v="439.12"/>
  </r>
  <r>
    <s v="ODR00432"/>
    <d v="2024-08-07T00:00:00"/>
    <s v="Kabir Nair"/>
    <s v="West"/>
    <s v="Mumbai"/>
    <x v="0"/>
    <x v="7"/>
    <s v="Laptop - Technology"/>
    <n v="1828.48"/>
    <n v="2"/>
    <n v="15"/>
    <n v="112.01"/>
  </r>
  <r>
    <s v="ODR00433"/>
    <d v="2024-05-20T00:00:00"/>
    <s v="Meera Joshi"/>
    <s v="East"/>
    <s v="Patna"/>
    <x v="0"/>
    <x v="0"/>
    <s v="Tablet - Technology"/>
    <n v="16129"/>
    <n v="10"/>
    <n v="19"/>
    <n v="3056.75"/>
  </r>
  <r>
    <s v="ODR00434"/>
    <d v="2025-04-10T00:00:00"/>
    <s v="Sneha Reddy"/>
    <s v="East"/>
    <s v="Bhubaneswar"/>
    <x v="0"/>
    <x v="1"/>
    <s v="Printer - Technology"/>
    <n v="11391.66"/>
    <n v="9"/>
    <n v="26"/>
    <n v="671.2"/>
  </r>
  <r>
    <s v="ODR00435"/>
    <d v="2025-04-16T00:00:00"/>
    <s v="Anaya Singh"/>
    <s v="East"/>
    <s v="Bhubaneswar"/>
    <x v="2"/>
    <x v="10"/>
    <s v="Pen - Office Supplies"/>
    <n v="3618.7"/>
    <n v="5"/>
    <n v="16"/>
    <n v="578.73"/>
  </r>
  <r>
    <s v="ODR00436"/>
    <d v="2024-11-06T00:00:00"/>
    <s v="Riya Kapoor"/>
    <s v="West"/>
    <s v="Mumbai"/>
    <x v="1"/>
    <x v="4"/>
    <s v="Table - Furniture"/>
    <n v="5355.15"/>
    <n v="5"/>
    <n v="14"/>
    <n v="947.2"/>
  </r>
  <r>
    <s v="ODR00437"/>
    <d v="2025-04-28T00:00:00"/>
    <s v="Anaya Singh"/>
    <s v="West"/>
    <s v="Indore"/>
    <x v="1"/>
    <x v="2"/>
    <s v="Chair - Furniture"/>
    <n v="3079.56"/>
    <n v="3"/>
    <n v="1"/>
    <n v="437.82"/>
  </r>
  <r>
    <s v="ODR00438"/>
    <d v="2024-11-07T00:00:00"/>
    <s v="Aarav Patel"/>
    <s v="North"/>
    <s v="Lucknow"/>
    <x v="2"/>
    <x v="5"/>
    <s v="Envelope - Office Supplies"/>
    <n v="7547.08"/>
    <n v="4"/>
    <n v="30"/>
    <n v="1319.79"/>
  </r>
  <r>
    <s v="ODR00439"/>
    <d v="2024-11-10T00:00:00"/>
    <s v="Diya Sharma"/>
    <s v="South"/>
    <s v="Chennai"/>
    <x v="1"/>
    <x v="4"/>
    <s v="Table - Furniture"/>
    <n v="15011.52"/>
    <n v="8"/>
    <n v="11"/>
    <n v="905.87"/>
  </r>
  <r>
    <s v="ODR00440"/>
    <d v="2025-01-07T00:00:00"/>
    <s v="Kabir Nair"/>
    <s v="West"/>
    <s v="Pune"/>
    <x v="1"/>
    <x v="11"/>
    <s v="Sofa - Furniture"/>
    <n v="7821.18"/>
    <n v="9"/>
    <n v="11"/>
    <n v="1140.8900000000001"/>
  </r>
  <r>
    <s v="ODR00441"/>
    <d v="2025-04-02T00:00:00"/>
    <s v="Kabir Nair"/>
    <s v="South"/>
    <s v="Bangalore"/>
    <x v="2"/>
    <x v="10"/>
    <s v="Pen - Office Supplies"/>
    <n v="9684.2900000000009"/>
    <n v="7"/>
    <n v="13"/>
    <n v="780.24"/>
  </r>
  <r>
    <s v="ODR00442"/>
    <d v="2024-09-13T00:00:00"/>
    <s v="Saanvi Iyer"/>
    <s v="East"/>
    <s v="Bhubaneswar"/>
    <x v="2"/>
    <x v="5"/>
    <s v="Envelope - Office Supplies"/>
    <n v="5386.98"/>
    <n v="3"/>
    <n v="8"/>
    <n v="502.76"/>
  </r>
  <r>
    <s v="ODR00443"/>
    <d v="2024-11-07T00:00:00"/>
    <s v="Ishaan Mehta"/>
    <s v="South"/>
    <s v="Chennai"/>
    <x v="2"/>
    <x v="5"/>
    <s v="Envelope - Office Supplies"/>
    <n v="806.29"/>
    <n v="1"/>
    <n v="16"/>
    <n v="53.37"/>
  </r>
  <r>
    <s v="ODR00444"/>
    <d v="2024-12-24T00:00:00"/>
    <s v="Tanishq Ghosh"/>
    <s v="North"/>
    <s v="Jaipur"/>
    <x v="1"/>
    <x v="2"/>
    <s v="Chair - Furniture"/>
    <n v="1989.9"/>
    <n v="9"/>
    <n v="6"/>
    <n v="261.93"/>
  </r>
  <r>
    <s v="ODR00445"/>
    <d v="2025-04-19T00:00:00"/>
    <s v="Saanvi Iyer"/>
    <s v="East"/>
    <s v="Patna"/>
    <x v="2"/>
    <x v="8"/>
    <s v="Stapler - Office Supplies"/>
    <n v="1562.72"/>
    <n v="8"/>
    <n v="22"/>
    <n v="211.59"/>
  </r>
  <r>
    <s v="ODR00446"/>
    <d v="2024-08-05T00:00:00"/>
    <s v="Meera Joshi"/>
    <s v="North"/>
    <s v="Lucknow"/>
    <x v="1"/>
    <x v="3"/>
    <s v="Cupboard - Furniture"/>
    <n v="7923.72"/>
    <n v="6"/>
    <n v="13"/>
    <n v="458.29"/>
  </r>
  <r>
    <s v="ODR00447"/>
    <d v="2024-06-02T00:00:00"/>
    <s v="Diya Sharma"/>
    <s v="South"/>
    <s v="Hyderabad"/>
    <x v="2"/>
    <x v="10"/>
    <s v="Pen - Office Supplies"/>
    <n v="1859.2"/>
    <n v="8"/>
    <n v="3"/>
    <n v="432.33"/>
  </r>
  <r>
    <s v="ODR00448"/>
    <d v="2024-11-11T00:00:00"/>
    <s v="Anaya Singh"/>
    <s v="South"/>
    <s v="Chennai"/>
    <x v="1"/>
    <x v="3"/>
    <s v="Cupboard - Furniture"/>
    <n v="1533.83"/>
    <n v="1"/>
    <n v="17"/>
    <n v="280.70999999999998"/>
  </r>
  <r>
    <s v="ODR00449"/>
    <d v="2024-10-02T00:00:00"/>
    <s v="Arjun Verma"/>
    <s v="North"/>
    <s v="Delhi"/>
    <x v="0"/>
    <x v="1"/>
    <s v="Printer - Technology"/>
    <n v="547.46"/>
    <n v="2"/>
    <n v="10"/>
    <n v="107.38"/>
  </r>
  <r>
    <s v="ODR00450"/>
    <d v="2025-03-04T00:00:00"/>
    <s v="Anaya Singh"/>
    <s v="South"/>
    <s v="Bangalore"/>
    <x v="1"/>
    <x v="2"/>
    <s v="Chair - Furniture"/>
    <n v="6749.25"/>
    <n v="5"/>
    <n v="23"/>
    <n v="824.83"/>
  </r>
  <r>
    <s v="ODR00451"/>
    <d v="2025-03-02T00:00:00"/>
    <s v="Krishna Das"/>
    <s v="West"/>
    <s v="Mumbai"/>
    <x v="1"/>
    <x v="11"/>
    <s v="Sofa - Furniture"/>
    <n v="2614.7199999999998"/>
    <n v="4"/>
    <n v="22"/>
    <n v="410.09"/>
  </r>
  <r>
    <s v="ODR00452"/>
    <d v="2025-04-06T00:00:00"/>
    <s v="Yuvraj Chauhan"/>
    <s v="North"/>
    <s v="Jaipur"/>
    <x v="1"/>
    <x v="11"/>
    <s v="Sofa - Furniture"/>
    <n v="6753.56"/>
    <n v="4"/>
    <n v="20"/>
    <n v="472.39"/>
  </r>
  <r>
    <s v="ODR00453"/>
    <d v="2024-09-17T00:00:00"/>
    <s v="Ishaan Mehta"/>
    <s v="North"/>
    <s v="Jaipur"/>
    <x v="0"/>
    <x v="9"/>
    <s v="Mobile - Technology"/>
    <n v="6772.96"/>
    <n v="4"/>
    <n v="16"/>
    <n v="798.98"/>
  </r>
  <r>
    <s v="ODR00454"/>
    <d v="2024-06-27T00:00:00"/>
    <s v="Sneha Reddy"/>
    <s v="South"/>
    <s v="Chennai"/>
    <x v="1"/>
    <x v="11"/>
    <s v="Sofa - Furniture"/>
    <n v="10265.58"/>
    <n v="6"/>
    <n v="29"/>
    <n v="798.1"/>
  </r>
  <r>
    <s v="ODR00455"/>
    <d v="2025-01-10T00:00:00"/>
    <s v="Krishna Das"/>
    <s v="East"/>
    <s v="Patna"/>
    <x v="1"/>
    <x v="4"/>
    <s v="Table - Furniture"/>
    <n v="11289.6"/>
    <n v="7"/>
    <n v="10"/>
    <n v="2079.86"/>
  </r>
  <r>
    <s v="ODR00456"/>
    <d v="2025-05-01T00:00:00"/>
    <s v="Kabir Nair"/>
    <s v="North"/>
    <s v="Chandigarh"/>
    <x v="0"/>
    <x v="9"/>
    <s v="Mobile - Technology"/>
    <n v="3249.63"/>
    <n v="3"/>
    <n v="6"/>
    <n v="499.06"/>
  </r>
  <r>
    <s v="ODR00457"/>
    <d v="2024-06-06T00:00:00"/>
    <s v="Ishaan Mehta"/>
    <s v="South"/>
    <s v="Bangalore"/>
    <x v="0"/>
    <x v="0"/>
    <s v="Tablet - Technology"/>
    <n v="1781.29"/>
    <n v="1"/>
    <n v="15"/>
    <n v="185.71"/>
  </r>
  <r>
    <s v="ODR00458"/>
    <d v="2024-05-14T00:00:00"/>
    <s v="Meera Joshi"/>
    <s v="East"/>
    <s v="Bhubaneswar"/>
    <x v="1"/>
    <x v="11"/>
    <s v="Sofa - Furniture"/>
    <n v="6193.14"/>
    <n v="6"/>
    <n v="13"/>
    <n v="809.53"/>
  </r>
  <r>
    <s v="ODR00459"/>
    <d v="2024-10-13T00:00:00"/>
    <s v="Saanvi Iyer"/>
    <s v="North"/>
    <s v="Jaipur"/>
    <x v="1"/>
    <x v="11"/>
    <s v="Sofa - Furniture"/>
    <n v="2979.78"/>
    <n v="3"/>
    <n v="2"/>
    <n v="632.73"/>
  </r>
  <r>
    <s v="ODR00460"/>
    <d v="2024-11-30T00:00:00"/>
    <s v="Meera Joshi"/>
    <s v="West"/>
    <s v="Mumbai"/>
    <x v="2"/>
    <x v="5"/>
    <s v="Envelope - Office Supplies"/>
    <n v="1562.9"/>
    <n v="1"/>
    <n v="11"/>
    <n v="226.19"/>
  </r>
  <r>
    <s v="ODR00461"/>
    <d v="2025-04-10T00:00:00"/>
    <s v="Saanvi Iyer"/>
    <s v="West"/>
    <s v="Indore"/>
    <x v="0"/>
    <x v="0"/>
    <s v="Tablet - Technology"/>
    <n v="11724.48"/>
    <n v="8"/>
    <n v="21"/>
    <n v="824.02"/>
  </r>
  <r>
    <s v="ODR00462"/>
    <d v="2025-04-18T00:00:00"/>
    <s v="Riya Kapoor"/>
    <s v="West"/>
    <s v="Nagpur"/>
    <x v="1"/>
    <x v="2"/>
    <s v="Chair - Furniture"/>
    <n v="6873.28"/>
    <n v="8"/>
    <n v="5"/>
    <n v="942.15"/>
  </r>
  <r>
    <s v="ODR00463"/>
    <d v="2024-12-28T00:00:00"/>
    <s v="Meera Joshi"/>
    <s v="North"/>
    <s v="Lucknow"/>
    <x v="2"/>
    <x v="8"/>
    <s v="Stapler - Office Supplies"/>
    <n v="19101.599999999999"/>
    <n v="10"/>
    <n v="15"/>
    <n v="3452.88"/>
  </r>
  <r>
    <s v="ODR00464"/>
    <d v="2025-03-14T00:00:00"/>
    <s v="Kabir Nair"/>
    <s v="South"/>
    <s v="Hyderabad"/>
    <x v="1"/>
    <x v="11"/>
    <s v="Sofa - Furniture"/>
    <n v="1723.88"/>
    <n v="1"/>
    <n v="12"/>
    <n v="216.23"/>
  </r>
  <r>
    <s v="ODR00465"/>
    <d v="2025-04-27T00:00:00"/>
    <s v="Meera Joshi"/>
    <s v="North"/>
    <s v="Jaipur"/>
    <x v="0"/>
    <x v="7"/>
    <s v="Laptop - Technology"/>
    <n v="4581"/>
    <n v="10"/>
    <n v="28"/>
    <n v="287.27"/>
  </r>
  <r>
    <s v="ODR00466"/>
    <d v="2024-10-22T00:00:00"/>
    <s v="Aarav Patel"/>
    <s v="East"/>
    <s v="Bhubaneswar"/>
    <x v="2"/>
    <x v="6"/>
    <s v="Notebook - Office Supplies"/>
    <n v="3902.22"/>
    <n v="6"/>
    <n v="3"/>
    <n v="863.68"/>
  </r>
  <r>
    <s v="ODR00467"/>
    <d v="2025-02-19T00:00:00"/>
    <s v="Meera Joshi"/>
    <s v="North"/>
    <s v="Chandigarh"/>
    <x v="1"/>
    <x v="2"/>
    <s v="Chair - Furniture"/>
    <n v="1888.88"/>
    <n v="7"/>
    <n v="0"/>
    <n v="304.52"/>
  </r>
  <r>
    <s v="ODR00468"/>
    <d v="2025-04-23T00:00:00"/>
    <s v="Kriti Desai"/>
    <s v="East"/>
    <s v="Patna"/>
    <x v="0"/>
    <x v="7"/>
    <s v="Laptop - Technology"/>
    <n v="1120.5899999999999"/>
    <n v="9"/>
    <n v="16"/>
    <n v="102.41"/>
  </r>
  <r>
    <s v="ODR00469"/>
    <d v="2024-11-15T00:00:00"/>
    <s v="Riya Kapoor"/>
    <s v="South"/>
    <s v="Hyderabad"/>
    <x v="1"/>
    <x v="11"/>
    <s v="Sofa - Furniture"/>
    <n v="3132.08"/>
    <n v="7"/>
    <n v="7.0000000000000009"/>
    <n v="669.01"/>
  </r>
  <r>
    <s v="ODR00470"/>
    <d v="2024-07-25T00:00:00"/>
    <s v="Saanvi Iyer"/>
    <s v="South"/>
    <s v="Chennai"/>
    <x v="0"/>
    <x v="0"/>
    <s v="Tablet - Technology"/>
    <n v="2402.8000000000002"/>
    <n v="10"/>
    <n v="19"/>
    <n v="191.63"/>
  </r>
  <r>
    <s v="ODR00471"/>
    <d v="2025-04-16T00:00:00"/>
    <s v="Tanishq Ghosh"/>
    <s v="West"/>
    <s v="Ahmedabad"/>
    <x v="2"/>
    <x v="6"/>
    <s v="Notebook - Office Supplies"/>
    <n v="2426.02"/>
    <n v="2"/>
    <n v="27"/>
    <n v="267.33"/>
  </r>
  <r>
    <s v="ODR00472"/>
    <d v="2025-03-13T00:00:00"/>
    <s v="Sneha Reddy"/>
    <s v="South"/>
    <s v="Bangalore"/>
    <x v="0"/>
    <x v="1"/>
    <s v="Printer - Technology"/>
    <n v="2629.72"/>
    <n v="2"/>
    <n v="29"/>
    <n v="430.2"/>
  </r>
  <r>
    <s v="ODR00473"/>
    <d v="2024-12-30T00:00:00"/>
    <s v="Yuvraj Chauhan"/>
    <s v="North"/>
    <s v="Jaipur"/>
    <x v="1"/>
    <x v="4"/>
    <s v="Table - Furniture"/>
    <n v="3678.78"/>
    <n v="7"/>
    <n v="28"/>
    <n v="625.54999999999995"/>
  </r>
  <r>
    <s v="ODR00474"/>
    <d v="2024-12-21T00:00:00"/>
    <s v="Aarav Patel"/>
    <s v="East"/>
    <s v="Bhubaneswar"/>
    <x v="2"/>
    <x v="8"/>
    <s v="Stapler - Office Supplies"/>
    <n v="6706"/>
    <n v="7"/>
    <n v="16"/>
    <n v="1322.59"/>
  </r>
  <r>
    <s v="ODR00475"/>
    <d v="2025-01-10T00:00:00"/>
    <s v="Meera Joshi"/>
    <s v="South"/>
    <s v="Bangalore"/>
    <x v="1"/>
    <x v="3"/>
    <s v="Cupboard - Furniture"/>
    <n v="11771.37"/>
    <n v="9"/>
    <n v="8"/>
    <n v="554.23"/>
  </r>
  <r>
    <s v="ODR00476"/>
    <d v="2024-09-05T00:00:00"/>
    <s v="Arjun Verma"/>
    <s v="South"/>
    <s v="Bangalore"/>
    <x v="0"/>
    <x v="1"/>
    <s v="Printer - Technology"/>
    <n v="12484.64"/>
    <n v="8"/>
    <n v="23"/>
    <n v="1533.35"/>
  </r>
  <r>
    <s v="ODR00477"/>
    <d v="2024-08-26T00:00:00"/>
    <s v="Aarav Patel"/>
    <s v="West"/>
    <s v="Ahmedabad"/>
    <x v="1"/>
    <x v="4"/>
    <s v="Table - Furniture"/>
    <n v="11969.04"/>
    <n v="8"/>
    <n v="21"/>
    <n v="1715.91"/>
  </r>
  <r>
    <s v="ODR00478"/>
    <d v="2024-06-22T00:00:00"/>
    <s v="Vivaan Shah"/>
    <s v="West"/>
    <s v="Ahmedabad"/>
    <x v="1"/>
    <x v="4"/>
    <s v="Table - Furniture"/>
    <n v="15043.5"/>
    <n v="9"/>
    <n v="26"/>
    <n v="1197.47"/>
  </r>
  <r>
    <s v="ODR00479"/>
    <d v="2024-12-16T00:00:00"/>
    <s v="Anaya Singh"/>
    <s v="North"/>
    <s v="Delhi"/>
    <x v="2"/>
    <x v="6"/>
    <s v="Notebook - Office Supplies"/>
    <n v="1383.89"/>
    <n v="1"/>
    <n v="29"/>
    <n v="200.29"/>
  </r>
  <r>
    <s v="ODR00480"/>
    <d v="2024-06-09T00:00:00"/>
    <s v="Anaya Singh"/>
    <s v="North"/>
    <s v="Jaipur"/>
    <x v="1"/>
    <x v="2"/>
    <s v="Chair - Furniture"/>
    <n v="3145.7"/>
    <n v="2"/>
    <n v="27"/>
    <n v="420.84"/>
  </r>
  <r>
    <s v="ODR00481"/>
    <d v="2025-04-12T00:00:00"/>
    <s v="Saanvi Iyer"/>
    <s v="West"/>
    <s v="Ahmedabad"/>
    <x v="2"/>
    <x v="10"/>
    <s v="Pen - Office Supplies"/>
    <n v="9973.44"/>
    <n v="9"/>
    <n v="3"/>
    <n v="1481.17"/>
  </r>
  <r>
    <s v="ODR00482"/>
    <d v="2024-12-10T00:00:00"/>
    <s v="Kriti Desai"/>
    <s v="North"/>
    <s v="Delhi"/>
    <x v="1"/>
    <x v="3"/>
    <s v="Cupboard - Furniture"/>
    <n v="761.84"/>
    <n v="1"/>
    <n v="3"/>
    <n v="166.02"/>
  </r>
  <r>
    <s v="ODR00483"/>
    <d v="2024-07-28T00:00:00"/>
    <s v="Yuvraj Chauhan"/>
    <s v="South"/>
    <s v="Chennai"/>
    <x v="1"/>
    <x v="4"/>
    <s v="Table - Furniture"/>
    <n v="8936.15"/>
    <n v="5"/>
    <n v="18"/>
    <n v="1054.9100000000001"/>
  </r>
  <r>
    <s v="ODR00484"/>
    <d v="2024-09-26T00:00:00"/>
    <s v="Saanvi Iyer"/>
    <s v="West"/>
    <s v="Indore"/>
    <x v="0"/>
    <x v="7"/>
    <s v="Laptop - Technology"/>
    <n v="2313.46"/>
    <n v="2"/>
    <n v="11"/>
    <n v="222.39"/>
  </r>
  <r>
    <s v="ODR00485"/>
    <d v="2024-07-26T00:00:00"/>
    <s v="Krishna Das"/>
    <s v="West"/>
    <s v="Pune"/>
    <x v="1"/>
    <x v="4"/>
    <s v="Table - Furniture"/>
    <n v="1281.55"/>
    <n v="5"/>
    <n v="10"/>
    <n v="222.4"/>
  </r>
  <r>
    <s v="ODR00486"/>
    <d v="2024-07-31T00:00:00"/>
    <s v="Aarav Patel"/>
    <s v="South"/>
    <s v="Bangalore"/>
    <x v="0"/>
    <x v="9"/>
    <s v="Mobile - Technology"/>
    <n v="530.74"/>
    <n v="2"/>
    <n v="26"/>
    <n v="28.29"/>
  </r>
  <r>
    <s v="ODR00487"/>
    <d v="2025-01-16T00:00:00"/>
    <s v="Tanishq Ghosh"/>
    <s v="West"/>
    <s v="Pune"/>
    <x v="0"/>
    <x v="1"/>
    <s v="Printer - Technology"/>
    <n v="491.79"/>
    <n v="3"/>
    <n v="26"/>
    <n v="87.76"/>
  </r>
  <r>
    <s v="ODR00488"/>
    <d v="2024-07-15T00:00:00"/>
    <s v="Aarav Patel"/>
    <s v="West"/>
    <s v="Pune"/>
    <x v="1"/>
    <x v="11"/>
    <s v="Sofa - Furniture"/>
    <n v="3736.05"/>
    <n v="3"/>
    <n v="18"/>
    <n v="717.16"/>
  </r>
  <r>
    <s v="ODR00489"/>
    <d v="2025-04-16T00:00:00"/>
    <s v="Kriti Desai"/>
    <s v="South"/>
    <s v="Chennai"/>
    <x v="2"/>
    <x v="5"/>
    <s v="Envelope - Office Supplies"/>
    <n v="7353.8"/>
    <n v="10"/>
    <n v="3"/>
    <n v="455.34"/>
  </r>
  <r>
    <s v="ODR00490"/>
    <d v="2024-05-31T00:00:00"/>
    <s v="Krishna Das"/>
    <s v="South"/>
    <s v="Bangalore"/>
    <x v="1"/>
    <x v="3"/>
    <s v="Cupboard - Furniture"/>
    <n v="1414.56"/>
    <n v="4"/>
    <n v="16"/>
    <n v="234.02"/>
  </r>
  <r>
    <s v="ODR00491"/>
    <d v="2024-09-01T00:00:00"/>
    <s v="Kriti Desai"/>
    <s v="North"/>
    <s v="Jaipur"/>
    <x v="2"/>
    <x v="8"/>
    <s v="Stapler - Office Supplies"/>
    <n v="9984.33"/>
    <n v="9"/>
    <n v="21"/>
    <n v="898.2"/>
  </r>
  <r>
    <s v="ODR00492"/>
    <d v="2024-06-08T00:00:00"/>
    <s v="Tanishq Ghosh"/>
    <s v="South"/>
    <s v="Hyderabad"/>
    <x v="2"/>
    <x v="8"/>
    <s v="Stapler - Office Supplies"/>
    <n v="2103.2600000000002"/>
    <n v="2"/>
    <n v="25"/>
    <n v="99.21"/>
  </r>
  <r>
    <s v="ODR00493"/>
    <d v="2024-08-21T00:00:00"/>
    <s v="Vivaan Shah"/>
    <s v="East"/>
    <s v="Patna"/>
    <x v="0"/>
    <x v="9"/>
    <s v="Mobile - Technology"/>
    <n v="7538.86"/>
    <n v="7"/>
    <n v="13"/>
    <n v="716.85"/>
  </r>
  <r>
    <s v="ODR00494"/>
    <d v="2024-08-27T00:00:00"/>
    <s v="Riya Kapoor"/>
    <s v="South"/>
    <s v="Bangalore"/>
    <x v="0"/>
    <x v="9"/>
    <s v="Mobile - Technology"/>
    <n v="2970.4"/>
    <n v="4"/>
    <n v="6"/>
    <n v="386.71"/>
  </r>
  <r>
    <s v="ODR00495"/>
    <d v="2024-12-29T00:00:00"/>
    <s v="Kabir Nair"/>
    <s v="West"/>
    <s v="Ahmedabad"/>
    <x v="0"/>
    <x v="7"/>
    <s v="Laptop - Technology"/>
    <n v="5463.93"/>
    <n v="3"/>
    <n v="7.0000000000000009"/>
    <n v="754.17"/>
  </r>
  <r>
    <s v="ODR00496"/>
    <d v="2024-12-20T00:00:00"/>
    <s v="Meera Joshi"/>
    <s v="North"/>
    <s v="Chandigarh"/>
    <x v="2"/>
    <x v="10"/>
    <s v="Pen - Office Supplies"/>
    <n v="14389.68"/>
    <n v="8"/>
    <n v="20"/>
    <n v="2077"/>
  </r>
  <r>
    <s v="ODR00497"/>
    <d v="2025-01-05T00:00:00"/>
    <s v="Krishna Das"/>
    <s v="North"/>
    <s v="Jaipur"/>
    <x v="2"/>
    <x v="8"/>
    <s v="Stapler - Office Supplies"/>
    <n v="4511.71"/>
    <n v="7"/>
    <n v="16"/>
    <n v="356.29"/>
  </r>
  <r>
    <s v="ODR00498"/>
    <d v="2024-08-27T00:00:00"/>
    <s v="Krishna Das"/>
    <s v="West"/>
    <s v="Ahmedabad"/>
    <x v="0"/>
    <x v="7"/>
    <s v="Laptop - Technology"/>
    <n v="1581.54"/>
    <n v="6"/>
    <n v="27"/>
    <n v="158.66"/>
  </r>
  <r>
    <s v="ODR00499"/>
    <d v="2025-03-04T00:00:00"/>
    <s v="Tanishq Ghosh"/>
    <s v="North"/>
    <s v="Chandigarh"/>
    <x v="0"/>
    <x v="1"/>
    <s v="Printer - Technology"/>
    <n v="4494.21"/>
    <n v="3"/>
    <n v="26"/>
    <n v="653.80999999999995"/>
  </r>
  <r>
    <s v="ODR00500"/>
    <d v="2024-07-06T00:00:00"/>
    <s v="Meera Joshi"/>
    <s v="South"/>
    <s v="Bangalore"/>
    <x v="0"/>
    <x v="9"/>
    <s v="Mobile - Technology"/>
    <n v="6534.72"/>
    <n v="8"/>
    <n v="1"/>
    <n v="1102.28"/>
  </r>
  <r>
    <s v="ODR00501"/>
    <d v="2024-08-27T00:00:00"/>
    <s v="Diya Sharma"/>
    <s v="West"/>
    <s v="Ahmedabad"/>
    <x v="1"/>
    <x v="11"/>
    <s v="Sofa - Furniture"/>
    <n v="6106.1"/>
    <n v="7"/>
    <n v="14"/>
    <n v="1300.79"/>
  </r>
  <r>
    <s v="ODR00502"/>
    <d v="2024-09-11T00:00:00"/>
    <s v="Ishaan Mehta"/>
    <s v="North"/>
    <s v="Lucknow"/>
    <x v="0"/>
    <x v="0"/>
    <s v="Tablet - Technology"/>
    <n v="2830.18"/>
    <n v="2"/>
    <n v="10"/>
    <n v="175.67"/>
  </r>
  <r>
    <s v="ODR00503"/>
    <d v="2024-08-09T00:00:00"/>
    <s v="Kabir Nair"/>
    <s v="South"/>
    <s v="Bangalore"/>
    <x v="0"/>
    <x v="9"/>
    <s v="Mobile - Technology"/>
    <n v="437.66"/>
    <n v="1"/>
    <n v="19"/>
    <n v="67.23"/>
  </r>
  <r>
    <s v="ODR00504"/>
    <d v="2025-02-22T00:00:00"/>
    <s v="Vivaan Shah"/>
    <s v="East"/>
    <s v="Patna"/>
    <x v="2"/>
    <x v="5"/>
    <s v="Envelope - Office Supplies"/>
    <n v="749.52"/>
    <n v="3"/>
    <n v="29"/>
    <n v="74.08"/>
  </r>
  <r>
    <s v="ODR00505"/>
    <d v="2025-04-10T00:00:00"/>
    <s v="Saanvi Iyer"/>
    <s v="North"/>
    <s v="Chandigarh"/>
    <x v="0"/>
    <x v="0"/>
    <s v="Tablet - Technology"/>
    <n v="8828"/>
    <n v="10"/>
    <n v="13"/>
    <n v="497.23"/>
  </r>
  <r>
    <s v="ODR00506"/>
    <d v="2024-10-15T00:00:00"/>
    <s v="Aarav Patel"/>
    <s v="East"/>
    <s v="Bhubaneswar"/>
    <x v="0"/>
    <x v="1"/>
    <s v="Printer - Technology"/>
    <n v="14981.92"/>
    <n v="8"/>
    <n v="7.0000000000000009"/>
    <n v="2340.39"/>
  </r>
  <r>
    <s v="ODR00507"/>
    <d v="2024-08-10T00:00:00"/>
    <s v="Arjun Verma"/>
    <s v="North"/>
    <s v="Delhi"/>
    <x v="2"/>
    <x v="5"/>
    <s v="Envelope - Office Supplies"/>
    <n v="11329.52"/>
    <n v="8"/>
    <n v="5"/>
    <n v="2116.16"/>
  </r>
  <r>
    <s v="ODR00508"/>
    <d v="2025-01-18T00:00:00"/>
    <s v="Ishaan Mehta"/>
    <s v="South"/>
    <s v="Hyderabad"/>
    <x v="0"/>
    <x v="7"/>
    <s v="Laptop - Technology"/>
    <n v="9266.8799999999992"/>
    <n v="8"/>
    <n v="0"/>
    <n v="1156.0999999999999"/>
  </r>
  <r>
    <s v="ODR00509"/>
    <d v="2024-12-09T00:00:00"/>
    <s v="Yuvraj Chauhan"/>
    <s v="South"/>
    <s v="Hyderabad"/>
    <x v="1"/>
    <x v="4"/>
    <s v="Table - Furniture"/>
    <n v="272.92"/>
    <n v="1"/>
    <n v="28"/>
    <n v="10.89"/>
  </r>
  <r>
    <s v="ODR00510"/>
    <d v="2025-03-29T00:00:00"/>
    <s v="Kriti Desai"/>
    <s v="East"/>
    <s v="Kolkata"/>
    <x v="1"/>
    <x v="11"/>
    <s v="Sofa - Furniture"/>
    <n v="4504.24"/>
    <n v="8"/>
    <n v="17"/>
    <n v="247.2"/>
  </r>
  <r>
    <s v="ODR00511"/>
    <d v="2025-05-11T00:00:00"/>
    <s v="Riya Kapoor"/>
    <s v="North"/>
    <s v="Chandigarh"/>
    <x v="0"/>
    <x v="1"/>
    <s v="Printer - Technology"/>
    <n v="10977.06"/>
    <n v="6"/>
    <n v="25"/>
    <n v="1104.0899999999999"/>
  </r>
  <r>
    <s v="ODR00512"/>
    <d v="2025-02-12T00:00:00"/>
    <s v="Riya Kapoor"/>
    <s v="West"/>
    <s v="Pune"/>
    <x v="2"/>
    <x v="10"/>
    <s v="Pen - Office Supplies"/>
    <n v="2171.56"/>
    <n v="2"/>
    <n v="13"/>
    <n v="280.95999999999998"/>
  </r>
  <r>
    <s v="ODR00513"/>
    <d v="2025-03-22T00:00:00"/>
    <s v="Arjun Verma"/>
    <s v="South"/>
    <s v="Chennai"/>
    <x v="0"/>
    <x v="7"/>
    <s v="Laptop - Technology"/>
    <n v="11193.66"/>
    <n v="6"/>
    <n v="22"/>
    <n v="1395.31"/>
  </r>
  <r>
    <s v="ODR00514"/>
    <d v="2024-07-27T00:00:00"/>
    <s v="Aarav Patel"/>
    <s v="North"/>
    <s v="Jaipur"/>
    <x v="2"/>
    <x v="5"/>
    <s v="Envelope - Office Supplies"/>
    <n v="4010.25"/>
    <n v="3"/>
    <n v="26"/>
    <n v="727.88"/>
  </r>
  <r>
    <s v="ODR00515"/>
    <d v="2024-07-14T00:00:00"/>
    <s v="Ishaan Mehta"/>
    <s v="South"/>
    <s v="Bangalore"/>
    <x v="2"/>
    <x v="8"/>
    <s v="Stapler - Office Supplies"/>
    <n v="4750.32"/>
    <n v="4"/>
    <n v="4"/>
    <n v="734.25"/>
  </r>
  <r>
    <s v="ODR00516"/>
    <d v="2024-10-10T00:00:00"/>
    <s v="Saanvi Iyer"/>
    <s v="South"/>
    <s v="Hyderabad"/>
    <x v="0"/>
    <x v="7"/>
    <s v="Laptop - Technology"/>
    <n v="10634.96"/>
    <n v="7"/>
    <n v="26"/>
    <n v="1835.22"/>
  </r>
  <r>
    <s v="ODR00517"/>
    <d v="2024-10-01T00:00:00"/>
    <s v="Kabir Nair"/>
    <s v="South"/>
    <s v="Chennai"/>
    <x v="2"/>
    <x v="8"/>
    <s v="Stapler - Office Supplies"/>
    <n v="8077.59"/>
    <n v="9"/>
    <n v="14"/>
    <n v="1715"/>
  </r>
  <r>
    <s v="ODR00518"/>
    <d v="2024-08-13T00:00:00"/>
    <s v="Kriti Desai"/>
    <s v="South"/>
    <s v="Hyderabad"/>
    <x v="0"/>
    <x v="9"/>
    <s v="Mobile - Technology"/>
    <n v="6500.83"/>
    <n v="7"/>
    <n v="4"/>
    <n v="487.42"/>
  </r>
  <r>
    <s v="ODR00519"/>
    <d v="2025-04-26T00:00:00"/>
    <s v="Tanishq Ghosh"/>
    <s v="South"/>
    <s v="Bangalore"/>
    <x v="0"/>
    <x v="1"/>
    <s v="Printer - Technology"/>
    <n v="1274.67"/>
    <n v="1"/>
    <n v="29"/>
    <n v="80.58"/>
  </r>
  <r>
    <s v="ODR00520"/>
    <d v="2024-05-20T00:00:00"/>
    <s v="Krishna Das"/>
    <s v="South"/>
    <s v="Chennai"/>
    <x v="0"/>
    <x v="1"/>
    <s v="Printer - Technology"/>
    <n v="691.44"/>
    <n v="1"/>
    <n v="7.0000000000000009"/>
    <n v="70.819999999999993"/>
  </r>
  <r>
    <s v="ODR00521"/>
    <d v="2024-08-18T00:00:00"/>
    <s v="Aarav Patel"/>
    <s v="South"/>
    <s v="Chennai"/>
    <x v="2"/>
    <x v="8"/>
    <s v="Stapler - Office Supplies"/>
    <n v="4727.04"/>
    <n v="8"/>
    <n v="7.0000000000000009"/>
    <n v="897.77"/>
  </r>
  <r>
    <s v="ODR00522"/>
    <d v="2024-10-22T00:00:00"/>
    <s v="Diya Sharma"/>
    <s v="North"/>
    <s v="Chandigarh"/>
    <x v="2"/>
    <x v="8"/>
    <s v="Stapler - Office Supplies"/>
    <n v="1537.62"/>
    <n v="2"/>
    <n v="16"/>
    <n v="200.98"/>
  </r>
  <r>
    <s v="ODR00523"/>
    <d v="2024-08-23T00:00:00"/>
    <s v="Kabir Nair"/>
    <s v="East"/>
    <s v="Bhubaneswar"/>
    <x v="1"/>
    <x v="4"/>
    <s v="Table - Furniture"/>
    <n v="1810.43"/>
    <n v="1"/>
    <n v="23"/>
    <n v="137.33000000000001"/>
  </r>
  <r>
    <s v="ODR00524"/>
    <d v="2025-04-06T00:00:00"/>
    <s v="Saanvi Iyer"/>
    <s v="West"/>
    <s v="Nagpur"/>
    <x v="1"/>
    <x v="11"/>
    <s v="Sofa - Furniture"/>
    <n v="3655.08"/>
    <n v="6"/>
    <n v="24"/>
    <n v="312.39999999999998"/>
  </r>
  <r>
    <s v="ODR00525"/>
    <d v="2024-06-29T00:00:00"/>
    <s v="Sneha Reddy"/>
    <s v="West"/>
    <s v="Nagpur"/>
    <x v="0"/>
    <x v="9"/>
    <s v="Mobile - Technology"/>
    <n v="13777.2"/>
    <n v="8"/>
    <n v="26"/>
    <n v="1489.44"/>
  </r>
  <r>
    <s v="ODR00526"/>
    <d v="2024-06-17T00:00:00"/>
    <s v="Sneha Reddy"/>
    <s v="West"/>
    <s v="Pune"/>
    <x v="1"/>
    <x v="11"/>
    <s v="Sofa - Furniture"/>
    <n v="885.69"/>
    <n v="3"/>
    <n v="9"/>
    <n v="163.4"/>
  </r>
  <r>
    <s v="ODR00527"/>
    <d v="2024-06-10T00:00:00"/>
    <s v="Krishna Das"/>
    <s v="East"/>
    <s v="Kolkata"/>
    <x v="1"/>
    <x v="4"/>
    <s v="Table - Furniture"/>
    <n v="2487.84"/>
    <n v="3"/>
    <n v="14"/>
    <n v="238.19"/>
  </r>
  <r>
    <s v="ODR00528"/>
    <d v="2024-10-16T00:00:00"/>
    <s v="Ishaan Mehta"/>
    <s v="North"/>
    <s v="Lucknow"/>
    <x v="0"/>
    <x v="0"/>
    <s v="Tablet - Technology"/>
    <n v="5495.37"/>
    <n v="3"/>
    <n v="23"/>
    <n v="446.3"/>
  </r>
  <r>
    <s v="ODR00529"/>
    <d v="2024-05-25T00:00:00"/>
    <s v="Arjun Verma"/>
    <s v="West"/>
    <s v="Nagpur"/>
    <x v="0"/>
    <x v="0"/>
    <s v="Tablet - Technology"/>
    <n v="1442.88"/>
    <n v="4"/>
    <n v="26"/>
    <n v="102.37"/>
  </r>
  <r>
    <s v="ODR00530"/>
    <d v="2024-09-08T00:00:00"/>
    <s v="Kriti Desai"/>
    <s v="East"/>
    <s v="Patna"/>
    <x v="2"/>
    <x v="10"/>
    <s v="Pen - Office Supplies"/>
    <n v="2633.13"/>
    <n v="3"/>
    <n v="25"/>
    <n v="115.07"/>
  </r>
  <r>
    <s v="ODR00531"/>
    <d v="2024-11-12T00:00:00"/>
    <s v="Krishna Das"/>
    <s v="North"/>
    <s v="Delhi"/>
    <x v="1"/>
    <x v="11"/>
    <s v="Sofa - Furniture"/>
    <n v="5779.32"/>
    <n v="6"/>
    <n v="22"/>
    <n v="942.97"/>
  </r>
  <r>
    <s v="ODR00532"/>
    <d v="2025-04-14T00:00:00"/>
    <s v="Ishaan Mehta"/>
    <s v="East"/>
    <s v="Kolkata"/>
    <x v="1"/>
    <x v="2"/>
    <s v="Chair - Furniture"/>
    <n v="7465.05"/>
    <n v="9"/>
    <n v="7.0000000000000009"/>
    <n v="1321.87"/>
  </r>
  <r>
    <s v="ODR00533"/>
    <d v="2025-04-08T00:00:00"/>
    <s v="Kabir Nair"/>
    <s v="West"/>
    <s v="Ahmedabad"/>
    <x v="2"/>
    <x v="6"/>
    <s v="Notebook - Office Supplies"/>
    <n v="6946.32"/>
    <n v="8"/>
    <n v="9"/>
    <n v="1002.14"/>
  </r>
  <r>
    <s v="ODR00534"/>
    <d v="2024-12-24T00:00:00"/>
    <s v="Saanvi Iyer"/>
    <s v="East"/>
    <s v="Patna"/>
    <x v="2"/>
    <x v="8"/>
    <s v="Stapler - Office Supplies"/>
    <n v="10411.74"/>
    <n v="9"/>
    <n v="8"/>
    <n v="1770.95"/>
  </r>
  <r>
    <s v="ODR00535"/>
    <d v="2024-12-08T00:00:00"/>
    <s v="Saanvi Iyer"/>
    <s v="East"/>
    <s v="Patna"/>
    <x v="2"/>
    <x v="8"/>
    <s v="Stapler - Office Supplies"/>
    <n v="1582.35"/>
    <n v="7"/>
    <n v="23"/>
    <n v="68.91"/>
  </r>
  <r>
    <s v="ODR00536"/>
    <d v="2024-11-09T00:00:00"/>
    <s v="Diya Sharma"/>
    <s v="South"/>
    <s v="Chennai"/>
    <x v="0"/>
    <x v="1"/>
    <s v="Printer - Technology"/>
    <n v="1563.73"/>
    <n v="7"/>
    <n v="12"/>
    <n v="222.25"/>
  </r>
  <r>
    <s v="ODR00537"/>
    <d v="2024-12-24T00:00:00"/>
    <s v="Saanvi Iyer"/>
    <s v="West"/>
    <s v="Ahmedabad"/>
    <x v="1"/>
    <x v="3"/>
    <s v="Cupboard - Furniture"/>
    <n v="1193.28"/>
    <n v="6"/>
    <n v="24"/>
    <n v="136.03"/>
  </r>
  <r>
    <s v="ODR00538"/>
    <d v="2025-03-01T00:00:00"/>
    <s v="Diya Sharma"/>
    <s v="West"/>
    <s v="Indore"/>
    <x v="0"/>
    <x v="9"/>
    <s v="Mobile - Technology"/>
    <n v="7703.04"/>
    <n v="4"/>
    <n v="9"/>
    <n v="723.5"/>
  </r>
  <r>
    <s v="ODR00539"/>
    <d v="2024-10-08T00:00:00"/>
    <s v="Tanishq Ghosh"/>
    <s v="North"/>
    <s v="Chandigarh"/>
    <x v="0"/>
    <x v="9"/>
    <s v="Mobile - Technology"/>
    <n v="12330.24"/>
    <n v="8"/>
    <n v="8"/>
    <n v="2302.37"/>
  </r>
  <r>
    <s v="ODR00540"/>
    <d v="2025-04-13T00:00:00"/>
    <s v="Meera Joshi"/>
    <s v="North"/>
    <s v="Jaipur"/>
    <x v="1"/>
    <x v="2"/>
    <s v="Chair - Furniture"/>
    <n v="11304.72"/>
    <n v="8"/>
    <n v="7.0000000000000009"/>
    <n v="1564.3"/>
  </r>
  <r>
    <s v="ODR00541"/>
    <d v="2025-01-10T00:00:00"/>
    <s v="Saanvi Iyer"/>
    <s v="North"/>
    <s v="Jaipur"/>
    <x v="2"/>
    <x v="10"/>
    <s v="Pen - Office Supplies"/>
    <n v="3331.86"/>
    <n v="2"/>
    <n v="26"/>
    <n v="357.4"/>
  </r>
  <r>
    <s v="ODR00542"/>
    <d v="2024-11-23T00:00:00"/>
    <s v="Vivaan Shah"/>
    <s v="South"/>
    <s v="Bangalore"/>
    <x v="1"/>
    <x v="11"/>
    <s v="Sofa - Furniture"/>
    <n v="7056.28"/>
    <n v="7"/>
    <n v="28"/>
    <n v="488.69"/>
  </r>
  <r>
    <s v="ODR00543"/>
    <d v="2025-01-09T00:00:00"/>
    <s v="Vivaan Shah"/>
    <s v="West"/>
    <s v="Nagpur"/>
    <x v="0"/>
    <x v="0"/>
    <s v="Tablet - Technology"/>
    <n v="2086.17"/>
    <n v="3"/>
    <n v="3"/>
    <n v="120.58"/>
  </r>
  <r>
    <s v="ODR00544"/>
    <d v="2024-08-03T00:00:00"/>
    <s v="Anaya Singh"/>
    <s v="West"/>
    <s v="Ahmedabad"/>
    <x v="0"/>
    <x v="7"/>
    <s v="Laptop - Technology"/>
    <n v="837.46"/>
    <n v="1"/>
    <n v="25"/>
    <n v="95.36"/>
  </r>
  <r>
    <s v="ODR00545"/>
    <d v="2024-06-07T00:00:00"/>
    <s v="Kabir Nair"/>
    <s v="South"/>
    <s v="Chennai"/>
    <x v="0"/>
    <x v="1"/>
    <s v="Printer - Technology"/>
    <n v="7676.41"/>
    <n v="7"/>
    <n v="29"/>
    <n v="1189.1099999999999"/>
  </r>
  <r>
    <s v="ODR00546"/>
    <d v="2025-04-23T00:00:00"/>
    <s v="Vivaan Shah"/>
    <s v="North"/>
    <s v="Lucknow"/>
    <x v="1"/>
    <x v="3"/>
    <s v="Cupboard - Furniture"/>
    <n v="969.92"/>
    <n v="2"/>
    <n v="11"/>
    <n v="173.87"/>
  </r>
  <r>
    <s v="ODR00547"/>
    <d v="2024-09-15T00:00:00"/>
    <s v="Kriti Desai"/>
    <s v="West"/>
    <s v="Nagpur"/>
    <x v="1"/>
    <x v="2"/>
    <s v="Chair - Furniture"/>
    <n v="12568.68"/>
    <n v="9"/>
    <n v="1"/>
    <n v="1653.34"/>
  </r>
  <r>
    <s v="ODR00548"/>
    <d v="2025-02-26T00:00:00"/>
    <s v="Krishna Das"/>
    <s v="West"/>
    <s v="Ahmedabad"/>
    <x v="0"/>
    <x v="9"/>
    <s v="Mobile - Technology"/>
    <n v="8860.14"/>
    <n v="6"/>
    <n v="4"/>
    <n v="1403.77"/>
  </r>
  <r>
    <s v="ODR00549"/>
    <d v="2025-03-05T00:00:00"/>
    <s v="Saanvi Iyer"/>
    <s v="South"/>
    <s v="Chennai"/>
    <x v="1"/>
    <x v="2"/>
    <s v="Chair - Furniture"/>
    <n v="2646.76"/>
    <n v="2"/>
    <n v="24"/>
    <n v="180.54"/>
  </r>
  <r>
    <s v="ODR00550"/>
    <d v="2025-02-25T00:00:00"/>
    <s v="Ishaan Mehta"/>
    <s v="North"/>
    <s v="Jaipur"/>
    <x v="0"/>
    <x v="1"/>
    <s v="Printer - Technology"/>
    <n v="1081.3"/>
    <n v="5"/>
    <n v="29"/>
    <n v="99.58"/>
  </r>
  <r>
    <s v="ODR00551"/>
    <d v="2024-06-10T00:00:00"/>
    <s v="Meera Joshi"/>
    <s v="West"/>
    <s v="Ahmedabad"/>
    <x v="2"/>
    <x v="6"/>
    <s v="Notebook - Office Supplies"/>
    <n v="17384.400000000001"/>
    <n v="10"/>
    <n v="5"/>
    <n v="1893.67"/>
  </r>
  <r>
    <s v="ODR00552"/>
    <d v="2024-07-18T00:00:00"/>
    <s v="Vivaan Shah"/>
    <s v="North"/>
    <s v="Chandigarh"/>
    <x v="2"/>
    <x v="8"/>
    <s v="Stapler - Office Supplies"/>
    <n v="3729.4"/>
    <n v="4"/>
    <n v="17"/>
    <n v="471.29"/>
  </r>
  <r>
    <s v="ODR00553"/>
    <d v="2024-06-18T00:00:00"/>
    <s v="Kabir Nair"/>
    <s v="North"/>
    <s v="Delhi"/>
    <x v="1"/>
    <x v="3"/>
    <s v="Cupboard - Furniture"/>
    <n v="3866.1"/>
    <n v="5"/>
    <n v="27"/>
    <n v="677.94"/>
  </r>
  <r>
    <s v="ODR00554"/>
    <d v="2024-07-17T00:00:00"/>
    <s v="Aarav Patel"/>
    <s v="North"/>
    <s v="Chandigarh"/>
    <x v="0"/>
    <x v="9"/>
    <s v="Mobile - Technology"/>
    <n v="1176.28"/>
    <n v="7"/>
    <n v="25"/>
    <n v="140.07"/>
  </r>
  <r>
    <s v="ODR00555"/>
    <d v="2024-11-19T00:00:00"/>
    <s v="Arjun Verma"/>
    <s v="North"/>
    <s v="Lucknow"/>
    <x v="2"/>
    <x v="8"/>
    <s v="Stapler - Office Supplies"/>
    <n v="13053.96"/>
    <n v="9"/>
    <n v="1"/>
    <n v="1666.06"/>
  </r>
  <r>
    <s v="ODR00556"/>
    <d v="2025-03-03T00:00:00"/>
    <s v="Ishaan Mehta"/>
    <s v="East"/>
    <s v="Bhubaneswar"/>
    <x v="2"/>
    <x v="5"/>
    <s v="Envelope - Office Supplies"/>
    <n v="442.52"/>
    <n v="1"/>
    <n v="18"/>
    <n v="52.32"/>
  </r>
  <r>
    <s v="ODR00557"/>
    <d v="2024-05-18T00:00:00"/>
    <s v="Saanvi Iyer"/>
    <s v="West"/>
    <s v="Mumbai"/>
    <x v="2"/>
    <x v="6"/>
    <s v="Notebook - Office Supplies"/>
    <n v="936.36"/>
    <n v="2"/>
    <n v="9"/>
    <n v="51.62"/>
  </r>
  <r>
    <s v="ODR00558"/>
    <d v="2025-03-19T00:00:00"/>
    <s v="Arjun Verma"/>
    <s v="East"/>
    <s v="Kolkata"/>
    <x v="2"/>
    <x v="10"/>
    <s v="Pen - Office Supplies"/>
    <n v="1536.12"/>
    <n v="3"/>
    <n v="4"/>
    <n v="214.72"/>
  </r>
  <r>
    <s v="ODR00559"/>
    <d v="2024-08-01T00:00:00"/>
    <s v="Ishaan Mehta"/>
    <s v="West"/>
    <s v="Nagpur"/>
    <x v="0"/>
    <x v="7"/>
    <s v="Laptop - Technology"/>
    <n v="3472.4"/>
    <n v="4"/>
    <n v="7.0000000000000009"/>
    <n v="314.35000000000002"/>
  </r>
  <r>
    <s v="ODR00560"/>
    <d v="2024-06-07T00:00:00"/>
    <s v="Meera Joshi"/>
    <s v="West"/>
    <s v="Ahmedabad"/>
    <x v="1"/>
    <x v="3"/>
    <s v="Cupboard - Furniture"/>
    <n v="4139.75"/>
    <n v="5"/>
    <n v="25"/>
    <n v="667.72"/>
  </r>
  <r>
    <s v="ODR00561"/>
    <d v="2024-08-13T00:00:00"/>
    <s v="Ishaan Mehta"/>
    <s v="North"/>
    <s v="Delhi"/>
    <x v="1"/>
    <x v="3"/>
    <s v="Cupboard - Furniture"/>
    <n v="8556.1"/>
    <n v="5"/>
    <n v="19"/>
    <n v="1058.4000000000001"/>
  </r>
  <r>
    <s v="ODR00562"/>
    <d v="2024-11-08T00:00:00"/>
    <s v="Riya Kapoor"/>
    <s v="East"/>
    <s v="Bhubaneswar"/>
    <x v="1"/>
    <x v="11"/>
    <s v="Sofa - Furniture"/>
    <n v="1400.44"/>
    <n v="4"/>
    <n v="28"/>
    <n v="241.99"/>
  </r>
  <r>
    <s v="ODR00563"/>
    <d v="2024-10-02T00:00:00"/>
    <s v="Meera Joshi"/>
    <s v="West"/>
    <s v="Mumbai"/>
    <x v="1"/>
    <x v="2"/>
    <s v="Chair - Furniture"/>
    <n v="4545.78"/>
    <n v="6"/>
    <n v="7.0000000000000009"/>
    <n v="734.68"/>
  </r>
  <r>
    <s v="ODR00564"/>
    <d v="2025-02-28T00:00:00"/>
    <s v="Aarav Patel"/>
    <s v="South"/>
    <s v="Chennai"/>
    <x v="1"/>
    <x v="11"/>
    <s v="Sofa - Furniture"/>
    <n v="1652.52"/>
    <n v="6"/>
    <n v="5"/>
    <n v="316.77999999999997"/>
  </r>
  <r>
    <s v="ODR00565"/>
    <d v="2024-09-20T00:00:00"/>
    <s v="Saanvi Iyer"/>
    <s v="West"/>
    <s v="Ahmedabad"/>
    <x v="0"/>
    <x v="7"/>
    <s v="Laptop - Technology"/>
    <n v="3630.51"/>
    <n v="9"/>
    <n v="5"/>
    <n v="836.66"/>
  </r>
  <r>
    <s v="ODR00566"/>
    <d v="2024-06-19T00:00:00"/>
    <s v="Meera Joshi"/>
    <s v="South"/>
    <s v="Bangalore"/>
    <x v="0"/>
    <x v="9"/>
    <s v="Mobile - Technology"/>
    <n v="1238.2"/>
    <n v="1"/>
    <n v="15"/>
    <n v="66.989999999999995"/>
  </r>
  <r>
    <s v="ODR00567"/>
    <d v="2024-07-04T00:00:00"/>
    <s v="Kriti Desai"/>
    <s v="West"/>
    <s v="Nagpur"/>
    <x v="1"/>
    <x v="2"/>
    <s v="Chair - Furniture"/>
    <n v="2098.92"/>
    <n v="6"/>
    <n v="24"/>
    <n v="376.02"/>
  </r>
  <r>
    <s v="ODR00568"/>
    <d v="2024-08-01T00:00:00"/>
    <s v="Yuvraj Chauhan"/>
    <s v="East"/>
    <s v="Bhubaneswar"/>
    <x v="2"/>
    <x v="8"/>
    <s v="Stapler - Office Supplies"/>
    <n v="6905.52"/>
    <n v="6"/>
    <n v="21"/>
    <n v="752.44"/>
  </r>
  <r>
    <s v="ODR00569"/>
    <d v="2025-03-16T00:00:00"/>
    <s v="Saanvi Iyer"/>
    <s v="South"/>
    <s v="Bangalore"/>
    <x v="1"/>
    <x v="4"/>
    <s v="Table - Furniture"/>
    <n v="12893.86"/>
    <n v="7"/>
    <n v="3"/>
    <n v="1242.29"/>
  </r>
  <r>
    <s v="ODR00570"/>
    <d v="2024-08-09T00:00:00"/>
    <s v="Aarav Patel"/>
    <s v="East"/>
    <s v="Patna"/>
    <x v="2"/>
    <x v="6"/>
    <s v="Notebook - Office Supplies"/>
    <n v="8175.72"/>
    <n v="7"/>
    <n v="30"/>
    <n v="1221.26"/>
  </r>
  <r>
    <s v="ODR00571"/>
    <d v="2025-03-14T00:00:00"/>
    <s v="Sneha Reddy"/>
    <s v="West"/>
    <s v="Nagpur"/>
    <x v="0"/>
    <x v="0"/>
    <s v="Tablet - Technology"/>
    <n v="4367.93"/>
    <n v="7"/>
    <n v="9"/>
    <n v="823.5"/>
  </r>
  <r>
    <s v="ODR00572"/>
    <d v="2024-09-20T00:00:00"/>
    <s v="Kriti Desai"/>
    <s v="East"/>
    <s v="Kolkata"/>
    <x v="2"/>
    <x v="6"/>
    <s v="Notebook - Office Supplies"/>
    <n v="10519.28"/>
    <n v="8"/>
    <n v="27"/>
    <n v="757.19"/>
  </r>
  <r>
    <s v="ODR00573"/>
    <d v="2024-08-10T00:00:00"/>
    <s v="Aarav Patel"/>
    <s v="North"/>
    <s v="Jaipur"/>
    <x v="2"/>
    <x v="5"/>
    <s v="Envelope - Office Supplies"/>
    <n v="1444.83"/>
    <n v="1"/>
    <n v="21"/>
    <n v="76.34"/>
  </r>
  <r>
    <s v="ODR00574"/>
    <d v="2024-09-29T00:00:00"/>
    <s v="Kriti Desai"/>
    <s v="East"/>
    <s v="Patna"/>
    <x v="1"/>
    <x v="3"/>
    <s v="Cupboard - Furniture"/>
    <n v="3491.76"/>
    <n v="2"/>
    <n v="17"/>
    <n v="338.33"/>
  </r>
  <r>
    <s v="ODR00575"/>
    <d v="2025-02-18T00:00:00"/>
    <s v="Ishaan Mehta"/>
    <s v="East"/>
    <s v="Patna"/>
    <x v="2"/>
    <x v="10"/>
    <s v="Pen - Office Supplies"/>
    <n v="11430.9"/>
    <n v="6"/>
    <n v="11"/>
    <n v="1144.23"/>
  </r>
  <r>
    <s v="ODR00576"/>
    <d v="2024-08-19T00:00:00"/>
    <s v="Kriti Desai"/>
    <s v="East"/>
    <s v="Bhubaneswar"/>
    <x v="2"/>
    <x v="8"/>
    <s v="Stapler - Office Supplies"/>
    <n v="3166.76"/>
    <n v="4"/>
    <n v="21"/>
    <n v="516.66999999999996"/>
  </r>
  <r>
    <s v="ODR00577"/>
    <d v="2025-03-03T00:00:00"/>
    <s v="Krishna Das"/>
    <s v="West"/>
    <s v="Nagpur"/>
    <x v="0"/>
    <x v="7"/>
    <s v="Laptop - Technology"/>
    <n v="856.76"/>
    <n v="1"/>
    <n v="15"/>
    <n v="38.93"/>
  </r>
  <r>
    <s v="ODR00578"/>
    <d v="2025-04-20T00:00:00"/>
    <s v="Arjun Verma"/>
    <s v="West"/>
    <s v="Pune"/>
    <x v="2"/>
    <x v="10"/>
    <s v="Pen - Office Supplies"/>
    <n v="1069.23"/>
    <n v="1"/>
    <n v="17"/>
    <n v="193.82"/>
  </r>
  <r>
    <s v="ODR00579"/>
    <d v="2024-09-08T00:00:00"/>
    <s v="Kabir Nair"/>
    <s v="South"/>
    <s v="Hyderabad"/>
    <x v="2"/>
    <x v="6"/>
    <s v="Notebook - Office Supplies"/>
    <n v="3036.87"/>
    <n v="9"/>
    <n v="4"/>
    <n v="438.58"/>
  </r>
  <r>
    <s v="ODR00580"/>
    <d v="2025-02-02T00:00:00"/>
    <s v="Arjun Verma"/>
    <s v="West"/>
    <s v="Ahmedabad"/>
    <x v="0"/>
    <x v="9"/>
    <s v="Mobile - Technology"/>
    <n v="4858.2299999999996"/>
    <n v="3"/>
    <n v="5"/>
    <n v="404.52"/>
  </r>
  <r>
    <s v="ODR00581"/>
    <d v="2025-04-01T00:00:00"/>
    <s v="Anaya Singh"/>
    <s v="South"/>
    <s v="Chennai"/>
    <x v="1"/>
    <x v="4"/>
    <s v="Table - Furniture"/>
    <n v="10236.66"/>
    <n v="6"/>
    <n v="18"/>
    <n v="1205.33"/>
  </r>
  <r>
    <s v="ODR00582"/>
    <d v="2024-05-29T00:00:00"/>
    <s v="Riya Kapoor"/>
    <s v="South"/>
    <s v="Bangalore"/>
    <x v="1"/>
    <x v="2"/>
    <s v="Chair - Furniture"/>
    <n v="2373.0700000000002"/>
    <n v="7"/>
    <n v="28"/>
    <n v="384.75"/>
  </r>
  <r>
    <s v="ODR00583"/>
    <d v="2025-05-02T00:00:00"/>
    <s v="Vivaan Shah"/>
    <s v="North"/>
    <s v="Delhi"/>
    <x v="1"/>
    <x v="11"/>
    <s v="Sofa - Furniture"/>
    <n v="2021.7"/>
    <n v="3"/>
    <n v="18"/>
    <n v="232.18"/>
  </r>
  <r>
    <s v="ODR00584"/>
    <d v="2024-09-12T00:00:00"/>
    <s v="Aarav Patel"/>
    <s v="East"/>
    <s v="Patna"/>
    <x v="1"/>
    <x v="3"/>
    <s v="Cupboard - Furniture"/>
    <n v="6057.84"/>
    <n v="8"/>
    <n v="10"/>
    <n v="644.24"/>
  </r>
  <r>
    <s v="ODR00585"/>
    <d v="2025-02-19T00:00:00"/>
    <s v="Kabir Nair"/>
    <s v="South"/>
    <s v="Hyderabad"/>
    <x v="2"/>
    <x v="10"/>
    <s v="Pen - Office Supplies"/>
    <n v="7139.45"/>
    <n v="5"/>
    <n v="19"/>
    <n v="1005.84"/>
  </r>
  <r>
    <s v="ODR00586"/>
    <d v="2025-02-26T00:00:00"/>
    <s v="Meera Joshi"/>
    <s v="East"/>
    <s v="Kolkata"/>
    <x v="1"/>
    <x v="11"/>
    <s v="Sofa - Furniture"/>
    <n v="3958.12"/>
    <n v="2"/>
    <n v="27"/>
    <n v="191.19"/>
  </r>
  <r>
    <s v="ODR00587"/>
    <d v="2024-11-12T00:00:00"/>
    <s v="Meera Joshi"/>
    <s v="East"/>
    <s v="Patna"/>
    <x v="1"/>
    <x v="3"/>
    <s v="Cupboard - Furniture"/>
    <n v="7614.9"/>
    <n v="9"/>
    <n v="14"/>
    <n v="1454.45"/>
  </r>
  <r>
    <s v="ODR00588"/>
    <d v="2025-01-19T00:00:00"/>
    <s v="Meera Joshi"/>
    <s v="North"/>
    <s v="Delhi"/>
    <x v="1"/>
    <x v="11"/>
    <s v="Sofa - Furniture"/>
    <n v="11656.89"/>
    <n v="9"/>
    <n v="7.0000000000000009"/>
    <n v="1976.75"/>
  </r>
  <r>
    <s v="ODR00589"/>
    <d v="2024-08-07T00:00:00"/>
    <s v="Anaya Singh"/>
    <s v="West"/>
    <s v="Indore"/>
    <x v="1"/>
    <x v="4"/>
    <s v="Table - Furniture"/>
    <n v="6883.2"/>
    <n v="4"/>
    <n v="8"/>
    <n v="1526.41"/>
  </r>
  <r>
    <s v="ODR00590"/>
    <d v="2024-12-24T00:00:00"/>
    <s v="Krishna Das"/>
    <s v="South"/>
    <s v="Hyderabad"/>
    <x v="2"/>
    <x v="6"/>
    <s v="Notebook - Office Supplies"/>
    <n v="6766.4"/>
    <n v="8"/>
    <n v="12"/>
    <n v="779.13"/>
  </r>
  <r>
    <s v="ODR00591"/>
    <d v="2024-05-20T00:00:00"/>
    <s v="Ishaan Mehta"/>
    <s v="North"/>
    <s v="Delhi"/>
    <x v="1"/>
    <x v="11"/>
    <s v="Sofa - Furniture"/>
    <n v="6433.2"/>
    <n v="6"/>
    <n v="25"/>
    <n v="409.14"/>
  </r>
  <r>
    <s v="ODR00592"/>
    <d v="2025-04-13T00:00:00"/>
    <s v="Kabir Nair"/>
    <s v="West"/>
    <s v="Ahmedabad"/>
    <x v="0"/>
    <x v="0"/>
    <s v="Tablet - Technology"/>
    <n v="1884.54"/>
    <n v="7"/>
    <n v="20"/>
    <n v="248.75"/>
  </r>
  <r>
    <s v="ODR00593"/>
    <d v="2025-04-04T00:00:00"/>
    <s v="Ishaan Mehta"/>
    <s v="North"/>
    <s v="Jaipur"/>
    <x v="0"/>
    <x v="9"/>
    <s v="Mobile - Technology"/>
    <n v="11388"/>
    <n v="8"/>
    <n v="5"/>
    <n v="867.85"/>
  </r>
  <r>
    <s v="ODR00594"/>
    <d v="2024-08-11T00:00:00"/>
    <s v="Aarav Patel"/>
    <s v="West"/>
    <s v="Mumbai"/>
    <x v="2"/>
    <x v="10"/>
    <s v="Pen - Office Supplies"/>
    <n v="13398.88"/>
    <n v="8"/>
    <n v="18"/>
    <n v="2078.2399999999998"/>
  </r>
  <r>
    <s v="ODR00595"/>
    <d v="2025-02-27T00:00:00"/>
    <s v="Vivaan Shah"/>
    <s v="North"/>
    <s v="Jaipur"/>
    <x v="0"/>
    <x v="0"/>
    <s v="Tablet - Technology"/>
    <n v="3769.52"/>
    <n v="2"/>
    <n v="6"/>
    <n v="183.51"/>
  </r>
  <r>
    <s v="ODR00596"/>
    <d v="2024-07-28T00:00:00"/>
    <s v="Kabir Nair"/>
    <s v="East"/>
    <s v="Kolkata"/>
    <x v="0"/>
    <x v="0"/>
    <s v="Tablet - Technology"/>
    <n v="5757.12"/>
    <n v="8"/>
    <n v="16"/>
    <n v="919.56"/>
  </r>
  <r>
    <s v="ODR00597"/>
    <d v="2024-05-16T00:00:00"/>
    <s v="Riya Kapoor"/>
    <s v="East"/>
    <s v="Bhubaneswar"/>
    <x v="0"/>
    <x v="0"/>
    <s v="Tablet - Technology"/>
    <n v="2788.24"/>
    <n v="7"/>
    <n v="7.0000000000000009"/>
    <n v="141.96"/>
  </r>
  <r>
    <s v="ODR00598"/>
    <d v="2024-05-24T00:00:00"/>
    <s v="Yuvraj Chauhan"/>
    <s v="North"/>
    <s v="Chandigarh"/>
    <x v="2"/>
    <x v="10"/>
    <s v="Pen - Office Supplies"/>
    <n v="781.54"/>
    <n v="1"/>
    <n v="24"/>
    <n v="42.9"/>
  </r>
  <r>
    <s v="ODR00599"/>
    <d v="2024-08-02T00:00:00"/>
    <s v="Riya Kapoor"/>
    <s v="East"/>
    <s v="Kolkata"/>
    <x v="0"/>
    <x v="7"/>
    <s v="Laptop - Technology"/>
    <n v="10760.54"/>
    <n v="7"/>
    <n v="23"/>
    <n v="2000.97"/>
  </r>
  <r>
    <s v="ODR00600"/>
    <d v="2024-06-13T00:00:00"/>
    <s v="Vivaan Shah"/>
    <s v="South"/>
    <s v="Chennai"/>
    <x v="0"/>
    <x v="1"/>
    <s v="Printer - Technology"/>
    <n v="2020.76"/>
    <n v="4"/>
    <n v="4"/>
    <n v="426.28"/>
  </r>
  <r>
    <s v="ODR00601"/>
    <d v="2025-02-07T00:00:00"/>
    <s v="Sneha Reddy"/>
    <s v="East"/>
    <s v="Patna"/>
    <x v="1"/>
    <x v="11"/>
    <s v="Sofa - Furniture"/>
    <n v="8489.61"/>
    <n v="9"/>
    <n v="27"/>
    <n v="1169.5999999999999"/>
  </r>
  <r>
    <s v="ODR00602"/>
    <d v="2024-05-21T00:00:00"/>
    <s v="Tanishq Ghosh"/>
    <s v="North"/>
    <s v="Chandigarh"/>
    <x v="1"/>
    <x v="11"/>
    <s v="Sofa - Furniture"/>
    <n v="2632.42"/>
    <n v="2"/>
    <n v="11"/>
    <n v="233"/>
  </r>
  <r>
    <s v="ODR00603"/>
    <d v="2024-05-25T00:00:00"/>
    <s v="Yuvraj Chauhan"/>
    <s v="East"/>
    <s v="Kolkata"/>
    <x v="0"/>
    <x v="7"/>
    <s v="Laptop - Technology"/>
    <n v="17339.7"/>
    <n v="10"/>
    <n v="2"/>
    <n v="1648.2"/>
  </r>
  <r>
    <s v="ODR00604"/>
    <d v="2024-09-30T00:00:00"/>
    <s v="Sneha Reddy"/>
    <s v="East"/>
    <s v="Kolkata"/>
    <x v="1"/>
    <x v="11"/>
    <s v="Sofa - Furniture"/>
    <n v="1460.66"/>
    <n v="1"/>
    <n v="24"/>
    <n v="270.74"/>
  </r>
  <r>
    <s v="ODR00605"/>
    <d v="2024-12-09T00:00:00"/>
    <s v="Sneha Reddy"/>
    <s v="West"/>
    <s v="Indore"/>
    <x v="0"/>
    <x v="9"/>
    <s v="Mobile - Technology"/>
    <n v="1684.83"/>
    <n v="7"/>
    <n v="4"/>
    <n v="149.69"/>
  </r>
  <r>
    <s v="ODR00606"/>
    <d v="2024-11-13T00:00:00"/>
    <s v="Tanishq Ghosh"/>
    <s v="South"/>
    <s v="Chennai"/>
    <x v="1"/>
    <x v="3"/>
    <s v="Cupboard - Furniture"/>
    <n v="1716.78"/>
    <n v="3"/>
    <n v="6"/>
    <n v="358.87"/>
  </r>
  <r>
    <s v="ODR00607"/>
    <d v="2025-04-17T00:00:00"/>
    <s v="Yuvraj Chauhan"/>
    <s v="West"/>
    <s v="Ahmedabad"/>
    <x v="2"/>
    <x v="6"/>
    <s v="Notebook - Office Supplies"/>
    <n v="1598.49"/>
    <n v="1"/>
    <n v="11"/>
    <n v="91.21"/>
  </r>
  <r>
    <s v="ODR00608"/>
    <d v="2024-10-02T00:00:00"/>
    <s v="Saanvi Iyer"/>
    <s v="West"/>
    <s v="Nagpur"/>
    <x v="0"/>
    <x v="0"/>
    <s v="Tablet - Technology"/>
    <n v="5999.95"/>
    <n v="5"/>
    <n v="14"/>
    <n v="1117.8499999999999"/>
  </r>
  <r>
    <s v="ODR00609"/>
    <d v="2024-09-27T00:00:00"/>
    <s v="Vivaan Shah"/>
    <s v="North"/>
    <s v="Delhi"/>
    <x v="0"/>
    <x v="9"/>
    <s v="Mobile - Technology"/>
    <n v="6678"/>
    <n v="8"/>
    <n v="14"/>
    <n v="1076.3599999999999"/>
  </r>
  <r>
    <s v="ODR00610"/>
    <d v="2024-12-28T00:00:00"/>
    <s v="Tanishq Ghosh"/>
    <s v="North"/>
    <s v="Lucknow"/>
    <x v="1"/>
    <x v="11"/>
    <s v="Sofa - Furniture"/>
    <n v="11411.28"/>
    <n v="6"/>
    <n v="1"/>
    <n v="2601.56"/>
  </r>
  <r>
    <s v="ODR00611"/>
    <d v="2024-12-27T00:00:00"/>
    <s v="Kabir Nair"/>
    <s v="East"/>
    <s v="Kolkata"/>
    <x v="2"/>
    <x v="6"/>
    <s v="Notebook - Office Supplies"/>
    <n v="2686.46"/>
    <n v="2"/>
    <n v="20"/>
    <n v="109.91"/>
  </r>
  <r>
    <s v="ODR00612"/>
    <d v="2024-08-03T00:00:00"/>
    <s v="Diya Sharma"/>
    <s v="East"/>
    <s v="Bhubaneswar"/>
    <x v="0"/>
    <x v="9"/>
    <s v="Mobile - Technology"/>
    <n v="6493.45"/>
    <n v="5"/>
    <n v="27"/>
    <n v="335.5"/>
  </r>
  <r>
    <s v="ODR00613"/>
    <d v="2024-10-31T00:00:00"/>
    <s v="Yuvraj Chauhan"/>
    <s v="North"/>
    <s v="Lucknow"/>
    <x v="2"/>
    <x v="10"/>
    <s v="Pen - Office Supplies"/>
    <n v="961.74"/>
    <n v="6"/>
    <n v="19"/>
    <n v="53.96"/>
  </r>
  <r>
    <s v="ODR00614"/>
    <d v="2024-07-29T00:00:00"/>
    <s v="Krishna Das"/>
    <s v="South"/>
    <s v="Hyderabad"/>
    <x v="2"/>
    <x v="10"/>
    <s v="Pen - Office Supplies"/>
    <n v="5743.92"/>
    <n v="4"/>
    <n v="13"/>
    <n v="1236.45"/>
  </r>
  <r>
    <s v="ODR00615"/>
    <d v="2024-05-13T00:00:00"/>
    <s v="Diya Sharma"/>
    <s v="West"/>
    <s v="Indore"/>
    <x v="1"/>
    <x v="2"/>
    <s v="Chair - Furniture"/>
    <n v="4253.7"/>
    <n v="3"/>
    <n v="3"/>
    <n v="818.64"/>
  </r>
  <r>
    <s v="ODR00616"/>
    <d v="2025-04-21T00:00:00"/>
    <s v="Yuvraj Chauhan"/>
    <s v="North"/>
    <s v="Lucknow"/>
    <x v="0"/>
    <x v="1"/>
    <s v="Printer - Technology"/>
    <n v="3986"/>
    <n v="2"/>
    <n v="24"/>
    <n v="546.29999999999995"/>
  </r>
  <r>
    <s v="ODR00617"/>
    <d v="2024-06-22T00:00:00"/>
    <s v="Meera Joshi"/>
    <s v="North"/>
    <s v="Lucknow"/>
    <x v="0"/>
    <x v="7"/>
    <s v="Laptop - Technology"/>
    <n v="795.3"/>
    <n v="1"/>
    <n v="22"/>
    <n v="143.65"/>
  </r>
  <r>
    <s v="ODR00618"/>
    <d v="2024-06-09T00:00:00"/>
    <s v="Anaya Singh"/>
    <s v="North"/>
    <s v="Chandigarh"/>
    <x v="0"/>
    <x v="9"/>
    <s v="Mobile - Technology"/>
    <n v="4142.72"/>
    <n v="8"/>
    <n v="5"/>
    <n v="348.36"/>
  </r>
  <r>
    <s v="ODR00619"/>
    <d v="2024-10-18T00:00:00"/>
    <s v="Riya Kapoor"/>
    <s v="East"/>
    <s v="Kolkata"/>
    <x v="1"/>
    <x v="11"/>
    <s v="Sofa - Furniture"/>
    <n v="2052.88"/>
    <n v="2"/>
    <n v="11"/>
    <n v="284.85000000000002"/>
  </r>
  <r>
    <s v="ODR00620"/>
    <d v="2025-04-24T00:00:00"/>
    <s v="Vivaan Shah"/>
    <s v="South"/>
    <s v="Hyderabad"/>
    <x v="2"/>
    <x v="10"/>
    <s v="Pen - Office Supplies"/>
    <n v="4379.97"/>
    <n v="7"/>
    <n v="29"/>
    <n v="361.35"/>
  </r>
  <r>
    <s v="ODR00621"/>
    <d v="2024-08-27T00:00:00"/>
    <s v="Krishna Das"/>
    <s v="West"/>
    <s v="Pune"/>
    <x v="2"/>
    <x v="10"/>
    <s v="Pen - Office Supplies"/>
    <n v="19417.400000000001"/>
    <n v="10"/>
    <n v="23"/>
    <n v="2752.59"/>
  </r>
  <r>
    <s v="ODR00622"/>
    <d v="2024-11-30T00:00:00"/>
    <s v="Ishaan Mehta"/>
    <s v="West"/>
    <s v="Mumbai"/>
    <x v="2"/>
    <x v="5"/>
    <s v="Envelope - Office Supplies"/>
    <n v="8662.2000000000007"/>
    <n v="10"/>
    <n v="28"/>
    <n v="1372.43"/>
  </r>
  <r>
    <s v="ODR00623"/>
    <d v="2025-04-06T00:00:00"/>
    <s v="Anaya Singh"/>
    <s v="East"/>
    <s v="Bhubaneswar"/>
    <x v="2"/>
    <x v="5"/>
    <s v="Envelope - Office Supplies"/>
    <n v="1542.29"/>
    <n v="1"/>
    <n v="6"/>
    <n v="328.41"/>
  </r>
  <r>
    <s v="ODR00624"/>
    <d v="2024-10-31T00:00:00"/>
    <s v="Kabir Nair"/>
    <s v="East"/>
    <s v="Patna"/>
    <x v="1"/>
    <x v="3"/>
    <s v="Cupboard - Furniture"/>
    <n v="3257.82"/>
    <n v="9"/>
    <n v="15"/>
    <n v="212.09"/>
  </r>
  <r>
    <s v="ODR00625"/>
    <d v="2024-06-11T00:00:00"/>
    <s v="Aarav Patel"/>
    <s v="West"/>
    <s v="Mumbai"/>
    <x v="1"/>
    <x v="2"/>
    <s v="Chair - Furniture"/>
    <n v="3457.2"/>
    <n v="5"/>
    <n v="22"/>
    <n v="259.33999999999997"/>
  </r>
  <r>
    <s v="ODR00626"/>
    <d v="2025-01-30T00:00:00"/>
    <s v="Meera Joshi"/>
    <s v="East"/>
    <s v="Bhubaneswar"/>
    <x v="2"/>
    <x v="6"/>
    <s v="Notebook - Office Supplies"/>
    <n v="5518.32"/>
    <n v="4"/>
    <n v="19"/>
    <n v="785.52"/>
  </r>
  <r>
    <s v="ODR00627"/>
    <d v="2025-02-03T00:00:00"/>
    <s v="Vivaan Shah"/>
    <s v="North"/>
    <s v="Lucknow"/>
    <x v="0"/>
    <x v="9"/>
    <s v="Mobile - Technology"/>
    <n v="4429.28"/>
    <n v="8"/>
    <n v="12"/>
    <n v="800.15"/>
  </r>
  <r>
    <s v="ODR00628"/>
    <d v="2024-08-01T00:00:00"/>
    <s v="Yuvraj Chauhan"/>
    <s v="South"/>
    <s v="Bangalore"/>
    <x v="2"/>
    <x v="6"/>
    <s v="Notebook - Office Supplies"/>
    <n v="1295.57"/>
    <n v="1"/>
    <n v="12"/>
    <n v="72.48"/>
  </r>
  <r>
    <s v="ODR00629"/>
    <d v="2024-11-17T00:00:00"/>
    <s v="Kriti Desai"/>
    <s v="West"/>
    <s v="Pune"/>
    <x v="0"/>
    <x v="1"/>
    <s v="Printer - Technology"/>
    <n v="4256.2"/>
    <n v="5"/>
    <n v="25"/>
    <n v="579.57000000000005"/>
  </r>
  <r>
    <s v="ODR00630"/>
    <d v="2024-10-15T00:00:00"/>
    <s v="Tanishq Ghosh"/>
    <s v="West"/>
    <s v="Mumbai"/>
    <x v="1"/>
    <x v="3"/>
    <s v="Cupboard - Furniture"/>
    <n v="11003.44"/>
    <n v="7"/>
    <n v="13"/>
    <n v="1129.8699999999999"/>
  </r>
  <r>
    <s v="ODR00631"/>
    <d v="2024-12-05T00:00:00"/>
    <s v="Sneha Reddy"/>
    <s v="South"/>
    <s v="Hyderabad"/>
    <x v="2"/>
    <x v="10"/>
    <s v="Pen - Office Supplies"/>
    <n v="4075.35"/>
    <n v="5"/>
    <n v="6"/>
    <n v="417.64"/>
  </r>
  <r>
    <s v="ODR00632"/>
    <d v="2024-11-26T00:00:00"/>
    <s v="Aarav Patel"/>
    <s v="North"/>
    <s v="Delhi"/>
    <x v="1"/>
    <x v="2"/>
    <s v="Chair - Furniture"/>
    <n v="1748.1"/>
    <n v="5"/>
    <n v="27"/>
    <n v="67.69"/>
  </r>
  <r>
    <s v="ODR00633"/>
    <d v="2024-08-22T00:00:00"/>
    <s v="Diya Sharma"/>
    <s v="East"/>
    <s v="Patna"/>
    <x v="1"/>
    <x v="2"/>
    <s v="Chair - Furniture"/>
    <n v="5792.5"/>
    <n v="10"/>
    <n v="16"/>
    <n v="624.83000000000004"/>
  </r>
  <r>
    <s v="ODR00634"/>
    <d v="2024-06-18T00:00:00"/>
    <s v="Tanishq Ghosh"/>
    <s v="East"/>
    <s v="Bhubaneswar"/>
    <x v="2"/>
    <x v="10"/>
    <s v="Pen - Office Supplies"/>
    <n v="16064.5"/>
    <n v="10"/>
    <n v="14"/>
    <n v="2814.72"/>
  </r>
  <r>
    <s v="ODR00635"/>
    <d v="2024-12-14T00:00:00"/>
    <s v="Vivaan Shah"/>
    <s v="West"/>
    <s v="Ahmedabad"/>
    <x v="1"/>
    <x v="2"/>
    <s v="Chair - Furniture"/>
    <n v="4338.24"/>
    <n v="4"/>
    <n v="25"/>
    <n v="478.99"/>
  </r>
  <r>
    <s v="ODR00636"/>
    <d v="2024-06-22T00:00:00"/>
    <s v="Kabir Nair"/>
    <s v="North"/>
    <s v="Delhi"/>
    <x v="1"/>
    <x v="3"/>
    <s v="Cupboard - Furniture"/>
    <n v="1541.85"/>
    <n v="1"/>
    <n v="26"/>
    <n v="92.36"/>
  </r>
  <r>
    <s v="ODR00637"/>
    <d v="2024-05-21T00:00:00"/>
    <s v="Saanvi Iyer"/>
    <s v="North"/>
    <s v="Delhi"/>
    <x v="0"/>
    <x v="1"/>
    <s v="Printer - Technology"/>
    <n v="1259.8599999999999"/>
    <n v="7"/>
    <n v="11"/>
    <n v="152.04"/>
  </r>
  <r>
    <s v="ODR00638"/>
    <d v="2025-03-30T00:00:00"/>
    <s v="Vivaan Shah"/>
    <s v="South"/>
    <s v="Hyderabad"/>
    <x v="0"/>
    <x v="7"/>
    <s v="Laptop - Technology"/>
    <n v="1962.14"/>
    <n v="1"/>
    <n v="16"/>
    <n v="342.14"/>
  </r>
  <r>
    <s v="ODR00639"/>
    <d v="2025-01-14T00:00:00"/>
    <s v="Kabir Nair"/>
    <s v="West"/>
    <s v="Indore"/>
    <x v="2"/>
    <x v="6"/>
    <s v="Notebook - Office Supplies"/>
    <n v="1836.3"/>
    <n v="6"/>
    <n v="3"/>
    <n v="205.32"/>
  </r>
  <r>
    <s v="ODR00640"/>
    <d v="2024-10-16T00:00:00"/>
    <s v="Kabir Nair"/>
    <s v="East"/>
    <s v="Bhubaneswar"/>
    <x v="0"/>
    <x v="0"/>
    <s v="Tablet - Technology"/>
    <n v="2857.02"/>
    <n v="6"/>
    <n v="14"/>
    <n v="588.44000000000005"/>
  </r>
  <r>
    <s v="ODR00641"/>
    <d v="2024-08-20T00:00:00"/>
    <s v="Meera Joshi"/>
    <s v="North"/>
    <s v="Chandigarh"/>
    <x v="0"/>
    <x v="1"/>
    <s v="Printer - Technology"/>
    <n v="3438.66"/>
    <n v="2"/>
    <n v="26"/>
    <n v="335.2"/>
  </r>
  <r>
    <s v="ODR00642"/>
    <d v="2024-11-21T00:00:00"/>
    <s v="Krishna Das"/>
    <s v="West"/>
    <s v="Nagpur"/>
    <x v="0"/>
    <x v="0"/>
    <s v="Tablet - Technology"/>
    <n v="3167.46"/>
    <n v="6"/>
    <n v="20"/>
    <n v="321.82"/>
  </r>
  <r>
    <s v="ODR00643"/>
    <d v="2025-03-28T00:00:00"/>
    <s v="Aarav Patel"/>
    <s v="South"/>
    <s v="Bangalore"/>
    <x v="2"/>
    <x v="5"/>
    <s v="Envelope - Office Supplies"/>
    <n v="4706.6400000000003"/>
    <n v="4"/>
    <n v="22"/>
    <n v="284.01"/>
  </r>
  <r>
    <s v="ODR00644"/>
    <d v="2024-12-13T00:00:00"/>
    <s v="Ishaan Mehta"/>
    <s v="West"/>
    <s v="Ahmedabad"/>
    <x v="1"/>
    <x v="3"/>
    <s v="Cupboard - Furniture"/>
    <n v="3504.84"/>
    <n v="4"/>
    <n v="14"/>
    <n v="196.8"/>
  </r>
  <r>
    <s v="ODR00645"/>
    <d v="2025-05-09T00:00:00"/>
    <s v="Riya Kapoor"/>
    <s v="West"/>
    <s v="Nagpur"/>
    <x v="0"/>
    <x v="1"/>
    <s v="Printer - Technology"/>
    <n v="8740.7199999999993"/>
    <n v="8"/>
    <n v="17"/>
    <n v="506.29"/>
  </r>
  <r>
    <s v="ODR00646"/>
    <d v="2024-12-09T00:00:00"/>
    <s v="Anaya Singh"/>
    <s v="East"/>
    <s v="Bhubaneswar"/>
    <x v="2"/>
    <x v="5"/>
    <s v="Envelope - Office Supplies"/>
    <n v="3478.44"/>
    <n v="3"/>
    <n v="8"/>
    <n v="653.04999999999995"/>
  </r>
  <r>
    <s v="ODR00647"/>
    <d v="2025-03-21T00:00:00"/>
    <s v="Vivaan Shah"/>
    <s v="West"/>
    <s v="Nagpur"/>
    <x v="1"/>
    <x v="2"/>
    <s v="Chair - Furniture"/>
    <n v="5088.42"/>
    <n v="3"/>
    <n v="8"/>
    <n v="326.14"/>
  </r>
  <r>
    <s v="ODR00648"/>
    <d v="2025-01-19T00:00:00"/>
    <s v="Sneha Reddy"/>
    <s v="West"/>
    <s v="Indore"/>
    <x v="1"/>
    <x v="4"/>
    <s v="Table - Furniture"/>
    <n v="1832.31"/>
    <n v="3"/>
    <n v="12"/>
    <n v="290.74"/>
  </r>
  <r>
    <s v="ODR00649"/>
    <d v="2024-10-03T00:00:00"/>
    <s v="Meera Joshi"/>
    <s v="West"/>
    <s v="Nagpur"/>
    <x v="1"/>
    <x v="4"/>
    <s v="Table - Furniture"/>
    <n v="794.83"/>
    <n v="1"/>
    <n v="11"/>
    <n v="173.66"/>
  </r>
  <r>
    <s v="ODR00650"/>
    <d v="2025-02-23T00:00:00"/>
    <s v="Saanvi Iyer"/>
    <s v="South"/>
    <s v="Bangalore"/>
    <x v="2"/>
    <x v="8"/>
    <s v="Stapler - Office Supplies"/>
    <n v="959.22"/>
    <n v="6"/>
    <n v="17"/>
    <n v="133.4"/>
  </r>
  <r>
    <s v="ODR00651"/>
    <d v="2025-03-28T00:00:00"/>
    <s v="Riya Kapoor"/>
    <s v="North"/>
    <s v="Lucknow"/>
    <x v="1"/>
    <x v="3"/>
    <s v="Cupboard - Furniture"/>
    <n v="519.83000000000004"/>
    <n v="1"/>
    <n v="15"/>
    <n v="70.459999999999994"/>
  </r>
  <r>
    <s v="ODR00652"/>
    <d v="2025-04-26T00:00:00"/>
    <s v="Krishna Das"/>
    <s v="East"/>
    <s v="Bhubaneswar"/>
    <x v="1"/>
    <x v="4"/>
    <s v="Table - Furniture"/>
    <n v="1648.8"/>
    <n v="10"/>
    <n v="4"/>
    <n v="140.06"/>
  </r>
  <r>
    <s v="ODR00653"/>
    <d v="2024-06-16T00:00:00"/>
    <s v="Saanvi Iyer"/>
    <s v="East"/>
    <s v="Bhubaneswar"/>
    <x v="2"/>
    <x v="6"/>
    <s v="Notebook - Office Supplies"/>
    <n v="11750.76"/>
    <n v="6"/>
    <n v="9"/>
    <n v="1978.88"/>
  </r>
  <r>
    <s v="ODR00654"/>
    <d v="2024-08-28T00:00:00"/>
    <s v="Sneha Reddy"/>
    <s v="North"/>
    <s v="Chandigarh"/>
    <x v="2"/>
    <x v="6"/>
    <s v="Notebook - Office Supplies"/>
    <n v="2755.54"/>
    <n v="2"/>
    <n v="18"/>
    <n v="218.5"/>
  </r>
  <r>
    <s v="ODR00655"/>
    <d v="2024-11-26T00:00:00"/>
    <s v="Yuvraj Chauhan"/>
    <s v="South"/>
    <s v="Chennai"/>
    <x v="1"/>
    <x v="4"/>
    <s v="Table - Furniture"/>
    <n v="11043.09"/>
    <n v="9"/>
    <n v="16"/>
    <n v="573.4"/>
  </r>
  <r>
    <s v="ODR00656"/>
    <d v="2024-08-19T00:00:00"/>
    <s v="Diya Sharma"/>
    <s v="East"/>
    <s v="Patna"/>
    <x v="2"/>
    <x v="10"/>
    <s v="Pen - Office Supplies"/>
    <n v="2290.83"/>
    <n v="3"/>
    <n v="9"/>
    <n v="187.52"/>
  </r>
  <r>
    <s v="ODR00657"/>
    <d v="2025-02-13T00:00:00"/>
    <s v="Riya Kapoor"/>
    <s v="South"/>
    <s v="Chennai"/>
    <x v="1"/>
    <x v="4"/>
    <s v="Table - Furniture"/>
    <n v="3224.28"/>
    <n v="6"/>
    <n v="11"/>
    <n v="413.26"/>
  </r>
  <r>
    <s v="ODR00658"/>
    <d v="2025-05-09T00:00:00"/>
    <s v="Arjun Verma"/>
    <s v="East"/>
    <s v="Kolkata"/>
    <x v="1"/>
    <x v="2"/>
    <s v="Chair - Furniture"/>
    <n v="15193.6"/>
    <n v="10"/>
    <n v="27"/>
    <n v="1693.93"/>
  </r>
  <r>
    <s v="ODR00659"/>
    <d v="2024-05-26T00:00:00"/>
    <s v="Kabir Nair"/>
    <s v="West"/>
    <s v="Nagpur"/>
    <x v="2"/>
    <x v="8"/>
    <s v="Stapler - Office Supplies"/>
    <n v="4082.94"/>
    <n v="9"/>
    <n v="7.0000000000000009"/>
    <n v="803.66"/>
  </r>
  <r>
    <s v="ODR00660"/>
    <d v="2024-12-01T00:00:00"/>
    <s v="Kabir Nair"/>
    <s v="South"/>
    <s v="Chennai"/>
    <x v="2"/>
    <x v="8"/>
    <s v="Stapler - Office Supplies"/>
    <n v="17802.45"/>
    <n v="9"/>
    <n v="6"/>
    <n v="3892.55"/>
  </r>
  <r>
    <s v="ODR00661"/>
    <d v="2024-09-21T00:00:00"/>
    <s v="Riya Kapoor"/>
    <s v="South"/>
    <s v="Bangalore"/>
    <x v="2"/>
    <x v="5"/>
    <s v="Envelope - Office Supplies"/>
    <n v="7840.32"/>
    <n v="4"/>
    <n v="22"/>
    <n v="499.78"/>
  </r>
  <r>
    <s v="ODR00662"/>
    <d v="2025-03-24T00:00:00"/>
    <s v="Aarav Patel"/>
    <s v="East"/>
    <s v="Patna"/>
    <x v="2"/>
    <x v="8"/>
    <s v="Stapler - Office Supplies"/>
    <n v="11398.16"/>
    <n v="8"/>
    <n v="15"/>
    <n v="1723.1"/>
  </r>
  <r>
    <s v="ODR00663"/>
    <d v="2024-06-17T00:00:00"/>
    <s v="Krishna Das"/>
    <s v="North"/>
    <s v="Chandigarh"/>
    <x v="0"/>
    <x v="9"/>
    <s v="Mobile - Technology"/>
    <n v="4837.5"/>
    <n v="10"/>
    <n v="2"/>
    <n v="256.85000000000002"/>
  </r>
  <r>
    <s v="ODR00664"/>
    <d v="2024-11-14T00:00:00"/>
    <s v="Krishna Das"/>
    <s v="East"/>
    <s v="Kolkata"/>
    <x v="1"/>
    <x v="2"/>
    <s v="Chair - Furniture"/>
    <n v="3542.05"/>
    <n v="5"/>
    <n v="7.0000000000000009"/>
    <n v="521.67999999999995"/>
  </r>
  <r>
    <s v="ODR00665"/>
    <d v="2025-01-23T00:00:00"/>
    <s v="Kabir Nair"/>
    <s v="West"/>
    <s v="Indore"/>
    <x v="0"/>
    <x v="0"/>
    <s v="Tablet - Technology"/>
    <n v="740.57"/>
    <n v="1"/>
    <n v="2"/>
    <n v="160.55000000000001"/>
  </r>
  <r>
    <s v="ODR00666"/>
    <d v="2025-04-17T00:00:00"/>
    <s v="Saanvi Iyer"/>
    <s v="West"/>
    <s v="Mumbai"/>
    <x v="2"/>
    <x v="6"/>
    <s v="Notebook - Office Supplies"/>
    <n v="3839.38"/>
    <n v="2"/>
    <n v="4"/>
    <n v="893.26"/>
  </r>
  <r>
    <s v="ODR00667"/>
    <d v="2025-03-03T00:00:00"/>
    <s v="Diya Sharma"/>
    <s v="East"/>
    <s v="Patna"/>
    <x v="2"/>
    <x v="5"/>
    <s v="Envelope - Office Supplies"/>
    <n v="12652.32"/>
    <n v="8"/>
    <n v="25"/>
    <n v="1349.14"/>
  </r>
  <r>
    <s v="ODR00668"/>
    <d v="2025-02-28T00:00:00"/>
    <s v="Kriti Desai"/>
    <s v="South"/>
    <s v="Chennai"/>
    <x v="2"/>
    <x v="10"/>
    <s v="Pen - Office Supplies"/>
    <n v="3580.86"/>
    <n v="3"/>
    <n v="12"/>
    <n v="510.73"/>
  </r>
  <r>
    <s v="ODR00669"/>
    <d v="2024-08-17T00:00:00"/>
    <s v="Meera Joshi"/>
    <s v="North"/>
    <s v="Delhi"/>
    <x v="2"/>
    <x v="6"/>
    <s v="Notebook - Office Supplies"/>
    <n v="870.48"/>
    <n v="3"/>
    <n v="22"/>
    <n v="74.239999999999995"/>
  </r>
  <r>
    <s v="ODR00670"/>
    <d v="2024-06-16T00:00:00"/>
    <s v="Kabir Nair"/>
    <s v="South"/>
    <s v="Bangalore"/>
    <x v="0"/>
    <x v="1"/>
    <s v="Printer - Technology"/>
    <n v="7080"/>
    <n v="10"/>
    <n v="12"/>
    <n v="839.27"/>
  </r>
  <r>
    <s v="ODR00671"/>
    <d v="2024-07-19T00:00:00"/>
    <s v="Anaya Singh"/>
    <s v="South"/>
    <s v="Chennai"/>
    <x v="0"/>
    <x v="0"/>
    <s v="Tablet - Technology"/>
    <n v="3597.22"/>
    <n v="2"/>
    <n v="2"/>
    <n v="501.27"/>
  </r>
  <r>
    <s v="ODR00672"/>
    <d v="2024-09-26T00:00:00"/>
    <s v="Meera Joshi"/>
    <s v="North"/>
    <s v="Chandigarh"/>
    <x v="2"/>
    <x v="5"/>
    <s v="Envelope - Office Supplies"/>
    <n v="2567.1"/>
    <n v="2"/>
    <n v="3"/>
    <n v="465.37"/>
  </r>
  <r>
    <s v="ODR00673"/>
    <d v="2024-06-16T00:00:00"/>
    <s v="Saanvi Iyer"/>
    <s v="East"/>
    <s v="Bhubaneswar"/>
    <x v="1"/>
    <x v="4"/>
    <s v="Table - Furniture"/>
    <n v="10719.06"/>
    <n v="6"/>
    <n v="18"/>
    <n v="1665.32"/>
  </r>
  <r>
    <s v="ODR00674"/>
    <d v="2024-07-30T00:00:00"/>
    <s v="Anaya Singh"/>
    <s v="West"/>
    <s v="Ahmedabad"/>
    <x v="2"/>
    <x v="5"/>
    <s v="Envelope - Office Supplies"/>
    <n v="7946.1"/>
    <n v="10"/>
    <n v="27"/>
    <n v="799.37"/>
  </r>
  <r>
    <s v="ODR00675"/>
    <d v="2025-02-27T00:00:00"/>
    <s v="Yuvraj Chauhan"/>
    <s v="West"/>
    <s v="Ahmedabad"/>
    <x v="1"/>
    <x v="11"/>
    <s v="Sofa - Furniture"/>
    <n v="800.15"/>
    <n v="1"/>
    <n v="29"/>
    <n v="74.14"/>
  </r>
  <r>
    <s v="ODR00676"/>
    <d v="2024-12-05T00:00:00"/>
    <s v="Tanishq Ghosh"/>
    <s v="North"/>
    <s v="Lucknow"/>
    <x v="0"/>
    <x v="7"/>
    <s v="Laptop - Technology"/>
    <n v="1962.31"/>
    <n v="7"/>
    <n v="17"/>
    <n v="88.93"/>
  </r>
  <r>
    <s v="ODR00677"/>
    <d v="2024-09-17T00:00:00"/>
    <s v="Arjun Verma"/>
    <s v="West"/>
    <s v="Nagpur"/>
    <x v="1"/>
    <x v="2"/>
    <s v="Chair - Furniture"/>
    <n v="5341.23"/>
    <n v="3"/>
    <n v="18"/>
    <n v="588.92999999999995"/>
  </r>
  <r>
    <s v="ODR00678"/>
    <d v="2025-01-19T00:00:00"/>
    <s v="Sneha Reddy"/>
    <s v="East"/>
    <s v="Patna"/>
    <x v="1"/>
    <x v="3"/>
    <s v="Cupboard - Furniture"/>
    <n v="4656.3500000000004"/>
    <n v="5"/>
    <n v="18"/>
    <n v="293.39"/>
  </r>
  <r>
    <s v="ODR00679"/>
    <d v="2025-03-09T00:00:00"/>
    <s v="Anaya Singh"/>
    <s v="South"/>
    <s v="Hyderabad"/>
    <x v="1"/>
    <x v="2"/>
    <s v="Chair - Furniture"/>
    <n v="2345.2199999999998"/>
    <n v="2"/>
    <n v="17"/>
    <n v="472.29"/>
  </r>
  <r>
    <s v="ODR00680"/>
    <d v="2024-11-26T00:00:00"/>
    <s v="Yuvraj Chauhan"/>
    <s v="South"/>
    <s v="Hyderabad"/>
    <x v="1"/>
    <x v="3"/>
    <s v="Cupboard - Furniture"/>
    <n v="2666.49"/>
    <n v="3"/>
    <n v="3"/>
    <n v="300.47000000000003"/>
  </r>
  <r>
    <s v="ODR00681"/>
    <d v="2024-09-03T00:00:00"/>
    <s v="Anaya Singh"/>
    <s v="South"/>
    <s v="Bangalore"/>
    <x v="0"/>
    <x v="1"/>
    <s v="Printer - Technology"/>
    <n v="541.16"/>
    <n v="4"/>
    <n v="7.0000000000000009"/>
    <n v="53.38"/>
  </r>
  <r>
    <s v="ODR00682"/>
    <d v="2025-05-05T00:00:00"/>
    <s v="Meera Joshi"/>
    <s v="South"/>
    <s v="Bangalore"/>
    <x v="0"/>
    <x v="7"/>
    <s v="Laptop - Technology"/>
    <n v="2959.17"/>
    <n v="3"/>
    <n v="22"/>
    <n v="179.4"/>
  </r>
  <r>
    <s v="ODR00683"/>
    <d v="2025-02-21T00:00:00"/>
    <s v="Aarav Patel"/>
    <s v="South"/>
    <s v="Chennai"/>
    <x v="2"/>
    <x v="10"/>
    <s v="Pen - Office Supplies"/>
    <n v="12937.6"/>
    <n v="10"/>
    <n v="9"/>
    <n v="910.9"/>
  </r>
  <r>
    <s v="ODR00684"/>
    <d v="2025-04-14T00:00:00"/>
    <s v="Meera Joshi"/>
    <s v="West"/>
    <s v="Ahmedabad"/>
    <x v="2"/>
    <x v="10"/>
    <s v="Pen - Office Supplies"/>
    <n v="11775.9"/>
    <n v="6"/>
    <n v="27"/>
    <n v="1197.94"/>
  </r>
  <r>
    <s v="ODR00685"/>
    <d v="2025-03-30T00:00:00"/>
    <s v="Ishaan Mehta"/>
    <s v="East"/>
    <s v="Bhubaneswar"/>
    <x v="2"/>
    <x v="5"/>
    <s v="Envelope - Office Supplies"/>
    <n v="5024.08"/>
    <n v="4"/>
    <n v="13"/>
    <n v="705.7"/>
  </r>
  <r>
    <s v="ODR00686"/>
    <d v="2024-11-26T00:00:00"/>
    <s v="Arjun Verma"/>
    <s v="West"/>
    <s v="Mumbai"/>
    <x v="1"/>
    <x v="2"/>
    <s v="Chair - Furniture"/>
    <n v="9625.52"/>
    <n v="8"/>
    <n v="3"/>
    <n v="539.09"/>
  </r>
  <r>
    <s v="ODR00687"/>
    <d v="2025-02-14T00:00:00"/>
    <s v="Tanishq Ghosh"/>
    <s v="East"/>
    <s v="Bhubaneswar"/>
    <x v="2"/>
    <x v="10"/>
    <s v="Pen - Office Supplies"/>
    <n v="727.42"/>
    <n v="1"/>
    <n v="12"/>
    <n v="55.51"/>
  </r>
  <r>
    <s v="ODR00688"/>
    <d v="2024-07-12T00:00:00"/>
    <s v="Arjun Verma"/>
    <s v="South"/>
    <s v="Bangalore"/>
    <x v="0"/>
    <x v="9"/>
    <s v="Mobile - Technology"/>
    <n v="318.62"/>
    <n v="2"/>
    <n v="16"/>
    <n v="44.92"/>
  </r>
  <r>
    <s v="ODR00689"/>
    <d v="2024-06-19T00:00:00"/>
    <s v="Krishna Das"/>
    <s v="North"/>
    <s v="Delhi"/>
    <x v="0"/>
    <x v="7"/>
    <s v="Laptop - Technology"/>
    <n v="4790.08"/>
    <n v="4"/>
    <n v="9"/>
    <n v="262.10000000000002"/>
  </r>
  <r>
    <s v="ODR00690"/>
    <d v="2024-10-06T00:00:00"/>
    <s v="Arjun Verma"/>
    <s v="West"/>
    <s v="Nagpur"/>
    <x v="0"/>
    <x v="9"/>
    <s v="Mobile - Technology"/>
    <n v="13613.46"/>
    <n v="7"/>
    <n v="17"/>
    <n v="2292.65"/>
  </r>
  <r>
    <s v="ODR00691"/>
    <d v="2024-11-01T00:00:00"/>
    <s v="Ishaan Mehta"/>
    <s v="West"/>
    <s v="Ahmedabad"/>
    <x v="2"/>
    <x v="10"/>
    <s v="Pen - Office Supplies"/>
    <n v="1723.04"/>
    <n v="4"/>
    <n v="9"/>
    <n v="363.38"/>
  </r>
  <r>
    <s v="ODR00692"/>
    <d v="2024-08-01T00:00:00"/>
    <s v="Krishna Das"/>
    <s v="South"/>
    <s v="Bangalore"/>
    <x v="1"/>
    <x v="3"/>
    <s v="Cupboard - Furniture"/>
    <n v="17058.599999999999"/>
    <n v="9"/>
    <n v="23"/>
    <n v="1184.94"/>
  </r>
  <r>
    <s v="ODR00693"/>
    <d v="2024-06-03T00:00:00"/>
    <s v="Kabir Nair"/>
    <s v="East"/>
    <s v="Patna"/>
    <x v="2"/>
    <x v="5"/>
    <s v="Envelope - Office Supplies"/>
    <n v="11789.61"/>
    <n v="7"/>
    <n v="18"/>
    <n v="876.45"/>
  </r>
  <r>
    <s v="ODR00694"/>
    <d v="2025-01-20T00:00:00"/>
    <s v="Krishna Das"/>
    <s v="South"/>
    <s v="Bangalore"/>
    <x v="1"/>
    <x v="2"/>
    <s v="Chair - Furniture"/>
    <n v="5344.32"/>
    <n v="3"/>
    <n v="12"/>
    <n v="659.67"/>
  </r>
  <r>
    <s v="ODR00695"/>
    <d v="2024-12-27T00:00:00"/>
    <s v="Ishaan Mehta"/>
    <s v="East"/>
    <s v="Patna"/>
    <x v="1"/>
    <x v="4"/>
    <s v="Table - Furniture"/>
    <n v="605.1"/>
    <n v="5"/>
    <n v="21"/>
    <n v="55.69"/>
  </r>
  <r>
    <s v="ODR00696"/>
    <d v="2025-04-08T00:00:00"/>
    <s v="Sneha Reddy"/>
    <s v="North"/>
    <s v="Delhi"/>
    <x v="2"/>
    <x v="10"/>
    <s v="Pen - Office Supplies"/>
    <n v="6667.57"/>
    <n v="7"/>
    <n v="8"/>
    <n v="989.97"/>
  </r>
  <r>
    <s v="ODR00697"/>
    <d v="2025-02-25T00:00:00"/>
    <s v="Diya Sharma"/>
    <s v="South"/>
    <s v="Hyderabad"/>
    <x v="0"/>
    <x v="0"/>
    <s v="Tablet - Technology"/>
    <n v="5276.11"/>
    <n v="7"/>
    <n v="10"/>
    <n v="675.83"/>
  </r>
  <r>
    <s v="ODR00698"/>
    <d v="2024-08-06T00:00:00"/>
    <s v="Meera Joshi"/>
    <s v="South"/>
    <s v="Hyderabad"/>
    <x v="0"/>
    <x v="7"/>
    <s v="Laptop - Technology"/>
    <n v="9638.65"/>
    <n v="7"/>
    <n v="21"/>
    <n v="1586.64"/>
  </r>
  <r>
    <s v="ODR00699"/>
    <d v="2025-04-05T00:00:00"/>
    <s v="Krishna Das"/>
    <s v="North"/>
    <s v="Jaipur"/>
    <x v="1"/>
    <x v="3"/>
    <s v="Cupboard - Furniture"/>
    <n v="6034.68"/>
    <n v="6"/>
    <n v="17"/>
    <n v="946.33"/>
  </r>
  <r>
    <s v="ODR00700"/>
    <d v="2025-02-03T00:00:00"/>
    <s v="Diya Sharma"/>
    <s v="North"/>
    <s v="Jaipur"/>
    <x v="0"/>
    <x v="1"/>
    <s v="Printer - Technology"/>
    <n v="2456.86"/>
    <n v="7"/>
    <n v="1"/>
    <n v="226.08"/>
  </r>
  <r>
    <s v="ODR00701"/>
    <d v="2024-09-16T00:00:00"/>
    <s v="Saanvi Iyer"/>
    <s v="West"/>
    <s v="Indore"/>
    <x v="0"/>
    <x v="1"/>
    <s v="Printer - Technology"/>
    <n v="8436.33"/>
    <n v="7"/>
    <n v="5"/>
    <n v="1680.98"/>
  </r>
  <r>
    <s v="ODR00702"/>
    <d v="2024-05-28T00:00:00"/>
    <s v="Anaya Singh"/>
    <s v="East"/>
    <s v="Bhubaneswar"/>
    <x v="2"/>
    <x v="8"/>
    <s v="Stapler - Office Supplies"/>
    <n v="1277.92"/>
    <n v="2"/>
    <n v="6"/>
    <n v="182.53"/>
  </r>
  <r>
    <s v="ODR00703"/>
    <d v="2025-04-25T00:00:00"/>
    <s v="Meera Joshi"/>
    <s v="West"/>
    <s v="Indore"/>
    <x v="0"/>
    <x v="9"/>
    <s v="Mobile - Technology"/>
    <n v="6384.69"/>
    <n v="9"/>
    <n v="21"/>
    <n v="305.61"/>
  </r>
  <r>
    <s v="ODR00704"/>
    <d v="2024-08-17T00:00:00"/>
    <s v="Anaya Singh"/>
    <s v="East"/>
    <s v="Patna"/>
    <x v="2"/>
    <x v="10"/>
    <s v="Pen - Office Supplies"/>
    <n v="2963.08"/>
    <n v="2"/>
    <n v="6"/>
    <n v="690.45"/>
  </r>
  <r>
    <s v="ODR00705"/>
    <d v="2025-02-11T00:00:00"/>
    <s v="Riya Kapoor"/>
    <s v="North"/>
    <s v="Jaipur"/>
    <x v="1"/>
    <x v="3"/>
    <s v="Cupboard - Furniture"/>
    <n v="7077.76"/>
    <n v="8"/>
    <n v="28"/>
    <n v="794.85"/>
  </r>
  <r>
    <s v="ODR00706"/>
    <d v="2025-01-11T00:00:00"/>
    <s v="Vivaan Shah"/>
    <s v="South"/>
    <s v="Chennai"/>
    <x v="2"/>
    <x v="10"/>
    <s v="Pen - Office Supplies"/>
    <n v="1605.16"/>
    <n v="1"/>
    <n v="19"/>
    <n v="300.94"/>
  </r>
  <r>
    <s v="ODR00707"/>
    <d v="2025-05-05T00:00:00"/>
    <s v="Sneha Reddy"/>
    <s v="West"/>
    <s v="Mumbai"/>
    <x v="0"/>
    <x v="9"/>
    <s v="Mobile - Technology"/>
    <n v="2792.44"/>
    <n v="2"/>
    <n v="12"/>
    <n v="500.35"/>
  </r>
  <r>
    <s v="ODR00708"/>
    <d v="2024-10-09T00:00:00"/>
    <s v="Sneha Reddy"/>
    <s v="North"/>
    <s v="Delhi"/>
    <x v="0"/>
    <x v="7"/>
    <s v="Laptop - Technology"/>
    <n v="9324.4"/>
    <n v="10"/>
    <n v="6"/>
    <n v="1754.87"/>
  </r>
  <r>
    <s v="ODR00709"/>
    <d v="2025-04-06T00:00:00"/>
    <s v="Aarav Patel"/>
    <s v="South"/>
    <s v="Bangalore"/>
    <x v="1"/>
    <x v="2"/>
    <s v="Chair - Furniture"/>
    <n v="6054.3"/>
    <n v="5"/>
    <n v="11"/>
    <n v="502.63"/>
  </r>
  <r>
    <s v="ODR00710"/>
    <d v="2025-03-21T00:00:00"/>
    <s v="Krishna Das"/>
    <s v="South"/>
    <s v="Hyderabad"/>
    <x v="0"/>
    <x v="0"/>
    <s v="Tablet - Technology"/>
    <n v="14239.04"/>
    <n v="8"/>
    <n v="24"/>
    <n v="552.21"/>
  </r>
  <r>
    <s v="ODR00711"/>
    <d v="2025-03-26T00:00:00"/>
    <s v="Anaya Singh"/>
    <s v="South"/>
    <s v="Chennai"/>
    <x v="0"/>
    <x v="7"/>
    <s v="Laptop - Technology"/>
    <n v="19512.599999999999"/>
    <n v="10"/>
    <n v="18"/>
    <n v="1091.53"/>
  </r>
  <r>
    <s v="ODR00712"/>
    <d v="2025-01-02T00:00:00"/>
    <s v="Diya Sharma"/>
    <s v="North"/>
    <s v="Jaipur"/>
    <x v="2"/>
    <x v="5"/>
    <s v="Envelope - Office Supplies"/>
    <n v="7368.66"/>
    <n v="6"/>
    <n v="28"/>
    <n v="983.75"/>
  </r>
  <r>
    <s v="ODR00713"/>
    <d v="2025-03-06T00:00:00"/>
    <s v="Krishna Das"/>
    <s v="East"/>
    <s v="Kolkata"/>
    <x v="2"/>
    <x v="10"/>
    <s v="Pen - Office Supplies"/>
    <n v="7462.08"/>
    <n v="4"/>
    <n v="25"/>
    <n v="805.92"/>
  </r>
  <r>
    <s v="ODR00714"/>
    <d v="2024-08-08T00:00:00"/>
    <s v="Saanvi Iyer"/>
    <s v="East"/>
    <s v="Kolkata"/>
    <x v="2"/>
    <x v="5"/>
    <s v="Envelope - Office Supplies"/>
    <n v="4548.18"/>
    <n v="3"/>
    <n v="16"/>
    <n v="399.48"/>
  </r>
  <r>
    <s v="ODR00715"/>
    <d v="2025-03-04T00:00:00"/>
    <s v="Riya Kapoor"/>
    <s v="North"/>
    <s v="Lucknow"/>
    <x v="0"/>
    <x v="9"/>
    <s v="Mobile - Technology"/>
    <n v="1063.07"/>
    <n v="1"/>
    <n v="26"/>
    <n v="111.51"/>
  </r>
  <r>
    <s v="ODR00716"/>
    <d v="2025-01-26T00:00:00"/>
    <s v="Tanishq Ghosh"/>
    <s v="South"/>
    <s v="Bangalore"/>
    <x v="0"/>
    <x v="1"/>
    <s v="Printer - Technology"/>
    <n v="3950.3"/>
    <n v="10"/>
    <n v="11"/>
    <n v="200.27"/>
  </r>
  <r>
    <s v="ODR00717"/>
    <d v="2024-05-12T00:00:00"/>
    <s v="Arjun Verma"/>
    <s v="North"/>
    <s v="Lucknow"/>
    <x v="1"/>
    <x v="3"/>
    <s v="Cupboard - Furniture"/>
    <n v="14664.69"/>
    <n v="9"/>
    <n v="6"/>
    <n v="1909.54"/>
  </r>
  <r>
    <s v="ODR00718"/>
    <d v="2025-03-25T00:00:00"/>
    <s v="Tanishq Ghosh"/>
    <s v="West"/>
    <s v="Ahmedabad"/>
    <x v="0"/>
    <x v="1"/>
    <s v="Printer - Technology"/>
    <n v="2766.74"/>
    <n v="2"/>
    <n v="13"/>
    <n v="495.67"/>
  </r>
  <r>
    <s v="ODR00719"/>
    <d v="2024-06-30T00:00:00"/>
    <s v="Diya Sharma"/>
    <s v="West"/>
    <s v="Ahmedabad"/>
    <x v="1"/>
    <x v="2"/>
    <s v="Chair - Furniture"/>
    <n v="7824.04"/>
    <n v="7"/>
    <n v="28"/>
    <n v="611.62"/>
  </r>
  <r>
    <s v="ODR00720"/>
    <d v="2025-03-13T00:00:00"/>
    <s v="Anaya Singh"/>
    <s v="East"/>
    <s v="Patna"/>
    <x v="0"/>
    <x v="9"/>
    <s v="Mobile - Technology"/>
    <n v="5342.88"/>
    <n v="4"/>
    <n v="11"/>
    <n v="1116.1400000000001"/>
  </r>
  <r>
    <s v="ODR00721"/>
    <d v="2025-04-06T00:00:00"/>
    <s v="Meera Joshi"/>
    <s v="East"/>
    <s v="Kolkata"/>
    <x v="1"/>
    <x v="2"/>
    <s v="Chair - Furniture"/>
    <n v="3960.99"/>
    <n v="3"/>
    <n v="11"/>
    <n v="296.75"/>
  </r>
  <r>
    <s v="ODR00722"/>
    <d v="2025-05-10T00:00:00"/>
    <s v="Yuvraj Chauhan"/>
    <s v="South"/>
    <s v="Chennai"/>
    <x v="0"/>
    <x v="7"/>
    <s v="Laptop - Technology"/>
    <n v="2156.67"/>
    <n v="3"/>
    <n v="29"/>
    <n v="340.33"/>
  </r>
  <r>
    <s v="ODR00723"/>
    <d v="2025-03-15T00:00:00"/>
    <s v="Tanishq Ghosh"/>
    <s v="West"/>
    <s v="Indore"/>
    <x v="0"/>
    <x v="7"/>
    <s v="Laptop - Technology"/>
    <n v="7058.6"/>
    <n v="5"/>
    <n v="20"/>
    <n v="955.66"/>
  </r>
  <r>
    <s v="ODR00724"/>
    <d v="2024-11-21T00:00:00"/>
    <s v="Kriti Desai"/>
    <s v="South"/>
    <s v="Bangalore"/>
    <x v="2"/>
    <x v="5"/>
    <s v="Envelope - Office Supplies"/>
    <n v="11275.38"/>
    <n v="9"/>
    <n v="9"/>
    <n v="820.54"/>
  </r>
  <r>
    <s v="ODR00725"/>
    <d v="2025-04-22T00:00:00"/>
    <s v="Saanvi Iyer"/>
    <s v="West"/>
    <s v="Pune"/>
    <x v="0"/>
    <x v="9"/>
    <s v="Mobile - Technology"/>
    <n v="10349.52"/>
    <n v="8"/>
    <n v="10"/>
    <n v="1020.26"/>
  </r>
  <r>
    <s v="ODR00726"/>
    <d v="2024-05-18T00:00:00"/>
    <s v="Yuvraj Chauhan"/>
    <s v="South"/>
    <s v="Bangalore"/>
    <x v="0"/>
    <x v="7"/>
    <s v="Laptop - Technology"/>
    <n v="1365.84"/>
    <n v="7"/>
    <n v="0"/>
    <n v="169.1"/>
  </r>
  <r>
    <s v="ODR00727"/>
    <d v="2024-06-16T00:00:00"/>
    <s v="Kabir Nair"/>
    <s v="West"/>
    <s v="Mumbai"/>
    <x v="2"/>
    <x v="8"/>
    <s v="Stapler - Office Supplies"/>
    <n v="9685.6"/>
    <n v="5"/>
    <n v="23"/>
    <n v="1117.0899999999999"/>
  </r>
  <r>
    <s v="ODR00728"/>
    <d v="2025-03-25T00:00:00"/>
    <s v="Arjun Verma"/>
    <s v="West"/>
    <s v="Mumbai"/>
    <x v="0"/>
    <x v="9"/>
    <s v="Mobile - Technology"/>
    <n v="1841.97"/>
    <n v="1"/>
    <n v="0"/>
    <n v="141.38"/>
  </r>
  <r>
    <s v="ODR00729"/>
    <d v="2024-08-26T00:00:00"/>
    <s v="Krishna Das"/>
    <s v="East"/>
    <s v="Bhubaneswar"/>
    <x v="2"/>
    <x v="10"/>
    <s v="Pen - Office Supplies"/>
    <n v="16761.3"/>
    <n v="10"/>
    <n v="3"/>
    <n v="1467.37"/>
  </r>
  <r>
    <s v="ODR00730"/>
    <d v="2024-09-13T00:00:00"/>
    <s v="Vivaan Shah"/>
    <s v="West"/>
    <s v="Ahmedabad"/>
    <x v="1"/>
    <x v="3"/>
    <s v="Cupboard - Furniture"/>
    <n v="5697"/>
    <n v="3"/>
    <n v="25"/>
    <n v="486.23"/>
  </r>
  <r>
    <s v="ODR00731"/>
    <d v="2024-10-10T00:00:00"/>
    <s v="Kabir Nair"/>
    <s v="North"/>
    <s v="Jaipur"/>
    <x v="2"/>
    <x v="8"/>
    <s v="Stapler - Office Supplies"/>
    <n v="6520.08"/>
    <n v="6"/>
    <n v="5"/>
    <n v="469.73"/>
  </r>
  <r>
    <s v="ODR00732"/>
    <d v="2024-08-21T00:00:00"/>
    <s v="Aarav Patel"/>
    <s v="East"/>
    <s v="Bhubaneswar"/>
    <x v="0"/>
    <x v="7"/>
    <s v="Laptop - Technology"/>
    <n v="8746.2999999999993"/>
    <n v="5"/>
    <n v="21"/>
    <n v="928.17"/>
  </r>
  <r>
    <s v="ODR00733"/>
    <d v="2025-04-04T00:00:00"/>
    <s v="Yuvraj Chauhan"/>
    <s v="West"/>
    <s v="Indore"/>
    <x v="1"/>
    <x v="3"/>
    <s v="Cupboard - Furniture"/>
    <n v="3774.06"/>
    <n v="3"/>
    <n v="29"/>
    <n v="460.27"/>
  </r>
  <r>
    <s v="ODR00734"/>
    <d v="2024-07-30T00:00:00"/>
    <s v="Saanvi Iyer"/>
    <s v="South"/>
    <s v="Bangalore"/>
    <x v="2"/>
    <x v="6"/>
    <s v="Notebook - Office Supplies"/>
    <n v="6311.3"/>
    <n v="10"/>
    <n v="22"/>
    <n v="1188.54"/>
  </r>
  <r>
    <s v="ODR00735"/>
    <d v="2024-08-16T00:00:00"/>
    <s v="Yuvraj Chauhan"/>
    <s v="North"/>
    <s v="Chandigarh"/>
    <x v="0"/>
    <x v="9"/>
    <s v="Mobile - Technology"/>
    <n v="8120"/>
    <n v="5"/>
    <n v="25"/>
    <n v="1381.16"/>
  </r>
  <r>
    <s v="ODR00736"/>
    <d v="2024-10-10T00:00:00"/>
    <s v="Kabir Nair"/>
    <s v="East"/>
    <s v="Bhubaneswar"/>
    <x v="2"/>
    <x v="8"/>
    <s v="Stapler - Office Supplies"/>
    <n v="945.72"/>
    <n v="4"/>
    <n v="9"/>
    <n v="179.14"/>
  </r>
  <r>
    <s v="ODR00737"/>
    <d v="2024-12-23T00:00:00"/>
    <s v="Kabir Nair"/>
    <s v="North"/>
    <s v="Lucknow"/>
    <x v="2"/>
    <x v="6"/>
    <s v="Notebook - Office Supplies"/>
    <n v="12494.8"/>
    <n v="8"/>
    <n v="21"/>
    <n v="1633.95"/>
  </r>
  <r>
    <s v="ODR00738"/>
    <d v="2024-06-06T00:00:00"/>
    <s v="Saanvi Iyer"/>
    <s v="West"/>
    <s v="Pune"/>
    <x v="1"/>
    <x v="2"/>
    <s v="Chair - Furniture"/>
    <n v="13088.08"/>
    <n v="8"/>
    <n v="7.0000000000000009"/>
    <n v="864.94"/>
  </r>
  <r>
    <s v="ODR00739"/>
    <d v="2024-12-18T00:00:00"/>
    <s v="Meera Joshi"/>
    <s v="South"/>
    <s v="Hyderabad"/>
    <x v="0"/>
    <x v="7"/>
    <s v="Laptop - Technology"/>
    <n v="9505.4"/>
    <n v="10"/>
    <n v="20"/>
    <n v="1412.52"/>
  </r>
  <r>
    <s v="ODR00740"/>
    <d v="2024-05-22T00:00:00"/>
    <s v="Anaya Singh"/>
    <s v="West"/>
    <s v="Nagpur"/>
    <x v="0"/>
    <x v="9"/>
    <s v="Mobile - Technology"/>
    <n v="10082.43"/>
    <n v="9"/>
    <n v="21"/>
    <n v="442.02"/>
  </r>
  <r>
    <s v="ODR00741"/>
    <d v="2024-07-13T00:00:00"/>
    <s v="Saanvi Iyer"/>
    <s v="East"/>
    <s v="Kolkata"/>
    <x v="1"/>
    <x v="2"/>
    <s v="Chair - Furniture"/>
    <n v="906.55"/>
    <n v="1"/>
    <n v="11"/>
    <n v="141.61000000000001"/>
  </r>
  <r>
    <s v="ODR00742"/>
    <d v="2025-03-03T00:00:00"/>
    <s v="Yuvraj Chauhan"/>
    <s v="South"/>
    <s v="Hyderabad"/>
    <x v="2"/>
    <x v="8"/>
    <s v="Stapler - Office Supplies"/>
    <n v="15569.73"/>
    <n v="9"/>
    <n v="2"/>
    <n v="1936.89"/>
  </r>
  <r>
    <s v="ODR00743"/>
    <d v="2024-10-03T00:00:00"/>
    <s v="Tanishq Ghosh"/>
    <s v="East"/>
    <s v="Patna"/>
    <x v="1"/>
    <x v="4"/>
    <s v="Table - Furniture"/>
    <n v="16686.400000000001"/>
    <n v="10"/>
    <n v="29"/>
    <n v="1598.71"/>
  </r>
  <r>
    <s v="ODR00744"/>
    <d v="2024-06-13T00:00:00"/>
    <s v="Anaya Singh"/>
    <s v="West"/>
    <s v="Indore"/>
    <x v="1"/>
    <x v="4"/>
    <s v="Table - Furniture"/>
    <n v="2118.96"/>
    <n v="6"/>
    <n v="14"/>
    <n v="195.79"/>
  </r>
  <r>
    <s v="ODR00745"/>
    <d v="2025-01-08T00:00:00"/>
    <s v="Kabir Nair"/>
    <s v="West"/>
    <s v="Ahmedabad"/>
    <x v="0"/>
    <x v="0"/>
    <s v="Tablet - Technology"/>
    <n v="2815.68"/>
    <n v="3"/>
    <n v="10"/>
    <n v="602.45000000000005"/>
  </r>
  <r>
    <s v="ODR00746"/>
    <d v="2025-02-05T00:00:00"/>
    <s v="Arjun Verma"/>
    <s v="East"/>
    <s v="Patna"/>
    <x v="2"/>
    <x v="10"/>
    <s v="Pen - Office Supplies"/>
    <n v="4671.04"/>
    <n v="4"/>
    <n v="21"/>
    <n v="809.44"/>
  </r>
  <r>
    <s v="ODR00747"/>
    <d v="2024-12-26T00:00:00"/>
    <s v="Saanvi Iyer"/>
    <s v="South"/>
    <s v="Bangalore"/>
    <x v="0"/>
    <x v="9"/>
    <s v="Mobile - Technology"/>
    <n v="1778.04"/>
    <n v="6"/>
    <n v="4"/>
    <n v="234.19"/>
  </r>
  <r>
    <s v="ODR00748"/>
    <d v="2024-06-18T00:00:00"/>
    <s v="Riya Kapoor"/>
    <s v="West"/>
    <s v="Mumbai"/>
    <x v="2"/>
    <x v="5"/>
    <s v="Envelope - Office Supplies"/>
    <n v="12463.15"/>
    <n v="7"/>
    <n v="2"/>
    <n v="945.75"/>
  </r>
  <r>
    <s v="ODR00749"/>
    <d v="2024-07-08T00:00:00"/>
    <s v="Saanvi Iyer"/>
    <s v="South"/>
    <s v="Chennai"/>
    <x v="2"/>
    <x v="6"/>
    <s v="Notebook - Office Supplies"/>
    <n v="4602.57"/>
    <n v="3"/>
    <n v="26"/>
    <n v="651.08000000000004"/>
  </r>
  <r>
    <s v="ODR00750"/>
    <d v="2024-12-15T00:00:00"/>
    <s v="Vivaan Shah"/>
    <s v="North"/>
    <s v="Jaipur"/>
    <x v="2"/>
    <x v="5"/>
    <s v="Envelope - Office Supplies"/>
    <n v="8567.25"/>
    <n v="5"/>
    <n v="25"/>
    <n v="1075.51"/>
  </r>
  <r>
    <s v="ODR00751"/>
    <d v="2024-12-15T00:00:00"/>
    <s v="Kabir Nair"/>
    <s v="West"/>
    <s v="Mumbai"/>
    <x v="0"/>
    <x v="0"/>
    <s v="Tablet - Technology"/>
    <n v="1196.8599999999999"/>
    <n v="2"/>
    <n v="9"/>
    <n v="106.43"/>
  </r>
  <r>
    <s v="ODR00752"/>
    <d v="2024-08-10T00:00:00"/>
    <s v="Ishaan Mehta"/>
    <s v="East"/>
    <s v="Kolkata"/>
    <x v="0"/>
    <x v="1"/>
    <s v="Printer - Technology"/>
    <n v="5192.7299999999996"/>
    <n v="9"/>
    <n v="25"/>
    <n v="227.88"/>
  </r>
  <r>
    <s v="ODR00753"/>
    <d v="2025-05-09T00:00:00"/>
    <s v="Riya Kapoor"/>
    <s v="North"/>
    <s v="Jaipur"/>
    <x v="2"/>
    <x v="10"/>
    <s v="Pen - Office Supplies"/>
    <n v="13622.13"/>
    <n v="9"/>
    <n v="8"/>
    <n v="3065.99"/>
  </r>
  <r>
    <s v="ODR00754"/>
    <d v="2024-12-23T00:00:00"/>
    <s v="Kabir Nair"/>
    <s v="West"/>
    <s v="Pune"/>
    <x v="2"/>
    <x v="8"/>
    <s v="Stapler - Office Supplies"/>
    <n v="17284.099999999999"/>
    <n v="10"/>
    <n v="21"/>
    <n v="3043.46"/>
  </r>
  <r>
    <s v="ODR00755"/>
    <d v="2024-05-26T00:00:00"/>
    <s v="Kabir Nair"/>
    <s v="West"/>
    <s v="Pune"/>
    <x v="0"/>
    <x v="9"/>
    <s v="Mobile - Technology"/>
    <n v="1062.8499999999999"/>
    <n v="1"/>
    <n v="25"/>
    <n v="102.68"/>
  </r>
  <r>
    <s v="ODR00756"/>
    <d v="2024-06-10T00:00:00"/>
    <s v="Kabir Nair"/>
    <s v="North"/>
    <s v="Delhi"/>
    <x v="1"/>
    <x v="3"/>
    <s v="Cupboard - Furniture"/>
    <n v="6195.9"/>
    <n v="6"/>
    <n v="18"/>
    <n v="852.86"/>
  </r>
  <r>
    <s v="ODR00757"/>
    <d v="2024-09-15T00:00:00"/>
    <s v="Ishaan Mehta"/>
    <s v="East"/>
    <s v="Bhubaneswar"/>
    <x v="1"/>
    <x v="4"/>
    <s v="Table - Furniture"/>
    <n v="4253.5200000000004"/>
    <n v="3"/>
    <n v="27"/>
    <n v="297.99"/>
  </r>
  <r>
    <s v="ODR00758"/>
    <d v="2024-08-22T00:00:00"/>
    <s v="Sneha Reddy"/>
    <s v="North"/>
    <s v="Lucknow"/>
    <x v="0"/>
    <x v="1"/>
    <s v="Printer - Technology"/>
    <n v="6102.92"/>
    <n v="4"/>
    <n v="25"/>
    <n v="553.41999999999996"/>
  </r>
  <r>
    <s v="ODR00759"/>
    <d v="2025-04-26T00:00:00"/>
    <s v="Kriti Desai"/>
    <s v="East"/>
    <s v="Bhubaneswar"/>
    <x v="0"/>
    <x v="9"/>
    <s v="Mobile - Technology"/>
    <n v="11149.98"/>
    <n v="6"/>
    <n v="28"/>
    <n v="550.69000000000005"/>
  </r>
  <r>
    <s v="ODR00760"/>
    <d v="2024-08-08T00:00:00"/>
    <s v="Aarav Patel"/>
    <s v="West"/>
    <s v="Nagpur"/>
    <x v="2"/>
    <x v="8"/>
    <s v="Stapler - Office Supplies"/>
    <n v="18614.400000000001"/>
    <n v="10"/>
    <n v="21"/>
    <n v="3359.62"/>
  </r>
  <r>
    <s v="ODR00761"/>
    <d v="2024-11-28T00:00:00"/>
    <s v="Vivaan Shah"/>
    <s v="South"/>
    <s v="Bangalore"/>
    <x v="1"/>
    <x v="3"/>
    <s v="Cupboard - Furniture"/>
    <n v="2791.88"/>
    <n v="4"/>
    <n v="5"/>
    <n v="326.77"/>
  </r>
  <r>
    <s v="ODR00762"/>
    <d v="2025-01-10T00:00:00"/>
    <s v="Riya Kapoor"/>
    <s v="East"/>
    <s v="Bhubaneswar"/>
    <x v="2"/>
    <x v="10"/>
    <s v="Pen - Office Supplies"/>
    <n v="4522.68"/>
    <n v="6"/>
    <n v="0"/>
    <n v="294.75"/>
  </r>
  <r>
    <s v="ODR00763"/>
    <d v="2024-11-30T00:00:00"/>
    <s v="Riya Kapoor"/>
    <s v="West"/>
    <s v="Mumbai"/>
    <x v="2"/>
    <x v="6"/>
    <s v="Notebook - Office Supplies"/>
    <n v="10717.36"/>
    <n v="8"/>
    <n v="27"/>
    <n v="776.96"/>
  </r>
  <r>
    <s v="ODR00764"/>
    <d v="2025-03-14T00:00:00"/>
    <s v="Aarav Patel"/>
    <s v="West"/>
    <s v="Ahmedabad"/>
    <x v="2"/>
    <x v="10"/>
    <s v="Pen - Office Supplies"/>
    <n v="2928.16"/>
    <n v="2"/>
    <n v="21"/>
    <n v="262.06"/>
  </r>
  <r>
    <s v="ODR00765"/>
    <d v="2024-07-08T00:00:00"/>
    <s v="Sneha Reddy"/>
    <s v="East"/>
    <s v="Bhubaneswar"/>
    <x v="1"/>
    <x v="11"/>
    <s v="Sofa - Furniture"/>
    <n v="6467.55"/>
    <n v="5"/>
    <n v="3"/>
    <n v="444.3"/>
  </r>
  <r>
    <s v="ODR00766"/>
    <d v="2024-08-27T00:00:00"/>
    <s v="Vivaan Shah"/>
    <s v="South"/>
    <s v="Bangalore"/>
    <x v="1"/>
    <x v="3"/>
    <s v="Cupboard - Furniture"/>
    <n v="2542.0500000000002"/>
    <n v="3"/>
    <n v="4"/>
    <n v="346.02"/>
  </r>
  <r>
    <s v="ODR00767"/>
    <d v="2024-12-28T00:00:00"/>
    <s v="Riya Kapoor"/>
    <s v="North"/>
    <s v="Chandigarh"/>
    <x v="0"/>
    <x v="0"/>
    <s v="Tablet - Technology"/>
    <n v="9668.5"/>
    <n v="10"/>
    <n v="5"/>
    <n v="856.08"/>
  </r>
  <r>
    <s v="ODR00768"/>
    <d v="2024-12-29T00:00:00"/>
    <s v="Kabir Nair"/>
    <s v="West"/>
    <s v="Indore"/>
    <x v="0"/>
    <x v="1"/>
    <s v="Printer - Technology"/>
    <n v="16881.48"/>
    <n v="9"/>
    <n v="15"/>
    <n v="2096.96"/>
  </r>
  <r>
    <s v="ODR00769"/>
    <d v="2025-04-09T00:00:00"/>
    <s v="Anaya Singh"/>
    <s v="West"/>
    <s v="Mumbai"/>
    <x v="1"/>
    <x v="3"/>
    <s v="Cupboard - Furniture"/>
    <n v="5009.24"/>
    <n v="4"/>
    <n v="27"/>
    <n v="780.02"/>
  </r>
  <r>
    <s v="ODR00770"/>
    <d v="2025-04-14T00:00:00"/>
    <s v="Krishna Das"/>
    <s v="North"/>
    <s v="Chandigarh"/>
    <x v="1"/>
    <x v="11"/>
    <s v="Sofa - Furniture"/>
    <n v="7640.78"/>
    <n v="7"/>
    <n v="29"/>
    <n v="829.5"/>
  </r>
  <r>
    <s v="ODR00771"/>
    <d v="2025-03-16T00:00:00"/>
    <s v="Diya Sharma"/>
    <s v="South"/>
    <s v="Hyderabad"/>
    <x v="2"/>
    <x v="5"/>
    <s v="Envelope - Office Supplies"/>
    <n v="11262.24"/>
    <n v="8"/>
    <n v="26"/>
    <n v="733.61"/>
  </r>
  <r>
    <s v="ODR00772"/>
    <d v="2025-02-26T00:00:00"/>
    <s v="Anaya Singh"/>
    <s v="West"/>
    <s v="Ahmedabad"/>
    <x v="0"/>
    <x v="9"/>
    <s v="Mobile - Technology"/>
    <n v="2918.64"/>
    <n v="6"/>
    <n v="27"/>
    <n v="174.34"/>
  </r>
  <r>
    <s v="ODR00773"/>
    <d v="2024-09-21T00:00:00"/>
    <s v="Meera Joshi"/>
    <s v="West"/>
    <s v="Mumbai"/>
    <x v="0"/>
    <x v="9"/>
    <s v="Mobile - Technology"/>
    <n v="976.08"/>
    <n v="6"/>
    <n v="12"/>
    <n v="44.68"/>
  </r>
  <r>
    <s v="ODR00774"/>
    <d v="2025-04-25T00:00:00"/>
    <s v="Tanishq Ghosh"/>
    <s v="South"/>
    <s v="Bangalore"/>
    <x v="2"/>
    <x v="5"/>
    <s v="Envelope - Office Supplies"/>
    <n v="2285.88"/>
    <n v="4"/>
    <n v="5"/>
    <n v="425.77"/>
  </r>
  <r>
    <s v="ODR00775"/>
    <d v="2024-06-05T00:00:00"/>
    <s v="Meera Joshi"/>
    <s v="North"/>
    <s v="Delhi"/>
    <x v="2"/>
    <x v="10"/>
    <s v="Pen - Office Supplies"/>
    <n v="2272.27"/>
    <n v="7"/>
    <n v="3"/>
    <n v="347.48"/>
  </r>
  <r>
    <s v="ODR00776"/>
    <d v="2024-07-03T00:00:00"/>
    <s v="Meera Joshi"/>
    <s v="East"/>
    <s v="Kolkata"/>
    <x v="1"/>
    <x v="4"/>
    <s v="Table - Furniture"/>
    <n v="5561.43"/>
    <n v="3"/>
    <n v="27"/>
    <n v="570.20000000000005"/>
  </r>
  <r>
    <s v="ODR00777"/>
    <d v="2024-08-13T00:00:00"/>
    <s v="Kriti Desai"/>
    <s v="East"/>
    <s v="Bhubaneswar"/>
    <x v="1"/>
    <x v="3"/>
    <s v="Cupboard - Furniture"/>
    <n v="2975.28"/>
    <n v="2"/>
    <n v="13"/>
    <n v="570.04999999999995"/>
  </r>
  <r>
    <s v="ODR00778"/>
    <d v="2024-11-30T00:00:00"/>
    <s v="Diya Sharma"/>
    <s v="North"/>
    <s v="Delhi"/>
    <x v="2"/>
    <x v="5"/>
    <s v="Envelope - Office Supplies"/>
    <n v="11932.83"/>
    <n v="7"/>
    <n v="5"/>
    <n v="1583.17"/>
  </r>
  <r>
    <s v="ODR00779"/>
    <d v="2024-11-13T00:00:00"/>
    <s v="Yuvraj Chauhan"/>
    <s v="East"/>
    <s v="Patna"/>
    <x v="0"/>
    <x v="7"/>
    <s v="Laptop - Technology"/>
    <n v="10058.719999999999"/>
    <n v="7"/>
    <n v="3"/>
    <n v="749.4"/>
  </r>
  <r>
    <s v="ODR00780"/>
    <d v="2025-01-01T00:00:00"/>
    <s v="Meera Joshi"/>
    <s v="South"/>
    <s v="Bangalore"/>
    <x v="1"/>
    <x v="3"/>
    <s v="Cupboard - Furniture"/>
    <n v="1005.37"/>
    <n v="1"/>
    <n v="25"/>
    <n v="104.35"/>
  </r>
  <r>
    <s v="ODR00781"/>
    <d v="2024-08-06T00:00:00"/>
    <s v="Riya Kapoor"/>
    <s v="South"/>
    <s v="Hyderabad"/>
    <x v="2"/>
    <x v="10"/>
    <s v="Pen - Office Supplies"/>
    <n v="1281.24"/>
    <n v="4"/>
    <n v="5"/>
    <n v="117.17"/>
  </r>
  <r>
    <s v="ODR00782"/>
    <d v="2024-09-09T00:00:00"/>
    <s v="Aarav Patel"/>
    <s v="East"/>
    <s v="Kolkata"/>
    <x v="1"/>
    <x v="11"/>
    <s v="Sofa - Furniture"/>
    <n v="8910.75"/>
    <n v="5"/>
    <n v="29"/>
    <n v="835.33"/>
  </r>
  <r>
    <s v="ODR00783"/>
    <d v="2024-11-13T00:00:00"/>
    <s v="Sneha Reddy"/>
    <s v="North"/>
    <s v="Delhi"/>
    <x v="2"/>
    <x v="8"/>
    <s v="Stapler - Office Supplies"/>
    <n v="9302.2999999999993"/>
    <n v="10"/>
    <n v="1"/>
    <n v="1993.84"/>
  </r>
  <r>
    <s v="ODR00784"/>
    <d v="2025-01-26T00:00:00"/>
    <s v="Saanvi Iyer"/>
    <s v="East"/>
    <s v="Patna"/>
    <x v="0"/>
    <x v="7"/>
    <s v="Laptop - Technology"/>
    <n v="5747.82"/>
    <n v="6"/>
    <n v="27"/>
    <n v="556.46"/>
  </r>
  <r>
    <s v="ODR00785"/>
    <d v="2024-11-28T00:00:00"/>
    <s v="Kriti Desai"/>
    <s v="South"/>
    <s v="Hyderabad"/>
    <x v="1"/>
    <x v="2"/>
    <s v="Chair - Furniture"/>
    <n v="1848.78"/>
    <n v="6"/>
    <n v="0"/>
    <n v="237.59"/>
  </r>
  <r>
    <s v="ODR00786"/>
    <d v="2025-04-09T00:00:00"/>
    <s v="Vivaan Shah"/>
    <s v="South"/>
    <s v="Hyderabad"/>
    <x v="2"/>
    <x v="6"/>
    <s v="Notebook - Office Supplies"/>
    <n v="1089.54"/>
    <n v="3"/>
    <n v="4"/>
    <n v="93.64"/>
  </r>
  <r>
    <s v="ODR00787"/>
    <d v="2024-10-22T00:00:00"/>
    <s v="Meera Joshi"/>
    <s v="South"/>
    <s v="Bangalore"/>
    <x v="2"/>
    <x v="8"/>
    <s v="Stapler - Office Supplies"/>
    <n v="6915.87"/>
    <n v="9"/>
    <n v="5"/>
    <n v="563.84"/>
  </r>
  <r>
    <s v="ODR00788"/>
    <d v="2024-09-21T00:00:00"/>
    <s v="Tanishq Ghosh"/>
    <s v="East"/>
    <s v="Kolkata"/>
    <x v="2"/>
    <x v="8"/>
    <s v="Stapler - Office Supplies"/>
    <n v="8697.36"/>
    <n v="6"/>
    <n v="17"/>
    <n v="1283.9000000000001"/>
  </r>
  <r>
    <s v="ODR00789"/>
    <d v="2024-06-27T00:00:00"/>
    <s v="Vivaan Shah"/>
    <s v="West"/>
    <s v="Indore"/>
    <x v="1"/>
    <x v="4"/>
    <s v="Table - Furniture"/>
    <n v="1718.18"/>
    <n v="2"/>
    <n v="25"/>
    <n v="306.25"/>
  </r>
  <r>
    <s v="ODR00790"/>
    <d v="2024-11-03T00:00:00"/>
    <s v="Anaya Singh"/>
    <s v="East"/>
    <s v="Patna"/>
    <x v="2"/>
    <x v="10"/>
    <s v="Pen - Office Supplies"/>
    <n v="16347.8"/>
    <n v="10"/>
    <n v="10"/>
    <n v="1663.24"/>
  </r>
  <r>
    <s v="ODR00791"/>
    <d v="2024-08-18T00:00:00"/>
    <s v="Kabir Nair"/>
    <s v="East"/>
    <s v="Patna"/>
    <x v="1"/>
    <x v="2"/>
    <s v="Chair - Furniture"/>
    <n v="7855.68"/>
    <n v="4"/>
    <n v="26"/>
    <n v="554.11"/>
  </r>
  <r>
    <s v="ODR00792"/>
    <d v="2025-03-31T00:00:00"/>
    <s v="Anaya Singh"/>
    <s v="West"/>
    <s v="Pune"/>
    <x v="1"/>
    <x v="4"/>
    <s v="Table - Furniture"/>
    <n v="5458.65"/>
    <n v="3"/>
    <n v="26"/>
    <n v="736.14"/>
  </r>
  <r>
    <s v="ODR00793"/>
    <d v="2024-08-23T00:00:00"/>
    <s v="Arjun Verma"/>
    <s v="South"/>
    <s v="Bangalore"/>
    <x v="2"/>
    <x v="10"/>
    <s v="Pen - Office Supplies"/>
    <n v="820.72"/>
    <n v="4"/>
    <n v="9"/>
    <n v="180.26"/>
  </r>
  <r>
    <s v="ODR00794"/>
    <d v="2025-04-25T00:00:00"/>
    <s v="Krishna Das"/>
    <s v="South"/>
    <s v="Bangalore"/>
    <x v="2"/>
    <x v="5"/>
    <s v="Envelope - Office Supplies"/>
    <n v="4884.16"/>
    <n v="4"/>
    <n v="10"/>
    <n v="386.71"/>
  </r>
  <r>
    <s v="ODR00795"/>
    <d v="2024-08-02T00:00:00"/>
    <s v="Meera Joshi"/>
    <s v="South"/>
    <s v="Bangalore"/>
    <x v="0"/>
    <x v="7"/>
    <s v="Laptop - Technology"/>
    <n v="2843.84"/>
    <n v="4"/>
    <n v="9"/>
    <n v="336.82"/>
  </r>
  <r>
    <s v="ODR00796"/>
    <d v="2024-09-13T00:00:00"/>
    <s v="Vivaan Shah"/>
    <s v="East"/>
    <s v="Patna"/>
    <x v="2"/>
    <x v="6"/>
    <s v="Notebook - Office Supplies"/>
    <n v="2487.7800000000002"/>
    <n v="6"/>
    <n v="15"/>
    <n v="374.55"/>
  </r>
  <r>
    <s v="ODR00797"/>
    <d v="2024-06-27T00:00:00"/>
    <s v="Arjun Verma"/>
    <s v="North"/>
    <s v="Jaipur"/>
    <x v="2"/>
    <x v="10"/>
    <s v="Pen - Office Supplies"/>
    <n v="8350.2999999999993"/>
    <n v="5"/>
    <n v="0"/>
    <n v="869.55"/>
  </r>
  <r>
    <s v="ODR00798"/>
    <d v="2024-12-23T00:00:00"/>
    <s v="Krishna Das"/>
    <s v="East"/>
    <s v="Patna"/>
    <x v="2"/>
    <x v="5"/>
    <s v="Envelope - Office Supplies"/>
    <n v="15735.33"/>
    <n v="9"/>
    <n v="7.0000000000000009"/>
    <n v="2157.83"/>
  </r>
  <r>
    <s v="ODR00799"/>
    <d v="2024-07-25T00:00:00"/>
    <s v="Kriti Desai"/>
    <s v="West"/>
    <s v="Indore"/>
    <x v="2"/>
    <x v="6"/>
    <s v="Notebook - Office Supplies"/>
    <n v="2906.24"/>
    <n v="2"/>
    <n v="23"/>
    <n v="327.16000000000003"/>
  </r>
  <r>
    <s v="ODR00800"/>
    <d v="2024-10-25T00:00:00"/>
    <s v="Riya Kapoor"/>
    <s v="South"/>
    <s v="Chennai"/>
    <x v="2"/>
    <x v="10"/>
    <s v="Pen - Office Supplies"/>
    <n v="2712.18"/>
    <n v="2"/>
    <n v="20"/>
    <n v="399"/>
  </r>
  <r>
    <s v="ODR00801"/>
    <d v="2024-10-22T00:00:00"/>
    <s v="Saanvi Iyer"/>
    <s v="West"/>
    <s v="Ahmedabad"/>
    <x v="2"/>
    <x v="5"/>
    <s v="Envelope - Office Supplies"/>
    <n v="4983.6000000000004"/>
    <n v="6"/>
    <n v="20"/>
    <n v="908.04"/>
  </r>
  <r>
    <s v="ODR00802"/>
    <d v="2025-03-15T00:00:00"/>
    <s v="Sneha Reddy"/>
    <s v="South"/>
    <s v="Bangalore"/>
    <x v="0"/>
    <x v="9"/>
    <s v="Mobile - Technology"/>
    <n v="1311.39"/>
    <n v="3"/>
    <n v="20"/>
    <n v="95.24"/>
  </r>
  <r>
    <s v="ODR00803"/>
    <d v="2024-10-30T00:00:00"/>
    <s v="Riya Kapoor"/>
    <s v="South"/>
    <s v="Hyderabad"/>
    <x v="2"/>
    <x v="8"/>
    <s v="Stapler - Office Supplies"/>
    <n v="763.32"/>
    <n v="4"/>
    <n v="17"/>
    <n v="68.72"/>
  </r>
  <r>
    <s v="ODR00804"/>
    <d v="2024-11-08T00:00:00"/>
    <s v="Aarav Patel"/>
    <s v="South"/>
    <s v="Chennai"/>
    <x v="1"/>
    <x v="11"/>
    <s v="Sofa - Furniture"/>
    <n v="867.27"/>
    <n v="1"/>
    <n v="18"/>
    <n v="140.68"/>
  </r>
  <r>
    <s v="ODR00805"/>
    <d v="2024-11-06T00:00:00"/>
    <s v="Tanishq Ghosh"/>
    <s v="South"/>
    <s v="Bangalore"/>
    <x v="0"/>
    <x v="1"/>
    <s v="Printer - Technology"/>
    <n v="5939.46"/>
    <n v="6"/>
    <n v="21"/>
    <n v="352.18"/>
  </r>
  <r>
    <s v="ODR00806"/>
    <d v="2024-08-29T00:00:00"/>
    <s v="Sneha Reddy"/>
    <s v="North"/>
    <s v="Delhi"/>
    <x v="0"/>
    <x v="9"/>
    <s v="Mobile - Technology"/>
    <n v="13483.12"/>
    <n v="8"/>
    <n v="30"/>
    <n v="2114.42"/>
  </r>
  <r>
    <s v="ODR00807"/>
    <d v="2024-06-25T00:00:00"/>
    <s v="Ishaan Mehta"/>
    <s v="East"/>
    <s v="Bhubaneswar"/>
    <x v="0"/>
    <x v="0"/>
    <s v="Tablet - Technology"/>
    <n v="5071.0200000000004"/>
    <n v="6"/>
    <n v="18"/>
    <n v="841.74"/>
  </r>
  <r>
    <s v="ODR00808"/>
    <d v="2024-09-26T00:00:00"/>
    <s v="Meera Joshi"/>
    <s v="North"/>
    <s v="Chandigarh"/>
    <x v="2"/>
    <x v="6"/>
    <s v="Notebook - Office Supplies"/>
    <n v="1495.69"/>
    <n v="1"/>
    <n v="17"/>
    <n v="279.8"/>
  </r>
  <r>
    <s v="ODR00809"/>
    <d v="2024-11-04T00:00:00"/>
    <s v="Diya Sharma"/>
    <s v="West"/>
    <s v="Ahmedabad"/>
    <x v="0"/>
    <x v="0"/>
    <s v="Tablet - Technology"/>
    <n v="6508.7"/>
    <n v="5"/>
    <n v="25"/>
    <n v="335.09"/>
  </r>
  <r>
    <s v="ODR00810"/>
    <d v="2025-04-17T00:00:00"/>
    <s v="Anaya Singh"/>
    <s v="North"/>
    <s v="Delhi"/>
    <x v="0"/>
    <x v="1"/>
    <s v="Printer - Technology"/>
    <n v="1041.81"/>
    <n v="7"/>
    <n v="15"/>
    <n v="146.04"/>
  </r>
  <r>
    <s v="ODR00811"/>
    <d v="2024-06-23T00:00:00"/>
    <s v="Riya Kapoor"/>
    <s v="North"/>
    <s v="Lucknow"/>
    <x v="1"/>
    <x v="4"/>
    <s v="Table - Furniture"/>
    <n v="3976.59"/>
    <n v="3"/>
    <n v="16"/>
    <n v="577.5"/>
  </r>
  <r>
    <s v="ODR00812"/>
    <d v="2024-06-14T00:00:00"/>
    <s v="Sneha Reddy"/>
    <s v="North"/>
    <s v="Lucknow"/>
    <x v="1"/>
    <x v="4"/>
    <s v="Table - Furniture"/>
    <n v="2747.7"/>
    <n v="2"/>
    <n v="5"/>
    <n v="519.14"/>
  </r>
  <r>
    <s v="ODR00813"/>
    <d v="2024-06-02T00:00:00"/>
    <s v="Riya Kapoor"/>
    <s v="West"/>
    <s v="Indore"/>
    <x v="2"/>
    <x v="8"/>
    <s v="Stapler - Office Supplies"/>
    <n v="2332.6799999999998"/>
    <n v="6"/>
    <n v="14"/>
    <n v="137.13"/>
  </r>
  <r>
    <s v="ODR00814"/>
    <d v="2025-02-10T00:00:00"/>
    <s v="Saanvi Iyer"/>
    <s v="North"/>
    <s v="Delhi"/>
    <x v="0"/>
    <x v="1"/>
    <s v="Printer - Technology"/>
    <n v="5194.5"/>
    <n v="10"/>
    <n v="25"/>
    <n v="199.22"/>
  </r>
  <r>
    <s v="ODR00815"/>
    <d v="2025-01-24T00:00:00"/>
    <s v="Yuvraj Chauhan"/>
    <s v="East"/>
    <s v="Bhubaneswar"/>
    <x v="1"/>
    <x v="11"/>
    <s v="Sofa - Furniture"/>
    <n v="4929.1899999999996"/>
    <n v="7"/>
    <n v="11"/>
    <n v="955.68"/>
  </r>
  <r>
    <s v="ODR00816"/>
    <d v="2024-09-02T00:00:00"/>
    <s v="Yuvraj Chauhan"/>
    <s v="South"/>
    <s v="Chennai"/>
    <x v="0"/>
    <x v="0"/>
    <s v="Tablet - Technology"/>
    <n v="1587.18"/>
    <n v="6"/>
    <n v="12"/>
    <n v="274.35000000000002"/>
  </r>
  <r>
    <s v="ODR00817"/>
    <d v="2024-10-21T00:00:00"/>
    <s v="Aarav Patel"/>
    <s v="West"/>
    <s v="Pune"/>
    <x v="0"/>
    <x v="7"/>
    <s v="Laptop - Technology"/>
    <n v="3225"/>
    <n v="2"/>
    <n v="12"/>
    <n v="648.48"/>
  </r>
  <r>
    <s v="ODR00818"/>
    <d v="2024-08-10T00:00:00"/>
    <s v="Sneha Reddy"/>
    <s v="South"/>
    <s v="Hyderabad"/>
    <x v="1"/>
    <x v="3"/>
    <s v="Cupboard - Furniture"/>
    <n v="13721.54"/>
    <n v="7"/>
    <n v="12"/>
    <n v="2122.98"/>
  </r>
  <r>
    <s v="ODR00819"/>
    <d v="2025-04-13T00:00:00"/>
    <s v="Anaya Singh"/>
    <s v="West"/>
    <s v="Pune"/>
    <x v="1"/>
    <x v="3"/>
    <s v="Cupboard - Furniture"/>
    <n v="12752.6"/>
    <n v="7"/>
    <n v="17"/>
    <n v="2130.5700000000002"/>
  </r>
  <r>
    <s v="ODR00820"/>
    <d v="2025-03-18T00:00:00"/>
    <s v="Saanvi Iyer"/>
    <s v="South"/>
    <s v="Hyderabad"/>
    <x v="0"/>
    <x v="0"/>
    <s v="Tablet - Technology"/>
    <n v="5371.96"/>
    <n v="4"/>
    <n v="15"/>
    <n v="737.69"/>
  </r>
  <r>
    <s v="ODR00821"/>
    <d v="2024-07-02T00:00:00"/>
    <s v="Tanishq Ghosh"/>
    <s v="West"/>
    <s v="Nagpur"/>
    <x v="0"/>
    <x v="7"/>
    <s v="Laptop - Technology"/>
    <n v="12371.76"/>
    <n v="9"/>
    <n v="8"/>
    <n v="1010.97"/>
  </r>
  <r>
    <s v="ODR00822"/>
    <d v="2024-05-21T00:00:00"/>
    <s v="Kriti Desai"/>
    <s v="South"/>
    <s v="Chennai"/>
    <x v="1"/>
    <x v="11"/>
    <s v="Sofa - Furniture"/>
    <n v="3975.35"/>
    <n v="5"/>
    <n v="29"/>
    <n v="474.95"/>
  </r>
  <r>
    <s v="ODR00823"/>
    <d v="2024-11-24T00:00:00"/>
    <s v="Aarav Patel"/>
    <s v="South"/>
    <s v="Bangalore"/>
    <x v="1"/>
    <x v="4"/>
    <s v="Table - Furniture"/>
    <n v="4039.7"/>
    <n v="5"/>
    <n v="25"/>
    <n v="226.87"/>
  </r>
  <r>
    <s v="ODR00824"/>
    <d v="2024-11-28T00:00:00"/>
    <s v="Anaya Singh"/>
    <s v="North"/>
    <s v="Lucknow"/>
    <x v="0"/>
    <x v="7"/>
    <s v="Laptop - Technology"/>
    <n v="330.18"/>
    <n v="2"/>
    <n v="29"/>
    <n v="42.83"/>
  </r>
  <r>
    <s v="ODR00825"/>
    <d v="2024-10-17T00:00:00"/>
    <s v="Vivaan Shah"/>
    <s v="West"/>
    <s v="Ahmedabad"/>
    <x v="2"/>
    <x v="5"/>
    <s v="Envelope - Office Supplies"/>
    <n v="12039.48"/>
    <n v="9"/>
    <n v="2"/>
    <n v="2484.9699999999998"/>
  </r>
  <r>
    <s v="ODR00826"/>
    <d v="2024-11-17T00:00:00"/>
    <s v="Aarav Patel"/>
    <s v="North"/>
    <s v="Chandigarh"/>
    <x v="2"/>
    <x v="5"/>
    <s v="Envelope - Office Supplies"/>
    <n v="628.98"/>
    <n v="2"/>
    <n v="14"/>
    <n v="84.47"/>
  </r>
  <r>
    <s v="ODR00827"/>
    <d v="2025-02-03T00:00:00"/>
    <s v="Arjun Verma"/>
    <s v="East"/>
    <s v="Patna"/>
    <x v="2"/>
    <x v="8"/>
    <s v="Stapler - Office Supplies"/>
    <n v="10712.97"/>
    <n v="9"/>
    <n v="14"/>
    <n v="2237.8000000000002"/>
  </r>
  <r>
    <s v="ODR00828"/>
    <d v="2024-12-11T00:00:00"/>
    <s v="Ishaan Mehta"/>
    <s v="North"/>
    <s v="Lucknow"/>
    <x v="1"/>
    <x v="3"/>
    <s v="Cupboard - Furniture"/>
    <n v="1656.48"/>
    <n v="6"/>
    <n v="29"/>
    <n v="82.31"/>
  </r>
  <r>
    <s v="ODR00829"/>
    <d v="2024-12-27T00:00:00"/>
    <s v="Yuvraj Chauhan"/>
    <s v="North"/>
    <s v="Lucknow"/>
    <x v="2"/>
    <x v="10"/>
    <s v="Pen - Office Supplies"/>
    <n v="8279.85"/>
    <n v="5"/>
    <n v="3"/>
    <n v="1425.47"/>
  </r>
  <r>
    <s v="ODR00830"/>
    <d v="2025-01-11T00:00:00"/>
    <s v="Arjun Verma"/>
    <s v="East"/>
    <s v="Bhubaneswar"/>
    <x v="1"/>
    <x v="2"/>
    <s v="Chair - Furniture"/>
    <n v="7192.14"/>
    <n v="6"/>
    <n v="19"/>
    <n v="727.52"/>
  </r>
  <r>
    <s v="ODR00831"/>
    <d v="2024-05-31T00:00:00"/>
    <s v="Arjun Verma"/>
    <s v="North"/>
    <s v="Delhi"/>
    <x v="0"/>
    <x v="7"/>
    <s v="Laptop - Technology"/>
    <n v="2520.3000000000002"/>
    <n v="2"/>
    <n v="18"/>
    <n v="262.43"/>
  </r>
  <r>
    <s v="ODR00832"/>
    <d v="2025-03-08T00:00:00"/>
    <s v="Ishaan Mehta"/>
    <s v="East"/>
    <s v="Kolkata"/>
    <x v="2"/>
    <x v="5"/>
    <s v="Envelope - Office Supplies"/>
    <n v="3159.51"/>
    <n v="3"/>
    <n v="3"/>
    <n v="170"/>
  </r>
  <r>
    <s v="ODR00833"/>
    <d v="2024-05-26T00:00:00"/>
    <s v="Meera Joshi"/>
    <s v="East"/>
    <s v="Patna"/>
    <x v="1"/>
    <x v="2"/>
    <s v="Chair - Furniture"/>
    <n v="1567.68"/>
    <n v="3"/>
    <n v="17"/>
    <n v="78.709999999999994"/>
  </r>
  <r>
    <s v="ODR00834"/>
    <d v="2024-06-24T00:00:00"/>
    <s v="Aarav Patel"/>
    <s v="North"/>
    <s v="Chandigarh"/>
    <x v="1"/>
    <x v="2"/>
    <s v="Chair - Furniture"/>
    <n v="3507.18"/>
    <n v="6"/>
    <n v="23"/>
    <n v="489.59"/>
  </r>
  <r>
    <s v="ODR00835"/>
    <d v="2024-10-25T00:00:00"/>
    <s v="Diya Sharma"/>
    <s v="West"/>
    <s v="Mumbai"/>
    <x v="1"/>
    <x v="2"/>
    <s v="Chair - Furniture"/>
    <n v="6779.04"/>
    <n v="6"/>
    <n v="5"/>
    <n v="422.15"/>
  </r>
  <r>
    <s v="ODR00836"/>
    <d v="2025-04-01T00:00:00"/>
    <s v="Kriti Desai"/>
    <s v="South"/>
    <s v="Hyderabad"/>
    <x v="0"/>
    <x v="1"/>
    <s v="Printer - Technology"/>
    <n v="1188.78"/>
    <n v="2"/>
    <n v="10"/>
    <n v="81.67"/>
  </r>
  <r>
    <s v="ODR00837"/>
    <d v="2024-07-31T00:00:00"/>
    <s v="Arjun Verma"/>
    <s v="North"/>
    <s v="Jaipur"/>
    <x v="0"/>
    <x v="1"/>
    <s v="Printer - Technology"/>
    <n v="6671.43"/>
    <n v="9"/>
    <n v="27"/>
    <n v="796.8"/>
  </r>
  <r>
    <s v="ODR00838"/>
    <d v="2024-10-18T00:00:00"/>
    <s v="Saanvi Iyer"/>
    <s v="South"/>
    <s v="Bangalore"/>
    <x v="0"/>
    <x v="9"/>
    <s v="Mobile - Technology"/>
    <n v="3274.08"/>
    <n v="8"/>
    <n v="14"/>
    <n v="437.36"/>
  </r>
  <r>
    <s v="ODR00839"/>
    <d v="2024-08-14T00:00:00"/>
    <s v="Diya Sharma"/>
    <s v="West"/>
    <s v="Indore"/>
    <x v="1"/>
    <x v="4"/>
    <s v="Table - Furniture"/>
    <n v="6254"/>
    <n v="4"/>
    <n v="11"/>
    <n v="890.82"/>
  </r>
  <r>
    <s v="ODR00840"/>
    <d v="2024-06-13T00:00:00"/>
    <s v="Anaya Singh"/>
    <s v="North"/>
    <s v="Lucknow"/>
    <x v="2"/>
    <x v="8"/>
    <s v="Stapler - Office Supplies"/>
    <n v="3457.88"/>
    <n v="4"/>
    <n v="30"/>
    <n v="276.37"/>
  </r>
  <r>
    <s v="ODR00841"/>
    <d v="2024-08-16T00:00:00"/>
    <s v="Kriti Desai"/>
    <s v="South"/>
    <s v="Chennai"/>
    <x v="1"/>
    <x v="4"/>
    <s v="Table - Furniture"/>
    <n v="2268.14"/>
    <n v="7"/>
    <n v="6"/>
    <n v="249.14"/>
  </r>
  <r>
    <s v="ODR00842"/>
    <d v="2025-02-01T00:00:00"/>
    <s v="Diya Sharma"/>
    <s v="West"/>
    <s v="Nagpur"/>
    <x v="2"/>
    <x v="6"/>
    <s v="Notebook - Office Supplies"/>
    <n v="1266.57"/>
    <n v="9"/>
    <n v="20"/>
    <n v="160.6"/>
  </r>
  <r>
    <s v="ODR00843"/>
    <d v="2024-09-23T00:00:00"/>
    <s v="Arjun Verma"/>
    <s v="East"/>
    <s v="Kolkata"/>
    <x v="2"/>
    <x v="6"/>
    <s v="Notebook - Office Supplies"/>
    <n v="701.7"/>
    <n v="2"/>
    <n v="6"/>
    <n v="35.25"/>
  </r>
  <r>
    <s v="ODR00844"/>
    <d v="2024-11-11T00:00:00"/>
    <s v="Kabir Nair"/>
    <s v="West"/>
    <s v="Ahmedabad"/>
    <x v="2"/>
    <x v="8"/>
    <s v="Stapler - Office Supplies"/>
    <n v="1194.8699999999999"/>
    <n v="1"/>
    <n v="13"/>
    <n v="151.02000000000001"/>
  </r>
  <r>
    <s v="ODR00845"/>
    <d v="2024-07-01T00:00:00"/>
    <s v="Tanishq Ghosh"/>
    <s v="South"/>
    <s v="Chennai"/>
    <x v="0"/>
    <x v="0"/>
    <s v="Tablet - Technology"/>
    <n v="7021.05"/>
    <n v="5"/>
    <n v="15"/>
    <n v="1264.83"/>
  </r>
  <r>
    <s v="ODR00846"/>
    <d v="2024-10-09T00:00:00"/>
    <s v="Sneha Reddy"/>
    <s v="West"/>
    <s v="Nagpur"/>
    <x v="1"/>
    <x v="3"/>
    <s v="Cupboard - Furniture"/>
    <n v="1005.06"/>
    <n v="1"/>
    <n v="29"/>
    <n v="46.25"/>
  </r>
  <r>
    <s v="ODR00847"/>
    <d v="2024-12-02T00:00:00"/>
    <s v="Anaya Singh"/>
    <s v="West"/>
    <s v="Pune"/>
    <x v="1"/>
    <x v="2"/>
    <s v="Chair - Furniture"/>
    <n v="8064.6"/>
    <n v="6"/>
    <n v="1"/>
    <n v="1365.38"/>
  </r>
  <r>
    <s v="ODR00848"/>
    <d v="2024-09-10T00:00:00"/>
    <s v="Sneha Reddy"/>
    <s v="East"/>
    <s v="Patna"/>
    <x v="0"/>
    <x v="9"/>
    <s v="Mobile - Technology"/>
    <n v="5198.24"/>
    <n v="8"/>
    <n v="9"/>
    <n v="722.81"/>
  </r>
  <r>
    <s v="ODR00849"/>
    <d v="2024-05-18T00:00:00"/>
    <s v="Ishaan Mehta"/>
    <s v="South"/>
    <s v="Chennai"/>
    <x v="1"/>
    <x v="11"/>
    <s v="Sofa - Furniture"/>
    <n v="8254.89"/>
    <n v="9"/>
    <n v="10"/>
    <n v="688.09"/>
  </r>
  <r>
    <s v="ODR00850"/>
    <d v="2024-06-01T00:00:00"/>
    <s v="Kriti Desai"/>
    <s v="East"/>
    <s v="Bhubaneswar"/>
    <x v="2"/>
    <x v="10"/>
    <s v="Pen - Office Supplies"/>
    <n v="16609.3"/>
    <n v="10"/>
    <n v="30"/>
    <n v="2503.6"/>
  </r>
  <r>
    <s v="ODR00851"/>
    <d v="2024-08-05T00:00:00"/>
    <s v="Tanishq Ghosh"/>
    <s v="East"/>
    <s v="Bhubaneswar"/>
    <x v="2"/>
    <x v="5"/>
    <s v="Envelope - Office Supplies"/>
    <n v="10279.98"/>
    <n v="9"/>
    <n v="28"/>
    <n v="482.3"/>
  </r>
  <r>
    <s v="ODR00852"/>
    <d v="2024-09-26T00:00:00"/>
    <s v="Yuvraj Chauhan"/>
    <s v="West"/>
    <s v="Nagpur"/>
    <x v="2"/>
    <x v="5"/>
    <s v="Envelope - Office Supplies"/>
    <n v="1683.09"/>
    <n v="3"/>
    <n v="26"/>
    <n v="270.97000000000003"/>
  </r>
  <r>
    <s v="ODR00853"/>
    <d v="2025-01-22T00:00:00"/>
    <s v="Kriti Desai"/>
    <s v="North"/>
    <s v="Delhi"/>
    <x v="0"/>
    <x v="9"/>
    <s v="Mobile - Technology"/>
    <n v="16597.8"/>
    <n v="10"/>
    <n v="16"/>
    <n v="2692.54"/>
  </r>
  <r>
    <s v="ODR00854"/>
    <d v="2025-03-29T00:00:00"/>
    <s v="Diya Sharma"/>
    <s v="North"/>
    <s v="Delhi"/>
    <x v="0"/>
    <x v="7"/>
    <s v="Laptop - Technology"/>
    <n v="1801.34"/>
    <n v="2"/>
    <n v="30"/>
    <n v="110.46"/>
  </r>
  <r>
    <s v="ODR00855"/>
    <d v="2024-10-21T00:00:00"/>
    <s v="Aarav Patel"/>
    <s v="North"/>
    <s v="Jaipur"/>
    <x v="0"/>
    <x v="1"/>
    <s v="Printer - Technology"/>
    <n v="5823.96"/>
    <n v="4"/>
    <n v="16"/>
    <n v="992.09"/>
  </r>
  <r>
    <s v="ODR00856"/>
    <d v="2024-07-02T00:00:00"/>
    <s v="Diya Sharma"/>
    <s v="West"/>
    <s v="Indore"/>
    <x v="2"/>
    <x v="8"/>
    <s v="Stapler - Office Supplies"/>
    <n v="11546.76"/>
    <n v="6"/>
    <n v="19"/>
    <n v="1813.43"/>
  </r>
  <r>
    <s v="ODR00857"/>
    <d v="2025-04-01T00:00:00"/>
    <s v="Vivaan Shah"/>
    <s v="West"/>
    <s v="Nagpur"/>
    <x v="0"/>
    <x v="9"/>
    <s v="Mobile - Technology"/>
    <n v="8941.41"/>
    <n v="9"/>
    <n v="30"/>
    <n v="694.19"/>
  </r>
  <r>
    <s v="ODR00858"/>
    <d v="2024-08-17T00:00:00"/>
    <s v="Ishaan Mehta"/>
    <s v="East"/>
    <s v="Bhubaneswar"/>
    <x v="1"/>
    <x v="4"/>
    <s v="Table - Furniture"/>
    <n v="515.98"/>
    <n v="1"/>
    <n v="13"/>
    <n v="47.68"/>
  </r>
  <r>
    <s v="ODR00859"/>
    <d v="2024-06-02T00:00:00"/>
    <s v="Sneha Reddy"/>
    <s v="South"/>
    <s v="Hyderabad"/>
    <x v="0"/>
    <x v="0"/>
    <s v="Tablet - Technology"/>
    <n v="2846.58"/>
    <n v="2"/>
    <n v="22"/>
    <n v="549.17999999999995"/>
  </r>
  <r>
    <s v="ODR00860"/>
    <d v="2024-12-28T00:00:00"/>
    <s v="Anaya Singh"/>
    <s v="South"/>
    <s v="Hyderabad"/>
    <x v="1"/>
    <x v="2"/>
    <s v="Chair - Furniture"/>
    <n v="9961.1200000000008"/>
    <n v="8"/>
    <n v="24"/>
    <n v="1052.79"/>
  </r>
  <r>
    <s v="ODR00861"/>
    <d v="2024-05-15T00:00:00"/>
    <s v="Tanishq Ghosh"/>
    <s v="East"/>
    <s v="Patna"/>
    <x v="0"/>
    <x v="7"/>
    <s v="Laptop - Technology"/>
    <n v="548.46"/>
    <n v="1"/>
    <n v="24"/>
    <n v="22.49"/>
  </r>
  <r>
    <s v="ODR00862"/>
    <d v="2025-04-29T00:00:00"/>
    <s v="Kriti Desai"/>
    <s v="South"/>
    <s v="Bangalore"/>
    <x v="0"/>
    <x v="9"/>
    <s v="Mobile - Technology"/>
    <n v="1897.2"/>
    <n v="10"/>
    <n v="11"/>
    <n v="341"/>
  </r>
  <r>
    <s v="ODR00863"/>
    <d v="2024-06-28T00:00:00"/>
    <s v="Anaya Singh"/>
    <s v="West"/>
    <s v="Indore"/>
    <x v="1"/>
    <x v="3"/>
    <s v="Cupboard - Furniture"/>
    <n v="1264.75"/>
    <n v="5"/>
    <n v="10"/>
    <n v="235.03"/>
  </r>
  <r>
    <s v="ODR00864"/>
    <d v="2025-01-13T00:00:00"/>
    <s v="Arjun Verma"/>
    <s v="North"/>
    <s v="Lucknow"/>
    <x v="2"/>
    <x v="10"/>
    <s v="Pen - Office Supplies"/>
    <n v="1582.74"/>
    <n v="1"/>
    <n v="27"/>
    <n v="145.09"/>
  </r>
  <r>
    <s v="ODR00865"/>
    <d v="2024-10-10T00:00:00"/>
    <s v="Meera Joshi"/>
    <s v="South"/>
    <s v="Chennai"/>
    <x v="1"/>
    <x v="2"/>
    <s v="Chair - Furniture"/>
    <n v="5842.92"/>
    <n v="4"/>
    <n v="15"/>
    <n v="1196.26"/>
  </r>
  <r>
    <s v="ODR00866"/>
    <d v="2024-06-24T00:00:00"/>
    <s v="Diya Sharma"/>
    <s v="North"/>
    <s v="Jaipur"/>
    <x v="1"/>
    <x v="4"/>
    <s v="Table - Furniture"/>
    <n v="3775.83"/>
    <n v="3"/>
    <n v="28"/>
    <n v="645.46"/>
  </r>
  <r>
    <s v="ODR00867"/>
    <d v="2024-08-04T00:00:00"/>
    <s v="Sneha Reddy"/>
    <s v="West"/>
    <s v="Ahmedabad"/>
    <x v="0"/>
    <x v="1"/>
    <s v="Printer - Technology"/>
    <n v="15228"/>
    <n v="9"/>
    <n v="17"/>
    <n v="2050.6799999999998"/>
  </r>
  <r>
    <s v="ODR00868"/>
    <d v="2024-07-30T00:00:00"/>
    <s v="Saanvi Iyer"/>
    <s v="South"/>
    <s v="Hyderabad"/>
    <x v="0"/>
    <x v="9"/>
    <s v="Mobile - Technology"/>
    <n v="11171.84"/>
    <n v="8"/>
    <n v="1"/>
    <n v="2236.56"/>
  </r>
  <r>
    <s v="ODR00869"/>
    <d v="2024-05-16T00:00:00"/>
    <s v="Riya Kapoor"/>
    <s v="North"/>
    <s v="Jaipur"/>
    <x v="1"/>
    <x v="4"/>
    <s v="Table - Furniture"/>
    <n v="10296.24"/>
    <n v="6"/>
    <n v="28"/>
    <n v="1243.8499999999999"/>
  </r>
  <r>
    <s v="ODR00870"/>
    <d v="2024-06-01T00:00:00"/>
    <s v="Meera Joshi"/>
    <s v="North"/>
    <s v="Chandigarh"/>
    <x v="1"/>
    <x v="2"/>
    <s v="Chair - Furniture"/>
    <n v="6321.07"/>
    <n v="7"/>
    <n v="11"/>
    <n v="556.62"/>
  </r>
  <r>
    <s v="ODR00871"/>
    <d v="2024-07-28T00:00:00"/>
    <s v="Anaya Singh"/>
    <s v="East"/>
    <s v="Kolkata"/>
    <x v="1"/>
    <x v="3"/>
    <s v="Cupboard - Furniture"/>
    <n v="7489.3"/>
    <n v="10"/>
    <n v="8"/>
    <n v="1147.53"/>
  </r>
  <r>
    <s v="ODR00872"/>
    <d v="2025-03-10T00:00:00"/>
    <s v="Arjun Verma"/>
    <s v="North"/>
    <s v="Chandigarh"/>
    <x v="1"/>
    <x v="3"/>
    <s v="Cupboard - Furniture"/>
    <n v="2180.2800000000002"/>
    <n v="4"/>
    <n v="14"/>
    <n v="208.99"/>
  </r>
  <r>
    <s v="ODR00873"/>
    <d v="2024-12-03T00:00:00"/>
    <s v="Aarav Patel"/>
    <s v="North"/>
    <s v="Delhi"/>
    <x v="0"/>
    <x v="0"/>
    <s v="Tablet - Technology"/>
    <n v="3084.66"/>
    <n v="9"/>
    <n v="14"/>
    <n v="645.59"/>
  </r>
  <r>
    <s v="ODR00874"/>
    <d v="2024-05-19T00:00:00"/>
    <s v="Vivaan Shah"/>
    <s v="North"/>
    <s v="Chandigarh"/>
    <x v="2"/>
    <x v="10"/>
    <s v="Pen - Office Supplies"/>
    <n v="2533.16"/>
    <n v="7"/>
    <n v="22"/>
    <n v="258.10000000000002"/>
  </r>
  <r>
    <s v="ODR00875"/>
    <d v="2025-04-07T00:00:00"/>
    <s v="Arjun Verma"/>
    <s v="West"/>
    <s v="Nagpur"/>
    <x v="1"/>
    <x v="4"/>
    <s v="Table - Furniture"/>
    <n v="14603.13"/>
    <n v="9"/>
    <n v="9"/>
    <n v="1017.9"/>
  </r>
  <r>
    <s v="ODR00876"/>
    <d v="2024-07-27T00:00:00"/>
    <s v="Tanishq Ghosh"/>
    <s v="North"/>
    <s v="Chandigarh"/>
    <x v="2"/>
    <x v="6"/>
    <s v="Notebook - Office Supplies"/>
    <n v="6008.84"/>
    <n v="4"/>
    <n v="18"/>
    <n v="666.36"/>
  </r>
  <r>
    <s v="ODR00877"/>
    <d v="2024-12-29T00:00:00"/>
    <s v="Riya Kapoor"/>
    <s v="North"/>
    <s v="Lucknow"/>
    <x v="1"/>
    <x v="2"/>
    <s v="Chair - Furniture"/>
    <n v="4860.45"/>
    <n v="5"/>
    <n v="2"/>
    <n v="935.8"/>
  </r>
  <r>
    <s v="ODR00878"/>
    <d v="2025-03-18T00:00:00"/>
    <s v="Krishna Das"/>
    <s v="South"/>
    <s v="Hyderabad"/>
    <x v="1"/>
    <x v="11"/>
    <s v="Sofa - Furniture"/>
    <n v="9004.94"/>
    <n v="7"/>
    <n v="5"/>
    <n v="1330.41"/>
  </r>
  <r>
    <s v="ODR00879"/>
    <d v="2025-04-12T00:00:00"/>
    <s v="Kabir Nair"/>
    <s v="West"/>
    <s v="Indore"/>
    <x v="2"/>
    <x v="6"/>
    <s v="Notebook - Office Supplies"/>
    <n v="1773.02"/>
    <n v="2"/>
    <n v="28"/>
    <n v="254.55"/>
  </r>
  <r>
    <s v="ODR00880"/>
    <d v="2025-01-31T00:00:00"/>
    <s v="Ishaan Mehta"/>
    <s v="North"/>
    <s v="Delhi"/>
    <x v="1"/>
    <x v="3"/>
    <s v="Cupboard - Furniture"/>
    <n v="4637.24"/>
    <n v="4"/>
    <n v="8"/>
    <n v="555.17999999999995"/>
  </r>
  <r>
    <s v="ODR00881"/>
    <d v="2025-01-20T00:00:00"/>
    <s v="Aarav Patel"/>
    <s v="North"/>
    <s v="Delhi"/>
    <x v="1"/>
    <x v="2"/>
    <s v="Chair - Furniture"/>
    <n v="3497.46"/>
    <n v="6"/>
    <n v="17"/>
    <n v="520.75"/>
  </r>
  <r>
    <s v="ODR00882"/>
    <d v="2024-12-15T00:00:00"/>
    <s v="Vivaan Shah"/>
    <s v="South"/>
    <s v="Hyderabad"/>
    <x v="0"/>
    <x v="9"/>
    <s v="Mobile - Technology"/>
    <n v="2838"/>
    <n v="10"/>
    <n v="6"/>
    <n v="219.38"/>
  </r>
  <r>
    <s v="ODR00883"/>
    <d v="2024-10-26T00:00:00"/>
    <s v="Anaya Singh"/>
    <s v="North"/>
    <s v="Lucknow"/>
    <x v="0"/>
    <x v="0"/>
    <s v="Tablet - Technology"/>
    <n v="7165.65"/>
    <n v="5"/>
    <n v="29"/>
    <n v="903.11"/>
  </r>
  <r>
    <s v="ODR00884"/>
    <d v="2024-08-06T00:00:00"/>
    <s v="Kabir Nair"/>
    <s v="South"/>
    <s v="Bangalore"/>
    <x v="2"/>
    <x v="8"/>
    <s v="Stapler - Office Supplies"/>
    <n v="15267.52"/>
    <n v="8"/>
    <n v="5"/>
    <n v="1279.6099999999999"/>
  </r>
  <r>
    <s v="ODR00885"/>
    <d v="2024-07-12T00:00:00"/>
    <s v="Kabir Nair"/>
    <s v="East"/>
    <s v="Kolkata"/>
    <x v="0"/>
    <x v="0"/>
    <s v="Tablet - Technology"/>
    <n v="1977.18"/>
    <n v="2"/>
    <n v="16"/>
    <n v="93.63"/>
  </r>
  <r>
    <s v="ODR00886"/>
    <d v="2025-05-01T00:00:00"/>
    <s v="Tanishq Ghosh"/>
    <s v="East"/>
    <s v="Kolkata"/>
    <x v="2"/>
    <x v="5"/>
    <s v="Envelope - Office Supplies"/>
    <n v="6201.7"/>
    <n v="5"/>
    <n v="15"/>
    <n v="1298.6199999999999"/>
  </r>
  <r>
    <s v="ODR00887"/>
    <d v="2024-05-21T00:00:00"/>
    <s v="Riya Kapoor"/>
    <s v="West"/>
    <s v="Nagpur"/>
    <x v="2"/>
    <x v="5"/>
    <s v="Envelope - Office Supplies"/>
    <n v="3568.92"/>
    <n v="6"/>
    <n v="19"/>
    <n v="234.81"/>
  </r>
  <r>
    <s v="ODR00888"/>
    <d v="2024-06-26T00:00:00"/>
    <s v="Tanishq Ghosh"/>
    <s v="South"/>
    <s v="Bangalore"/>
    <x v="1"/>
    <x v="3"/>
    <s v="Cupboard - Furniture"/>
    <n v="6698.4"/>
    <n v="10"/>
    <n v="22"/>
    <n v="1088.74"/>
  </r>
  <r>
    <s v="ODR00889"/>
    <d v="2024-09-28T00:00:00"/>
    <s v="Anaya Singh"/>
    <s v="South"/>
    <s v="Chennai"/>
    <x v="1"/>
    <x v="3"/>
    <s v="Cupboard - Furniture"/>
    <n v="8369.76"/>
    <n v="6"/>
    <n v="2"/>
    <n v="434.92"/>
  </r>
  <r>
    <s v="ODR00890"/>
    <d v="2024-08-09T00:00:00"/>
    <s v="Yuvraj Chauhan"/>
    <s v="West"/>
    <s v="Pune"/>
    <x v="2"/>
    <x v="6"/>
    <s v="Notebook - Office Supplies"/>
    <n v="1410.56"/>
    <n v="4"/>
    <n v="17"/>
    <n v="177.21"/>
  </r>
  <r>
    <s v="ODR00891"/>
    <d v="2025-04-19T00:00:00"/>
    <s v="Vivaan Shah"/>
    <s v="West"/>
    <s v="Indore"/>
    <x v="0"/>
    <x v="9"/>
    <s v="Mobile - Technology"/>
    <n v="170.18"/>
    <n v="1"/>
    <n v="27"/>
    <n v="22.09"/>
  </r>
  <r>
    <s v="ODR00892"/>
    <d v="2025-03-15T00:00:00"/>
    <s v="Ishaan Mehta"/>
    <s v="East"/>
    <s v="Bhubaneswar"/>
    <x v="0"/>
    <x v="0"/>
    <s v="Tablet - Technology"/>
    <n v="1095.8399999999999"/>
    <n v="9"/>
    <n v="21"/>
    <n v="148.99"/>
  </r>
  <r>
    <s v="ODR00893"/>
    <d v="2025-02-03T00:00:00"/>
    <s v="Riya Kapoor"/>
    <s v="West"/>
    <s v="Mumbai"/>
    <x v="1"/>
    <x v="2"/>
    <s v="Chair - Furniture"/>
    <n v="871.26"/>
    <n v="3"/>
    <n v="12"/>
    <n v="166.77"/>
  </r>
  <r>
    <s v="ODR00894"/>
    <d v="2025-05-10T00:00:00"/>
    <s v="Kriti Desai"/>
    <s v="South"/>
    <s v="Bangalore"/>
    <x v="1"/>
    <x v="11"/>
    <s v="Sofa - Furniture"/>
    <n v="822.07"/>
    <n v="1"/>
    <n v="27"/>
    <n v="62.91"/>
  </r>
  <r>
    <s v="ODR00895"/>
    <d v="2024-07-22T00:00:00"/>
    <s v="Anaya Singh"/>
    <s v="North"/>
    <s v="Chandigarh"/>
    <x v="1"/>
    <x v="11"/>
    <s v="Sofa - Furniture"/>
    <n v="3441.33"/>
    <n v="9"/>
    <n v="6"/>
    <n v="782.56"/>
  </r>
  <r>
    <s v="ODR00896"/>
    <d v="2025-01-24T00:00:00"/>
    <s v="Krishna Das"/>
    <s v="North"/>
    <s v="Chandigarh"/>
    <x v="1"/>
    <x v="4"/>
    <s v="Table - Furniture"/>
    <n v="1200.55"/>
    <n v="1"/>
    <n v="3"/>
    <n v="172.11"/>
  </r>
  <r>
    <s v="ODR00897"/>
    <d v="2024-11-12T00:00:00"/>
    <s v="Anaya Singh"/>
    <s v="North"/>
    <s v="Lucknow"/>
    <x v="2"/>
    <x v="6"/>
    <s v="Notebook - Office Supplies"/>
    <n v="3094.84"/>
    <n v="7"/>
    <n v="10"/>
    <n v="416.86"/>
  </r>
  <r>
    <s v="ODR00898"/>
    <d v="2025-03-12T00:00:00"/>
    <s v="Saanvi Iyer"/>
    <s v="West"/>
    <s v="Mumbai"/>
    <x v="2"/>
    <x v="6"/>
    <s v="Notebook - Office Supplies"/>
    <n v="5350.59"/>
    <n v="7"/>
    <n v="11"/>
    <n v="1184.03"/>
  </r>
  <r>
    <s v="ODR00899"/>
    <d v="2024-05-19T00:00:00"/>
    <s v="Krishna Das"/>
    <s v="East"/>
    <s v="Patna"/>
    <x v="1"/>
    <x v="4"/>
    <s v="Table - Furniture"/>
    <n v="17243.37"/>
    <n v="9"/>
    <n v="17"/>
    <n v="2074.2800000000002"/>
  </r>
  <r>
    <s v="ODR00900"/>
    <d v="2024-12-19T00:00:00"/>
    <s v="Kabir Nair"/>
    <s v="South"/>
    <s v="Bangalore"/>
    <x v="2"/>
    <x v="6"/>
    <s v="Notebook - Office Supplies"/>
    <n v="424.17"/>
    <n v="3"/>
    <n v="13"/>
    <n v="76.23"/>
  </r>
  <r>
    <s v="ODR00901"/>
    <d v="2025-02-02T00:00:00"/>
    <s v="Vivaan Shah"/>
    <s v="East"/>
    <s v="Bhubaneswar"/>
    <x v="0"/>
    <x v="1"/>
    <s v="Printer - Technology"/>
    <n v="3233.76"/>
    <n v="3"/>
    <n v="22"/>
    <n v="476.6"/>
  </r>
  <r>
    <s v="ODR00902"/>
    <d v="2024-09-01T00:00:00"/>
    <s v="Kabir Nair"/>
    <s v="West"/>
    <s v="Indore"/>
    <x v="0"/>
    <x v="0"/>
    <s v="Tablet - Technology"/>
    <n v="3606.3"/>
    <n v="5"/>
    <n v="23"/>
    <n v="322.92"/>
  </r>
  <r>
    <s v="ODR00903"/>
    <d v="2024-08-03T00:00:00"/>
    <s v="Kabir Nair"/>
    <s v="West"/>
    <s v="Indore"/>
    <x v="1"/>
    <x v="2"/>
    <s v="Chair - Furniture"/>
    <n v="997.18"/>
    <n v="1"/>
    <n v="2"/>
    <n v="183.03"/>
  </r>
  <r>
    <s v="ODR00904"/>
    <d v="2025-04-16T00:00:00"/>
    <s v="Anaya Singh"/>
    <s v="North"/>
    <s v="Delhi"/>
    <x v="0"/>
    <x v="0"/>
    <s v="Tablet - Technology"/>
    <n v="10171.040000000001"/>
    <n v="8"/>
    <n v="0"/>
    <n v="1221.69"/>
  </r>
  <r>
    <s v="ODR00905"/>
    <d v="2024-12-16T00:00:00"/>
    <s v="Diya Sharma"/>
    <s v="North"/>
    <s v="Lucknow"/>
    <x v="1"/>
    <x v="2"/>
    <s v="Chair - Furniture"/>
    <n v="1274.55"/>
    <n v="5"/>
    <n v="13"/>
    <n v="230.44"/>
  </r>
  <r>
    <s v="ODR00906"/>
    <d v="2024-12-16T00:00:00"/>
    <s v="Riya Kapoor"/>
    <s v="North"/>
    <s v="Lucknow"/>
    <x v="0"/>
    <x v="9"/>
    <s v="Mobile - Technology"/>
    <n v="7379"/>
    <n v="10"/>
    <n v="29"/>
    <n v="818.96"/>
  </r>
  <r>
    <s v="ODR00907"/>
    <d v="2024-09-06T00:00:00"/>
    <s v="Krishna Das"/>
    <s v="East"/>
    <s v="Patna"/>
    <x v="2"/>
    <x v="5"/>
    <s v="Envelope - Office Supplies"/>
    <n v="6047.4"/>
    <n v="6"/>
    <n v="8"/>
    <n v="796.14"/>
  </r>
  <r>
    <s v="ODR00908"/>
    <d v="2024-11-19T00:00:00"/>
    <s v="Arjun Verma"/>
    <s v="West"/>
    <s v="Ahmedabad"/>
    <x v="0"/>
    <x v="0"/>
    <s v="Tablet - Technology"/>
    <n v="904.52"/>
    <n v="4"/>
    <n v="19"/>
    <n v="108.23"/>
  </r>
  <r>
    <s v="ODR00909"/>
    <d v="2025-04-09T00:00:00"/>
    <s v="Riya Kapoor"/>
    <s v="South"/>
    <s v="Hyderabad"/>
    <x v="1"/>
    <x v="3"/>
    <s v="Cupboard - Furniture"/>
    <n v="6434"/>
    <n v="4"/>
    <n v="5"/>
    <n v="563.72"/>
  </r>
  <r>
    <s v="ODR00910"/>
    <d v="2025-05-04T00:00:00"/>
    <s v="Tanishq Ghosh"/>
    <s v="North"/>
    <s v="Lucknow"/>
    <x v="0"/>
    <x v="7"/>
    <s v="Laptop - Technology"/>
    <n v="10950.03"/>
    <n v="7"/>
    <n v="14"/>
    <n v="1930.27"/>
  </r>
  <r>
    <s v="ODR00911"/>
    <d v="2025-02-28T00:00:00"/>
    <s v="Arjun Verma"/>
    <s v="North"/>
    <s v="Delhi"/>
    <x v="2"/>
    <x v="6"/>
    <s v="Notebook - Office Supplies"/>
    <n v="5807.97"/>
    <n v="9"/>
    <n v="16"/>
    <n v="248.42"/>
  </r>
  <r>
    <s v="ODR00912"/>
    <d v="2025-03-03T00:00:00"/>
    <s v="Riya Kapoor"/>
    <s v="North"/>
    <s v="Chandigarh"/>
    <x v="1"/>
    <x v="11"/>
    <s v="Sofa - Furniture"/>
    <n v="2017.1"/>
    <n v="10"/>
    <n v="23"/>
    <n v="225.15"/>
  </r>
  <r>
    <s v="ODR00913"/>
    <d v="2024-12-29T00:00:00"/>
    <s v="Saanvi Iyer"/>
    <s v="South"/>
    <s v="Hyderabad"/>
    <x v="0"/>
    <x v="9"/>
    <s v="Mobile - Technology"/>
    <n v="8688.33"/>
    <n v="7"/>
    <n v="0"/>
    <n v="569.9"/>
  </r>
  <r>
    <s v="ODR00914"/>
    <d v="2024-06-10T00:00:00"/>
    <s v="Kriti Desai"/>
    <s v="North"/>
    <s v="Chandigarh"/>
    <x v="1"/>
    <x v="4"/>
    <s v="Table - Furniture"/>
    <n v="9049.5"/>
    <n v="10"/>
    <n v="9"/>
    <n v="751.97"/>
  </r>
  <r>
    <s v="ODR00915"/>
    <d v="2024-06-10T00:00:00"/>
    <s v="Tanishq Ghosh"/>
    <s v="North"/>
    <s v="Lucknow"/>
    <x v="0"/>
    <x v="0"/>
    <s v="Tablet - Technology"/>
    <n v="13887.52"/>
    <n v="8"/>
    <n v="10"/>
    <n v="889.19"/>
  </r>
  <r>
    <s v="ODR00916"/>
    <d v="2025-01-13T00:00:00"/>
    <s v="Saanvi Iyer"/>
    <s v="West"/>
    <s v="Indore"/>
    <x v="0"/>
    <x v="7"/>
    <s v="Laptop - Technology"/>
    <n v="1412.78"/>
    <n v="2"/>
    <n v="27"/>
    <n v="133.56"/>
  </r>
  <r>
    <s v="ODR00917"/>
    <d v="2024-08-29T00:00:00"/>
    <s v="Yuvraj Chauhan"/>
    <s v="North"/>
    <s v="Jaipur"/>
    <x v="0"/>
    <x v="1"/>
    <s v="Printer - Technology"/>
    <n v="8595.36"/>
    <n v="6"/>
    <n v="12"/>
    <n v="1266.48"/>
  </r>
  <r>
    <s v="ODR00918"/>
    <d v="2024-05-28T00:00:00"/>
    <s v="Tanishq Ghosh"/>
    <s v="East"/>
    <s v="Patna"/>
    <x v="0"/>
    <x v="1"/>
    <s v="Printer - Technology"/>
    <n v="4603.2"/>
    <n v="8"/>
    <n v="13"/>
    <n v="538.96"/>
  </r>
  <r>
    <s v="ODR00919"/>
    <d v="2025-03-29T00:00:00"/>
    <s v="Riya Kapoor"/>
    <s v="South"/>
    <s v="Chennai"/>
    <x v="1"/>
    <x v="11"/>
    <s v="Sofa - Furniture"/>
    <n v="7423.3"/>
    <n v="10"/>
    <n v="23"/>
    <n v="692.83"/>
  </r>
  <r>
    <s v="ODR00920"/>
    <d v="2025-02-06T00:00:00"/>
    <s v="Yuvraj Chauhan"/>
    <s v="East"/>
    <s v="Kolkata"/>
    <x v="1"/>
    <x v="4"/>
    <s v="Table - Furniture"/>
    <n v="6911.44"/>
    <n v="8"/>
    <n v="24"/>
    <n v="1287.47"/>
  </r>
  <r>
    <s v="ODR00921"/>
    <d v="2025-04-30T00:00:00"/>
    <s v="Ishaan Mehta"/>
    <s v="East"/>
    <s v="Kolkata"/>
    <x v="0"/>
    <x v="0"/>
    <s v="Tablet - Technology"/>
    <n v="5355.98"/>
    <n v="7"/>
    <n v="16"/>
    <n v="491.6"/>
  </r>
  <r>
    <s v="ODR00922"/>
    <d v="2024-07-25T00:00:00"/>
    <s v="Riya Kapoor"/>
    <s v="West"/>
    <s v="Ahmedabad"/>
    <x v="1"/>
    <x v="2"/>
    <s v="Chair - Furniture"/>
    <n v="1129.52"/>
    <n v="1"/>
    <n v="7.0000000000000009"/>
    <n v="213.39"/>
  </r>
  <r>
    <s v="ODR00923"/>
    <d v="2024-11-15T00:00:00"/>
    <s v="Vivaan Shah"/>
    <s v="East"/>
    <s v="Patna"/>
    <x v="0"/>
    <x v="0"/>
    <s v="Tablet - Technology"/>
    <n v="3572.13"/>
    <n v="3"/>
    <n v="6"/>
    <n v="625.66999999999996"/>
  </r>
  <r>
    <s v="ODR00924"/>
    <d v="2025-03-28T00:00:00"/>
    <s v="Krishna Das"/>
    <s v="North"/>
    <s v="Jaipur"/>
    <x v="0"/>
    <x v="0"/>
    <s v="Tablet - Technology"/>
    <n v="3581"/>
    <n v="5"/>
    <n v="10"/>
    <n v="589.19000000000005"/>
  </r>
  <r>
    <s v="ODR00925"/>
    <d v="2024-07-23T00:00:00"/>
    <s v="Ishaan Mehta"/>
    <s v="East"/>
    <s v="Kolkata"/>
    <x v="0"/>
    <x v="9"/>
    <s v="Mobile - Technology"/>
    <n v="4371.3900000000003"/>
    <n v="9"/>
    <n v="23"/>
    <n v="677.41"/>
  </r>
  <r>
    <s v="ODR00926"/>
    <d v="2024-09-11T00:00:00"/>
    <s v="Saanvi Iyer"/>
    <s v="West"/>
    <s v="Ahmedabad"/>
    <x v="2"/>
    <x v="6"/>
    <s v="Notebook - Office Supplies"/>
    <n v="6161.6"/>
    <n v="10"/>
    <n v="29"/>
    <n v="627.5"/>
  </r>
  <r>
    <s v="ODR00927"/>
    <d v="2024-12-23T00:00:00"/>
    <s v="Krishna Das"/>
    <s v="North"/>
    <s v="Lucknow"/>
    <x v="2"/>
    <x v="5"/>
    <s v="Envelope - Office Supplies"/>
    <n v="14756.5"/>
    <n v="10"/>
    <n v="11"/>
    <n v="767.39"/>
  </r>
  <r>
    <s v="ODR00928"/>
    <d v="2024-09-18T00:00:00"/>
    <s v="Ishaan Mehta"/>
    <s v="North"/>
    <s v="Chandigarh"/>
    <x v="2"/>
    <x v="8"/>
    <s v="Stapler - Office Supplies"/>
    <n v="3923.31"/>
    <n v="3"/>
    <n v="13"/>
    <n v="717.44"/>
  </r>
  <r>
    <s v="ODR00929"/>
    <d v="2024-12-13T00:00:00"/>
    <s v="Aarav Patel"/>
    <s v="East"/>
    <s v="Bhubaneswar"/>
    <x v="2"/>
    <x v="8"/>
    <s v="Stapler - Office Supplies"/>
    <n v="7072.12"/>
    <n v="4"/>
    <n v="25"/>
    <n v="820.47"/>
  </r>
  <r>
    <s v="ODR00930"/>
    <d v="2025-03-12T00:00:00"/>
    <s v="Aarav Patel"/>
    <s v="East"/>
    <s v="Patna"/>
    <x v="2"/>
    <x v="5"/>
    <s v="Envelope - Office Supplies"/>
    <n v="9693"/>
    <n v="5"/>
    <n v="15"/>
    <n v="1697.4"/>
  </r>
  <r>
    <s v="ODR00931"/>
    <d v="2025-03-31T00:00:00"/>
    <s v="Krishna Das"/>
    <s v="South"/>
    <s v="Bangalore"/>
    <x v="2"/>
    <x v="5"/>
    <s v="Envelope - Office Supplies"/>
    <n v="1899.69"/>
    <n v="3"/>
    <n v="24"/>
    <n v="213.32"/>
  </r>
  <r>
    <s v="ODR00932"/>
    <d v="2024-11-13T00:00:00"/>
    <s v="Vivaan Shah"/>
    <s v="East"/>
    <s v="Patna"/>
    <x v="0"/>
    <x v="9"/>
    <s v="Mobile - Technology"/>
    <n v="1414.4"/>
    <n v="10"/>
    <n v="19"/>
    <n v="155.97999999999999"/>
  </r>
  <r>
    <s v="ODR00933"/>
    <d v="2025-04-25T00:00:00"/>
    <s v="Vivaan Shah"/>
    <s v="North"/>
    <s v="Lucknow"/>
    <x v="2"/>
    <x v="6"/>
    <s v="Notebook - Office Supplies"/>
    <n v="9395.2800000000007"/>
    <n v="6"/>
    <n v="21"/>
    <n v="756.37"/>
  </r>
  <r>
    <s v="ODR00934"/>
    <d v="2025-01-06T00:00:00"/>
    <s v="Arjun Verma"/>
    <s v="South"/>
    <s v="Hyderabad"/>
    <x v="0"/>
    <x v="1"/>
    <s v="Printer - Technology"/>
    <n v="11818.26"/>
    <n v="6"/>
    <n v="15"/>
    <n v="2022.04"/>
  </r>
  <r>
    <s v="ODR00935"/>
    <d v="2025-01-26T00:00:00"/>
    <s v="Kriti Desai"/>
    <s v="South"/>
    <s v="Chennai"/>
    <x v="1"/>
    <x v="4"/>
    <s v="Table - Furniture"/>
    <n v="4266.6000000000004"/>
    <n v="6"/>
    <n v="9"/>
    <n v="216.06"/>
  </r>
  <r>
    <s v="ODR00936"/>
    <d v="2024-10-10T00:00:00"/>
    <s v="Diya Sharma"/>
    <s v="South"/>
    <s v="Hyderabad"/>
    <x v="0"/>
    <x v="7"/>
    <s v="Laptop - Technology"/>
    <n v="915.78"/>
    <n v="6"/>
    <n v="29"/>
    <n v="106.86"/>
  </r>
  <r>
    <s v="ODR00937"/>
    <d v="2024-06-03T00:00:00"/>
    <s v="Diya Sharma"/>
    <s v="South"/>
    <s v="Bangalore"/>
    <x v="2"/>
    <x v="5"/>
    <s v="Envelope - Office Supplies"/>
    <n v="6302.55"/>
    <n v="5"/>
    <n v="22"/>
    <n v="898.54"/>
  </r>
  <r>
    <s v="ODR00938"/>
    <d v="2025-01-02T00:00:00"/>
    <s v="Arjun Verma"/>
    <s v="South"/>
    <s v="Chennai"/>
    <x v="0"/>
    <x v="1"/>
    <s v="Printer - Technology"/>
    <n v="1547.52"/>
    <n v="8"/>
    <n v="1"/>
    <n v="255.84"/>
  </r>
  <r>
    <s v="ODR00939"/>
    <d v="2024-09-19T00:00:00"/>
    <s v="Krishna Das"/>
    <s v="North"/>
    <s v="Chandigarh"/>
    <x v="0"/>
    <x v="1"/>
    <s v="Printer - Technology"/>
    <n v="2476.7199999999998"/>
    <n v="8"/>
    <n v="27"/>
    <n v="158.77000000000001"/>
  </r>
  <r>
    <s v="ODR00940"/>
    <d v="2025-02-06T00:00:00"/>
    <s v="Kabir Nair"/>
    <s v="East"/>
    <s v="Kolkata"/>
    <x v="2"/>
    <x v="6"/>
    <s v="Notebook - Office Supplies"/>
    <n v="3057.06"/>
    <n v="6"/>
    <n v="25"/>
    <n v="125.21"/>
  </r>
  <r>
    <s v="ODR00941"/>
    <d v="2025-03-16T00:00:00"/>
    <s v="Riya Kapoor"/>
    <s v="North"/>
    <s v="Delhi"/>
    <x v="1"/>
    <x v="4"/>
    <s v="Table - Furniture"/>
    <n v="7195.05"/>
    <n v="5"/>
    <n v="24"/>
    <n v="696.09"/>
  </r>
  <r>
    <s v="ODR00942"/>
    <d v="2024-11-08T00:00:00"/>
    <s v="Tanishq Ghosh"/>
    <s v="North"/>
    <s v="Chandigarh"/>
    <x v="1"/>
    <x v="11"/>
    <s v="Sofa - Furniture"/>
    <n v="1055.52"/>
    <n v="2"/>
    <n v="29"/>
    <n v="76.08"/>
  </r>
  <r>
    <s v="ODR00943"/>
    <d v="2024-12-15T00:00:00"/>
    <s v="Yuvraj Chauhan"/>
    <s v="East"/>
    <s v="Bhubaneswar"/>
    <x v="0"/>
    <x v="1"/>
    <s v="Printer - Technology"/>
    <n v="816.7"/>
    <n v="2"/>
    <n v="8"/>
    <n v="139.36000000000001"/>
  </r>
  <r>
    <s v="ODR00944"/>
    <d v="2024-07-12T00:00:00"/>
    <s v="Kabir Nair"/>
    <s v="South"/>
    <s v="Bangalore"/>
    <x v="0"/>
    <x v="1"/>
    <s v="Printer - Technology"/>
    <n v="2143.1999999999998"/>
    <n v="2"/>
    <n v="17"/>
    <n v="402.86"/>
  </r>
  <r>
    <s v="ODR00945"/>
    <d v="2024-11-27T00:00:00"/>
    <s v="Saanvi Iyer"/>
    <s v="West"/>
    <s v="Nagpur"/>
    <x v="2"/>
    <x v="6"/>
    <s v="Notebook - Office Supplies"/>
    <n v="5907.3"/>
    <n v="6"/>
    <n v="25"/>
    <n v="679.56"/>
  </r>
  <r>
    <s v="ODR00946"/>
    <d v="2025-02-13T00:00:00"/>
    <s v="Krishna Das"/>
    <s v="West"/>
    <s v="Ahmedabad"/>
    <x v="0"/>
    <x v="7"/>
    <s v="Laptop - Technology"/>
    <n v="15049.6"/>
    <n v="8"/>
    <n v="17"/>
    <n v="2191.15"/>
  </r>
  <r>
    <s v="ODR00947"/>
    <d v="2024-08-24T00:00:00"/>
    <s v="Anaya Singh"/>
    <s v="North"/>
    <s v="Jaipur"/>
    <x v="2"/>
    <x v="5"/>
    <s v="Envelope - Office Supplies"/>
    <n v="7326.45"/>
    <n v="5"/>
    <n v="13"/>
    <n v="465.92"/>
  </r>
  <r>
    <s v="ODR00948"/>
    <d v="2024-05-14T00:00:00"/>
    <s v="Vivaan Shah"/>
    <s v="South"/>
    <s v="Hyderabad"/>
    <x v="1"/>
    <x v="2"/>
    <s v="Chair - Furniture"/>
    <n v="11029.69"/>
    <n v="7"/>
    <n v="25"/>
    <n v="1383.81"/>
  </r>
  <r>
    <s v="ODR00949"/>
    <d v="2025-02-06T00:00:00"/>
    <s v="Meera Joshi"/>
    <s v="East"/>
    <s v="Patna"/>
    <x v="1"/>
    <x v="2"/>
    <s v="Chair - Furniture"/>
    <n v="13069"/>
    <n v="10"/>
    <n v="29"/>
    <n v="924"/>
  </r>
  <r>
    <s v="ODR00950"/>
    <d v="2024-06-15T00:00:00"/>
    <s v="Arjun Verma"/>
    <s v="East"/>
    <s v="Bhubaneswar"/>
    <x v="1"/>
    <x v="2"/>
    <s v="Chair - Furniture"/>
    <n v="2964.12"/>
    <n v="6"/>
    <n v="6"/>
    <n v="629.6"/>
  </r>
  <r>
    <s v="ODR00951"/>
    <d v="2025-02-18T00:00:00"/>
    <s v="Meera Joshi"/>
    <s v="West"/>
    <s v="Ahmedabad"/>
    <x v="1"/>
    <x v="11"/>
    <s v="Sofa - Furniture"/>
    <n v="6357.82"/>
    <n v="7"/>
    <n v="18"/>
    <n v="1178.2"/>
  </r>
  <r>
    <s v="ODR00952"/>
    <d v="2024-10-12T00:00:00"/>
    <s v="Yuvraj Chauhan"/>
    <s v="East"/>
    <s v="Patna"/>
    <x v="1"/>
    <x v="4"/>
    <s v="Table - Furniture"/>
    <n v="3449.2"/>
    <n v="8"/>
    <n v="0"/>
    <n v="516.08000000000004"/>
  </r>
  <r>
    <s v="ODR00953"/>
    <d v="2024-10-19T00:00:00"/>
    <s v="Arjun Verma"/>
    <s v="West"/>
    <s v="Ahmedabad"/>
    <x v="0"/>
    <x v="1"/>
    <s v="Printer - Technology"/>
    <n v="12608.1"/>
    <n v="10"/>
    <n v="22"/>
    <n v="824.91"/>
  </r>
  <r>
    <s v="ODR00954"/>
    <d v="2024-11-18T00:00:00"/>
    <s v="Vivaan Shah"/>
    <s v="West"/>
    <s v="Mumbai"/>
    <x v="2"/>
    <x v="6"/>
    <s v="Notebook - Office Supplies"/>
    <n v="11058.57"/>
    <n v="9"/>
    <n v="16"/>
    <n v="1283.49"/>
  </r>
  <r>
    <s v="ODR00955"/>
    <d v="2025-04-21T00:00:00"/>
    <s v="Arjun Verma"/>
    <s v="North"/>
    <s v="Chandigarh"/>
    <x v="2"/>
    <x v="8"/>
    <s v="Stapler - Office Supplies"/>
    <n v="4401.3599999999997"/>
    <n v="6"/>
    <n v="11"/>
    <n v="731.96"/>
  </r>
  <r>
    <s v="ODR00956"/>
    <d v="2024-08-20T00:00:00"/>
    <s v="Saanvi Iyer"/>
    <s v="West"/>
    <s v="Ahmedabad"/>
    <x v="0"/>
    <x v="0"/>
    <s v="Tablet - Technology"/>
    <n v="662.7"/>
    <n v="1"/>
    <n v="24"/>
    <n v="31.44"/>
  </r>
  <r>
    <s v="ODR00957"/>
    <d v="2025-01-16T00:00:00"/>
    <s v="Vivaan Shah"/>
    <s v="East"/>
    <s v="Kolkata"/>
    <x v="2"/>
    <x v="8"/>
    <s v="Stapler - Office Supplies"/>
    <n v="2628.4"/>
    <n v="8"/>
    <n v="29"/>
    <n v="316.01"/>
  </r>
  <r>
    <s v="ODR00958"/>
    <d v="2025-04-18T00:00:00"/>
    <s v="Arjun Verma"/>
    <s v="North"/>
    <s v="Lucknow"/>
    <x v="2"/>
    <x v="8"/>
    <s v="Stapler - Office Supplies"/>
    <n v="15521.58"/>
    <n v="9"/>
    <n v="17"/>
    <n v="1185.3800000000001"/>
  </r>
  <r>
    <s v="ODR00959"/>
    <d v="2024-07-17T00:00:00"/>
    <s v="Kriti Desai"/>
    <s v="East"/>
    <s v="Kolkata"/>
    <x v="1"/>
    <x v="3"/>
    <s v="Cupboard - Furniture"/>
    <n v="3120.86"/>
    <n v="2"/>
    <n v="20"/>
    <n v="316.36"/>
  </r>
  <r>
    <s v="ODR00960"/>
    <d v="2024-06-10T00:00:00"/>
    <s v="Kabir Nair"/>
    <s v="East"/>
    <s v="Patna"/>
    <x v="1"/>
    <x v="3"/>
    <s v="Cupboard - Furniture"/>
    <n v="984.42"/>
    <n v="6"/>
    <n v="26"/>
    <n v="42.99"/>
  </r>
  <r>
    <s v="ODR00961"/>
    <d v="2024-11-03T00:00:00"/>
    <s v="Meera Joshi"/>
    <s v="South"/>
    <s v="Bangalore"/>
    <x v="1"/>
    <x v="3"/>
    <s v="Cupboard - Furniture"/>
    <n v="18866.7"/>
    <n v="10"/>
    <n v="21"/>
    <n v="983.54"/>
  </r>
  <r>
    <s v="ODR00962"/>
    <d v="2025-02-28T00:00:00"/>
    <s v="Tanishq Ghosh"/>
    <s v="South"/>
    <s v="Bangalore"/>
    <x v="2"/>
    <x v="8"/>
    <s v="Stapler - Office Supplies"/>
    <n v="11023.81"/>
    <n v="7"/>
    <n v="7.0000000000000009"/>
    <n v="1428.42"/>
  </r>
  <r>
    <s v="ODR00963"/>
    <d v="2024-12-06T00:00:00"/>
    <s v="Riya Kapoor"/>
    <s v="East"/>
    <s v="Bhubaneswar"/>
    <x v="2"/>
    <x v="5"/>
    <s v="Envelope - Office Supplies"/>
    <n v="16957.53"/>
    <n v="9"/>
    <n v="8"/>
    <n v="927.62"/>
  </r>
  <r>
    <s v="ODR00964"/>
    <d v="2024-05-21T00:00:00"/>
    <s v="Kriti Desai"/>
    <s v="North"/>
    <s v="Chandigarh"/>
    <x v="2"/>
    <x v="8"/>
    <s v="Stapler - Office Supplies"/>
    <n v="7717.05"/>
    <n v="5"/>
    <n v="10"/>
    <n v="1560.47"/>
  </r>
  <r>
    <s v="ODR00965"/>
    <d v="2024-08-08T00:00:00"/>
    <s v="Kabir Nair"/>
    <s v="South"/>
    <s v="Bangalore"/>
    <x v="2"/>
    <x v="8"/>
    <s v="Stapler - Office Supplies"/>
    <n v="5451.1"/>
    <n v="10"/>
    <n v="23"/>
    <n v="270.42"/>
  </r>
  <r>
    <s v="ODR00966"/>
    <d v="2025-01-03T00:00:00"/>
    <s v="Sneha Reddy"/>
    <s v="North"/>
    <s v="Jaipur"/>
    <x v="0"/>
    <x v="9"/>
    <s v="Mobile - Technology"/>
    <n v="13162.32"/>
    <n v="9"/>
    <n v="7.0000000000000009"/>
    <n v="620.02"/>
  </r>
  <r>
    <s v="ODR00967"/>
    <d v="2025-03-11T00:00:00"/>
    <s v="Aarav Patel"/>
    <s v="South"/>
    <s v="Bangalore"/>
    <x v="1"/>
    <x v="4"/>
    <s v="Table - Furniture"/>
    <n v="3216.72"/>
    <n v="6"/>
    <n v="17"/>
    <n v="198.9"/>
  </r>
  <r>
    <s v="ODR00968"/>
    <d v="2024-08-11T00:00:00"/>
    <s v="Sneha Reddy"/>
    <s v="North"/>
    <s v="Chandigarh"/>
    <x v="2"/>
    <x v="6"/>
    <s v="Notebook - Office Supplies"/>
    <n v="3678.6"/>
    <n v="4"/>
    <n v="29"/>
    <n v="216"/>
  </r>
  <r>
    <s v="ODR00969"/>
    <d v="2024-08-08T00:00:00"/>
    <s v="Riya Kapoor"/>
    <s v="West"/>
    <s v="Nagpur"/>
    <x v="2"/>
    <x v="10"/>
    <s v="Pen - Office Supplies"/>
    <n v="2549.7600000000002"/>
    <n v="2"/>
    <n v="16"/>
    <n v="382.32"/>
  </r>
  <r>
    <s v="ODR00970"/>
    <d v="2024-12-27T00:00:00"/>
    <s v="Aarav Patel"/>
    <s v="South"/>
    <s v="Chennai"/>
    <x v="2"/>
    <x v="6"/>
    <s v="Notebook - Office Supplies"/>
    <n v="12784.59"/>
    <n v="9"/>
    <n v="23"/>
    <n v="1064.1400000000001"/>
  </r>
  <r>
    <s v="ODR00971"/>
    <d v="2024-11-16T00:00:00"/>
    <s v="Riya Kapoor"/>
    <s v="West"/>
    <s v="Pune"/>
    <x v="2"/>
    <x v="8"/>
    <s v="Stapler - Office Supplies"/>
    <n v="6400.8"/>
    <n v="9"/>
    <n v="15"/>
    <n v="1086.23"/>
  </r>
  <r>
    <s v="ODR00972"/>
    <d v="2025-01-21T00:00:00"/>
    <s v="Vivaan Shah"/>
    <s v="South"/>
    <s v="Bangalore"/>
    <x v="2"/>
    <x v="6"/>
    <s v="Notebook - Office Supplies"/>
    <n v="1641.3"/>
    <n v="6"/>
    <n v="21"/>
    <n v="147.22999999999999"/>
  </r>
  <r>
    <s v="ODR00973"/>
    <d v="2025-04-27T00:00:00"/>
    <s v="Anaya Singh"/>
    <s v="North"/>
    <s v="Delhi"/>
    <x v="1"/>
    <x v="3"/>
    <s v="Cupboard - Furniture"/>
    <n v="11669.4"/>
    <n v="9"/>
    <n v="9"/>
    <n v="879.18"/>
  </r>
  <r>
    <s v="ODR00974"/>
    <d v="2025-02-22T00:00:00"/>
    <s v="Arjun Verma"/>
    <s v="North"/>
    <s v="Delhi"/>
    <x v="2"/>
    <x v="5"/>
    <s v="Envelope - Office Supplies"/>
    <n v="12182.1"/>
    <n v="10"/>
    <n v="11"/>
    <n v="1673.58"/>
  </r>
  <r>
    <s v="ODR00975"/>
    <d v="2024-10-07T00:00:00"/>
    <s v="Anaya Singh"/>
    <s v="West"/>
    <s v="Pune"/>
    <x v="0"/>
    <x v="0"/>
    <s v="Tablet - Technology"/>
    <n v="1160.31"/>
    <n v="3"/>
    <n v="7.0000000000000009"/>
    <n v="164.79"/>
  </r>
  <r>
    <s v="ODR00976"/>
    <d v="2025-02-21T00:00:00"/>
    <s v="Diya Sharma"/>
    <s v="West"/>
    <s v="Pune"/>
    <x v="1"/>
    <x v="2"/>
    <s v="Chair - Furniture"/>
    <n v="11867.84"/>
    <n v="8"/>
    <n v="20"/>
    <n v="1893.69"/>
  </r>
  <r>
    <s v="ODR00977"/>
    <d v="2025-02-18T00:00:00"/>
    <s v="Kriti Desai"/>
    <s v="East"/>
    <s v="Bhubaneswar"/>
    <x v="1"/>
    <x v="2"/>
    <s v="Chair - Furniture"/>
    <n v="5741.89"/>
    <n v="7"/>
    <n v="13"/>
    <n v="877.84"/>
  </r>
  <r>
    <s v="ODR00978"/>
    <d v="2024-06-23T00:00:00"/>
    <s v="Ishaan Mehta"/>
    <s v="East"/>
    <s v="Kolkata"/>
    <x v="1"/>
    <x v="3"/>
    <s v="Cupboard - Furniture"/>
    <n v="7258.62"/>
    <n v="6"/>
    <n v="7.0000000000000009"/>
    <n v="640.88"/>
  </r>
  <r>
    <s v="ODR00979"/>
    <d v="2024-10-14T00:00:00"/>
    <s v="Anaya Singh"/>
    <s v="North"/>
    <s v="Jaipur"/>
    <x v="2"/>
    <x v="10"/>
    <s v="Pen - Office Supplies"/>
    <n v="1423.56"/>
    <n v="6"/>
    <n v="25"/>
    <n v="115.57"/>
  </r>
  <r>
    <s v="ODR00980"/>
    <d v="2025-01-26T00:00:00"/>
    <s v="Yuvraj Chauhan"/>
    <s v="West"/>
    <s v="Nagpur"/>
    <x v="0"/>
    <x v="7"/>
    <s v="Laptop - Technology"/>
    <n v="5780.05"/>
    <n v="5"/>
    <n v="16"/>
    <n v="821.55"/>
  </r>
  <r>
    <s v="ODR00981"/>
    <d v="2024-12-21T00:00:00"/>
    <s v="Riya Kapoor"/>
    <s v="South"/>
    <s v="Bangalore"/>
    <x v="2"/>
    <x v="5"/>
    <s v="Envelope - Office Supplies"/>
    <n v="11335.8"/>
    <n v="6"/>
    <n v="28"/>
    <n v="997.88"/>
  </r>
  <r>
    <s v="ODR00982"/>
    <d v="2025-04-27T00:00:00"/>
    <s v="Riya Kapoor"/>
    <s v="West"/>
    <s v="Ahmedabad"/>
    <x v="1"/>
    <x v="11"/>
    <s v="Sofa - Furniture"/>
    <n v="2589.84"/>
    <n v="8"/>
    <n v="8"/>
    <n v="409.3"/>
  </r>
  <r>
    <s v="ODR00983"/>
    <d v="2025-01-22T00:00:00"/>
    <s v="Vivaan Shah"/>
    <s v="North"/>
    <s v="Chandigarh"/>
    <x v="0"/>
    <x v="0"/>
    <s v="Tablet - Technology"/>
    <n v="7680.16"/>
    <n v="4"/>
    <n v="12"/>
    <n v="621.52"/>
  </r>
  <r>
    <s v="ODR00984"/>
    <d v="2024-11-25T00:00:00"/>
    <s v="Saanvi Iyer"/>
    <s v="East"/>
    <s v="Patna"/>
    <x v="2"/>
    <x v="5"/>
    <s v="Envelope - Office Supplies"/>
    <n v="4378.16"/>
    <n v="8"/>
    <n v="26"/>
    <n v="319.37"/>
  </r>
  <r>
    <s v="ODR00985"/>
    <d v="2024-07-01T00:00:00"/>
    <s v="Vivaan Shah"/>
    <s v="South"/>
    <s v="Hyderabad"/>
    <x v="2"/>
    <x v="10"/>
    <s v="Pen - Office Supplies"/>
    <n v="1187.05"/>
    <n v="5"/>
    <n v="19"/>
    <n v="92.22"/>
  </r>
  <r>
    <s v="ODR00986"/>
    <d v="2025-02-04T00:00:00"/>
    <s v="Ishaan Mehta"/>
    <s v="North"/>
    <s v="Delhi"/>
    <x v="0"/>
    <x v="9"/>
    <s v="Mobile - Technology"/>
    <n v="4180.92"/>
    <n v="3"/>
    <n v="8"/>
    <n v="687.94"/>
  </r>
  <r>
    <s v="ODR00987"/>
    <d v="2024-11-15T00:00:00"/>
    <s v="Meera Joshi"/>
    <s v="East"/>
    <s v="Bhubaneswar"/>
    <x v="2"/>
    <x v="8"/>
    <s v="Stapler - Office Supplies"/>
    <n v="11123.44"/>
    <n v="8"/>
    <n v="6"/>
    <n v="1246.93"/>
  </r>
  <r>
    <s v="ODR00988"/>
    <d v="2025-04-25T00:00:00"/>
    <s v="Diya Sharma"/>
    <s v="West"/>
    <s v="Indore"/>
    <x v="0"/>
    <x v="0"/>
    <s v="Tablet - Technology"/>
    <n v="3706.02"/>
    <n v="9"/>
    <n v="8"/>
    <n v="731.76"/>
  </r>
  <r>
    <s v="ODR00989"/>
    <d v="2024-08-17T00:00:00"/>
    <s v="Kriti Desai"/>
    <s v="West"/>
    <s v="Nagpur"/>
    <x v="1"/>
    <x v="11"/>
    <s v="Sofa - Furniture"/>
    <n v="4847.5"/>
    <n v="10"/>
    <n v="28"/>
    <n v="433.23"/>
  </r>
  <r>
    <s v="ODR00990"/>
    <d v="2025-01-16T00:00:00"/>
    <s v="Ishaan Mehta"/>
    <s v="North"/>
    <s v="Chandigarh"/>
    <x v="2"/>
    <x v="5"/>
    <s v="Envelope - Office Supplies"/>
    <n v="3316.38"/>
    <n v="3"/>
    <n v="21"/>
    <n v="387.31"/>
  </r>
  <r>
    <s v="ODR00991"/>
    <d v="2024-05-12T00:00:00"/>
    <s v="Aarav Patel"/>
    <s v="North"/>
    <s v="Chandigarh"/>
    <x v="1"/>
    <x v="2"/>
    <s v="Chair - Furniture"/>
    <n v="7738"/>
    <n v="8"/>
    <n v="21"/>
    <n v="1499.61"/>
  </r>
  <r>
    <s v="ODR00992"/>
    <d v="2025-05-06T00:00:00"/>
    <s v="Kabir Nair"/>
    <s v="South"/>
    <s v="Hyderabad"/>
    <x v="2"/>
    <x v="6"/>
    <s v="Notebook - Office Supplies"/>
    <n v="5822.55"/>
    <n v="9"/>
    <n v="9"/>
    <n v="1045.74"/>
  </r>
  <r>
    <s v="ODR00993"/>
    <d v="2024-10-21T00:00:00"/>
    <s v="Sneha Reddy"/>
    <s v="South"/>
    <s v="Bangalore"/>
    <x v="2"/>
    <x v="6"/>
    <s v="Notebook - Office Supplies"/>
    <n v="2991.56"/>
    <n v="2"/>
    <n v="4"/>
    <n v="236.89"/>
  </r>
  <r>
    <s v="ODR00994"/>
    <d v="2025-03-22T00:00:00"/>
    <s v="Vivaan Shah"/>
    <s v="South"/>
    <s v="Hyderabad"/>
    <x v="1"/>
    <x v="4"/>
    <s v="Table - Furniture"/>
    <n v="7008.68"/>
    <n v="7"/>
    <n v="18"/>
    <n v="1115.99"/>
  </r>
  <r>
    <s v="ODR00995"/>
    <d v="2025-03-27T00:00:00"/>
    <s v="Ishaan Mehta"/>
    <s v="North"/>
    <s v="Jaipur"/>
    <x v="1"/>
    <x v="11"/>
    <s v="Sofa - Furniture"/>
    <n v="8166.9"/>
    <n v="7"/>
    <n v="6"/>
    <n v="529.28"/>
  </r>
  <r>
    <s v="ODR00996"/>
    <d v="2024-10-11T00:00:00"/>
    <s v="Yuvraj Chauhan"/>
    <s v="North"/>
    <s v="Jaipur"/>
    <x v="2"/>
    <x v="8"/>
    <s v="Stapler - Office Supplies"/>
    <n v="827.9"/>
    <n v="5"/>
    <n v="29"/>
    <n v="48.27"/>
  </r>
  <r>
    <s v="ODR00997"/>
    <d v="2024-06-06T00:00:00"/>
    <s v="Tanishq Ghosh"/>
    <s v="East"/>
    <s v="Patna"/>
    <x v="2"/>
    <x v="8"/>
    <s v="Stapler - Office Supplies"/>
    <n v="1085.76"/>
    <n v="1"/>
    <n v="7.0000000000000009"/>
    <n v="206.51"/>
  </r>
  <r>
    <s v="ODR00998"/>
    <d v="2024-05-16T00:00:00"/>
    <s v="Riya Kapoor"/>
    <s v="South"/>
    <s v="Bangalore"/>
    <x v="2"/>
    <x v="10"/>
    <s v="Pen - Office Supplies"/>
    <n v="3546.41"/>
    <n v="7"/>
    <n v="27"/>
    <n v="452.98"/>
  </r>
  <r>
    <s v="ODR00999"/>
    <d v="2024-11-29T00:00:00"/>
    <s v="Ishaan Mehta"/>
    <s v="North"/>
    <s v="Delhi"/>
    <x v="2"/>
    <x v="5"/>
    <s v="Envelope - Office Supplies"/>
    <n v="14406.7"/>
    <n v="10"/>
    <n v="17"/>
    <n v="2704.6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x v="0"/>
    <s v="Meera Joshi"/>
    <x v="0"/>
    <s v="Bhubaneswar"/>
    <x v="0"/>
    <s v="Tablet"/>
    <s v="Tablet - Technology"/>
    <n v="5921.04"/>
    <n v="4"/>
    <n v="9"/>
    <n v="1269.0999999999999"/>
    <x v="0"/>
    <x v="0"/>
    <x v="0"/>
    <x v="0"/>
    <n v="0.21433734614189398"/>
    <s v="Profit"/>
    <s v="Low (1-10%)"/>
  </r>
  <r>
    <x v="1"/>
    <x v="1"/>
    <s v="Diya Sharma"/>
    <x v="0"/>
    <s v="Kolkata"/>
    <x v="0"/>
    <s v="Printer"/>
    <s v="Printer - Technology"/>
    <n v="1017.94"/>
    <n v="1"/>
    <n v="4"/>
    <n v="242.63"/>
    <x v="1"/>
    <x v="0"/>
    <x v="1"/>
    <x v="1"/>
    <n v="0.23835393048706208"/>
    <s v="Profit"/>
    <s v="Low (1-10%)"/>
  </r>
  <r>
    <x v="2"/>
    <x v="2"/>
    <s v="Kabir Nair"/>
    <x v="0"/>
    <s v="Patna"/>
    <x v="1"/>
    <s v="Chair"/>
    <s v="Chair - Furniture"/>
    <n v="10652.76"/>
    <n v="6"/>
    <n v="25"/>
    <n v="859.08"/>
    <x v="1"/>
    <x v="1"/>
    <x v="2"/>
    <x v="0"/>
    <n v="8.0643889470897678E-2"/>
    <s v="Profit"/>
    <s v="High (&gt;20%)"/>
  </r>
  <r>
    <x v="3"/>
    <x v="3"/>
    <s v="Riya Kapoor"/>
    <x v="1"/>
    <s v="Chandigarh"/>
    <x v="0"/>
    <s v="Printer"/>
    <s v="Printer - Technology"/>
    <n v="8665.7999999999993"/>
    <n v="5"/>
    <n v="19"/>
    <n v="1444.74"/>
    <x v="0"/>
    <x v="2"/>
    <x v="0"/>
    <x v="0"/>
    <n v="0.16671744097486674"/>
    <s v="Profit"/>
    <s v="Mid (11-20%)"/>
  </r>
  <r>
    <x v="4"/>
    <x v="4"/>
    <s v="Kriti Desai"/>
    <x v="1"/>
    <s v="Lucknow"/>
    <x v="0"/>
    <s v="Tablet"/>
    <s v="Tablet - Technology"/>
    <n v="2150.4"/>
    <n v="2"/>
    <n v="20"/>
    <n v="267.77"/>
    <x v="0"/>
    <x v="3"/>
    <x v="3"/>
    <x v="1"/>
    <n v="0.12452101934523808"/>
    <s v="Profit"/>
    <s v="Mid (11-20%)"/>
  </r>
  <r>
    <x v="5"/>
    <x v="5"/>
    <s v="Kabir Nair"/>
    <x v="1"/>
    <s v="Lucknow"/>
    <x v="1"/>
    <s v="Chair"/>
    <s v="Chair - Furniture"/>
    <n v="16306.4"/>
    <n v="10"/>
    <n v="18"/>
    <n v="2357.5300000000002"/>
    <x v="1"/>
    <x v="1"/>
    <x v="4"/>
    <x v="0"/>
    <n v="0.14457697591129864"/>
    <s v="Profit"/>
    <s v="Mid (11-20%)"/>
  </r>
  <r>
    <x v="6"/>
    <x v="6"/>
    <s v="Kabir Nair"/>
    <x v="1"/>
    <s v="Lucknow"/>
    <x v="1"/>
    <s v="Cupboard"/>
    <s v="Cupboard - Furniture"/>
    <n v="2537.52"/>
    <n v="4"/>
    <n v="19"/>
    <n v="261.63"/>
    <x v="0"/>
    <x v="2"/>
    <x v="5"/>
    <x v="1"/>
    <n v="0.10310460607207036"/>
    <s v="Profit"/>
    <s v="Mid (11-20%)"/>
  </r>
  <r>
    <x v="7"/>
    <x v="7"/>
    <s v="Krishna Das"/>
    <x v="1"/>
    <s v="Lucknow"/>
    <x v="0"/>
    <s v="Printer"/>
    <s v="Printer - Technology"/>
    <n v="3252.76"/>
    <n v="7"/>
    <n v="4"/>
    <n v="292.45999999999998"/>
    <x v="2"/>
    <x v="1"/>
    <x v="5"/>
    <x v="1"/>
    <n v="8.9911336833950237E-2"/>
    <s v="Profit"/>
    <s v="Low (1-10%)"/>
  </r>
  <r>
    <x v="8"/>
    <x v="8"/>
    <s v="Krishna Das"/>
    <x v="1"/>
    <s v="Jaipur"/>
    <x v="1"/>
    <s v="Cupboard"/>
    <s v="Cupboard - Furniture"/>
    <n v="1145.98"/>
    <n v="1"/>
    <n v="22"/>
    <n v="177.37"/>
    <x v="0"/>
    <x v="0"/>
    <x v="6"/>
    <x v="0"/>
    <n v="0.15477582505802895"/>
    <s v="Profit"/>
    <s v="High (&gt;20%)"/>
  </r>
  <r>
    <x v="9"/>
    <x v="9"/>
    <s v="Diya Sharma"/>
    <x v="0"/>
    <s v="Kolkata"/>
    <x v="0"/>
    <s v="Tablet"/>
    <s v="Tablet - Technology"/>
    <n v="13863.85"/>
    <n v="7"/>
    <n v="4"/>
    <n v="2735.89"/>
    <x v="2"/>
    <x v="2"/>
    <x v="6"/>
    <x v="0"/>
    <n v="0.1973398442712522"/>
    <s v="Profit"/>
    <s v="Low (1-10%)"/>
  </r>
  <r>
    <x v="10"/>
    <x v="10"/>
    <s v="Diya Sharma"/>
    <x v="2"/>
    <s v="Chennai"/>
    <x v="1"/>
    <s v="Table"/>
    <s v="Table - Furniture"/>
    <n v="4557.8500000000004"/>
    <n v="5"/>
    <n v="18"/>
    <n v="317.76"/>
    <x v="1"/>
    <x v="1"/>
    <x v="7"/>
    <x v="1"/>
    <n v="6.9717081518698501E-2"/>
    <s v="Profit"/>
    <s v="Mid (11-20%)"/>
  </r>
  <r>
    <x v="11"/>
    <x v="2"/>
    <s v="Kabir Nair"/>
    <x v="2"/>
    <s v="Bangalore"/>
    <x v="2"/>
    <s v="Envelope"/>
    <s v="Envelope - Office Supplies"/>
    <n v="2654.82"/>
    <n v="7"/>
    <n v="25"/>
    <n v="289.19"/>
    <x v="2"/>
    <x v="1"/>
    <x v="2"/>
    <x v="0"/>
    <n v="0.1089301722904001"/>
    <s v="Profit"/>
    <s v="High (&gt;20%)"/>
  </r>
  <r>
    <x v="12"/>
    <x v="11"/>
    <s v="Vivaan Shah"/>
    <x v="1"/>
    <s v="Chandigarh"/>
    <x v="2"/>
    <s v="Notebook"/>
    <s v="Notebook - Office Supplies"/>
    <n v="1626.72"/>
    <n v="6"/>
    <n v="1"/>
    <n v="104.38"/>
    <x v="1"/>
    <x v="1"/>
    <x v="8"/>
    <x v="0"/>
    <n v="6.4165928985934886E-2"/>
    <s v="Profit"/>
    <s v="Low (1-10%)"/>
  </r>
  <r>
    <x v="13"/>
    <x v="12"/>
    <s v="Ishaan Mehta"/>
    <x v="1"/>
    <s v="Delhi"/>
    <x v="1"/>
    <s v="Cupboard"/>
    <s v="Cupboard - Furniture"/>
    <n v="1879.32"/>
    <n v="4"/>
    <n v="14"/>
    <n v="144"/>
    <x v="2"/>
    <x v="2"/>
    <x v="7"/>
    <x v="1"/>
    <n v="7.662345954919865E-2"/>
    <s v="Profit"/>
    <s v="Mid (11-20%)"/>
  </r>
  <r>
    <x v="14"/>
    <x v="13"/>
    <s v="Anaya Singh"/>
    <x v="1"/>
    <s v="Delhi"/>
    <x v="0"/>
    <s v="Printer"/>
    <s v="Printer - Technology"/>
    <n v="9731.9599999999991"/>
    <n v="7"/>
    <n v="30"/>
    <n v="1228"/>
    <x v="2"/>
    <x v="2"/>
    <x v="9"/>
    <x v="1"/>
    <n v="0.12618218734972195"/>
    <s v="Profit"/>
    <s v="High (&gt;20%)"/>
  </r>
  <r>
    <x v="15"/>
    <x v="14"/>
    <s v="Aarav Patel"/>
    <x v="0"/>
    <s v="Patna"/>
    <x v="0"/>
    <s v="Laptop"/>
    <s v="Laptop - Technology"/>
    <n v="411.1"/>
    <n v="2"/>
    <n v="26"/>
    <n v="35.159999999999997"/>
    <x v="2"/>
    <x v="0"/>
    <x v="1"/>
    <x v="1"/>
    <n v="8.5526635855023098E-2"/>
    <s v="Profit"/>
    <s v="High (&gt;20%)"/>
  </r>
  <r>
    <x v="16"/>
    <x v="15"/>
    <s v="Kriti Desai"/>
    <x v="0"/>
    <s v="Kolkata"/>
    <x v="0"/>
    <s v="Laptop"/>
    <s v="Laptop - Technology"/>
    <n v="9701.1"/>
    <n v="6"/>
    <n v="26"/>
    <n v="1420.5"/>
    <x v="2"/>
    <x v="2"/>
    <x v="2"/>
    <x v="0"/>
    <n v="0.14642669388007545"/>
    <s v="Profit"/>
    <s v="High (&gt;20%)"/>
  </r>
  <r>
    <x v="17"/>
    <x v="16"/>
    <s v="Anaya Singh"/>
    <x v="0"/>
    <s v="Patna"/>
    <x v="2"/>
    <s v="Stapler"/>
    <s v="Stapler - Office Supplies"/>
    <n v="2894.72"/>
    <n v="2"/>
    <n v="1"/>
    <n v="589.64"/>
    <x v="2"/>
    <x v="1"/>
    <x v="1"/>
    <x v="1"/>
    <n v="0.20369500331638293"/>
    <s v="Profit"/>
    <s v="Low (1-10%)"/>
  </r>
  <r>
    <x v="18"/>
    <x v="17"/>
    <s v="Meera Joshi"/>
    <x v="2"/>
    <s v="Chennai"/>
    <x v="2"/>
    <s v="Stapler"/>
    <s v="Stapler - Office Supplies"/>
    <n v="15095.8"/>
    <n v="10"/>
    <n v="0"/>
    <n v="1791.89"/>
    <x v="2"/>
    <x v="1"/>
    <x v="5"/>
    <x v="1"/>
    <n v="0.1187012281561759"/>
    <s v="Profit"/>
    <s v="No Discount"/>
  </r>
  <r>
    <x v="19"/>
    <x v="18"/>
    <s v="Yuvraj Chauhan"/>
    <x v="2"/>
    <s v="Chennai"/>
    <x v="1"/>
    <s v="Cupboard"/>
    <s v="Cupboard - Furniture"/>
    <n v="7913.6"/>
    <n v="5"/>
    <n v="27"/>
    <n v="365.9"/>
    <x v="1"/>
    <x v="0"/>
    <x v="7"/>
    <x v="1"/>
    <n v="4.6236858067124943E-2"/>
    <s v="Profit"/>
    <s v="High (&gt;20%)"/>
  </r>
  <r>
    <x v="20"/>
    <x v="19"/>
    <s v="Arjun Verma"/>
    <x v="1"/>
    <s v="Jaipur"/>
    <x v="1"/>
    <s v="Chair"/>
    <s v="Chair - Furniture"/>
    <n v="1344.77"/>
    <n v="1"/>
    <n v="25"/>
    <n v="56.96"/>
    <x v="1"/>
    <x v="1"/>
    <x v="6"/>
    <x v="0"/>
    <n v="4.2356685529867565E-2"/>
    <s v="Profit"/>
    <s v="High (&gt;20%)"/>
  </r>
  <r>
    <x v="21"/>
    <x v="20"/>
    <s v="Kriti Desai"/>
    <x v="2"/>
    <s v="Bangalore"/>
    <x v="1"/>
    <s v="Chair"/>
    <s v="Chair - Furniture"/>
    <n v="7816.32"/>
    <n v="6"/>
    <n v="1"/>
    <n v="1009.31"/>
    <x v="1"/>
    <x v="1"/>
    <x v="0"/>
    <x v="0"/>
    <n v="0.12912854130844181"/>
    <s v="Profit"/>
    <s v="Low (1-10%)"/>
  </r>
  <r>
    <x v="22"/>
    <x v="21"/>
    <s v="Anaya Singh"/>
    <x v="3"/>
    <s v="Nagpur"/>
    <x v="1"/>
    <s v="Chair"/>
    <s v="Chair - Furniture"/>
    <n v="17681.099999999999"/>
    <n v="10"/>
    <n v="26"/>
    <n v="884.53"/>
    <x v="0"/>
    <x v="0"/>
    <x v="5"/>
    <x v="1"/>
    <n v="5.0026864844381853E-2"/>
    <s v="Profit"/>
    <s v="High (&gt;20%)"/>
  </r>
  <r>
    <x v="23"/>
    <x v="22"/>
    <s v="Kriti Desai"/>
    <x v="1"/>
    <s v="Chandigarh"/>
    <x v="2"/>
    <s v="Notebook"/>
    <s v="Notebook - Office Supplies"/>
    <n v="5216.7"/>
    <n v="10"/>
    <n v="21"/>
    <n v="259.14999999999998"/>
    <x v="0"/>
    <x v="3"/>
    <x v="0"/>
    <x v="0"/>
    <n v="4.967699886901681E-2"/>
    <s v="Profit"/>
    <s v="High (&gt;20%)"/>
  </r>
  <r>
    <x v="24"/>
    <x v="4"/>
    <s v="Riya Kapoor"/>
    <x v="2"/>
    <s v="Bangalore"/>
    <x v="0"/>
    <s v="Laptop"/>
    <s v="Laptop - Technology"/>
    <n v="9898.4699999999993"/>
    <n v="9"/>
    <n v="28"/>
    <n v="1292.04"/>
    <x v="2"/>
    <x v="0"/>
    <x v="3"/>
    <x v="1"/>
    <n v="0.13052926361346753"/>
    <s v="Profit"/>
    <s v="High (&gt;20%)"/>
  </r>
  <r>
    <x v="25"/>
    <x v="23"/>
    <s v="Aarav Patel"/>
    <x v="0"/>
    <s v="Kolkata"/>
    <x v="0"/>
    <s v="Mobile"/>
    <s v="Mobile - Technology"/>
    <n v="15473"/>
    <n v="10"/>
    <n v="10"/>
    <n v="1377.35"/>
    <x v="1"/>
    <x v="1"/>
    <x v="0"/>
    <x v="0"/>
    <n v="8.9016351063142235E-2"/>
    <s v="Profit"/>
    <s v="Low (1-10%)"/>
  </r>
  <r>
    <x v="26"/>
    <x v="24"/>
    <s v="Ishaan Mehta"/>
    <x v="3"/>
    <s v="Ahmedabad"/>
    <x v="2"/>
    <s v="Envelope"/>
    <s v="Envelope - Office Supplies"/>
    <n v="8638.56"/>
    <n v="8"/>
    <n v="26"/>
    <n v="1043.43"/>
    <x v="1"/>
    <x v="0"/>
    <x v="8"/>
    <x v="0"/>
    <n v="0.12078749235983777"/>
    <s v="Profit"/>
    <s v="High (&gt;20%)"/>
  </r>
  <r>
    <x v="27"/>
    <x v="25"/>
    <s v="Saanvi Iyer"/>
    <x v="0"/>
    <s v="Bhubaneswar"/>
    <x v="2"/>
    <s v="Envelope"/>
    <s v="Envelope - Office Supplies"/>
    <n v="1242.6600000000001"/>
    <n v="3"/>
    <n v="3"/>
    <n v="63.8"/>
    <x v="1"/>
    <x v="3"/>
    <x v="9"/>
    <x v="1"/>
    <n v="5.134147715384739E-2"/>
    <s v="Profit"/>
    <s v="Low (1-10%)"/>
  </r>
  <r>
    <x v="28"/>
    <x v="26"/>
    <s v="Tanishq Ghosh"/>
    <x v="3"/>
    <s v="Indore"/>
    <x v="2"/>
    <s v="Pen"/>
    <s v="Pen - Office Supplies"/>
    <n v="802.35"/>
    <n v="5"/>
    <n v="24"/>
    <n v="57.18"/>
    <x v="1"/>
    <x v="3"/>
    <x v="4"/>
    <x v="0"/>
    <n v="7.126565713217424E-2"/>
    <s v="Profit"/>
    <s v="High (&gt;20%)"/>
  </r>
  <r>
    <x v="29"/>
    <x v="27"/>
    <s v="Saanvi Iyer"/>
    <x v="2"/>
    <s v="Chennai"/>
    <x v="1"/>
    <s v="Chair"/>
    <s v="Chair - Furniture"/>
    <n v="3375.2"/>
    <n v="2"/>
    <n v="5"/>
    <n v="722.26"/>
    <x v="2"/>
    <x v="0"/>
    <x v="7"/>
    <x v="1"/>
    <n v="0.21399028205735957"/>
    <s v="Profit"/>
    <s v="Low (1-10%)"/>
  </r>
  <r>
    <x v="30"/>
    <x v="28"/>
    <s v="Meera Joshi"/>
    <x v="3"/>
    <s v="Indore"/>
    <x v="0"/>
    <s v="Mobile"/>
    <s v="Mobile - Technology"/>
    <n v="2209.2800000000002"/>
    <n v="8"/>
    <n v="4"/>
    <n v="217.17"/>
    <x v="1"/>
    <x v="0"/>
    <x v="5"/>
    <x v="1"/>
    <n v="9.8298993337195814E-2"/>
    <s v="Profit"/>
    <s v="Low (1-10%)"/>
  </r>
  <r>
    <x v="31"/>
    <x v="29"/>
    <s v="Diya Sharma"/>
    <x v="2"/>
    <s v="Hyderabad"/>
    <x v="2"/>
    <s v="Envelope"/>
    <s v="Envelope - Office Supplies"/>
    <n v="6503.75"/>
    <n v="5"/>
    <n v="12"/>
    <n v="510.77"/>
    <x v="0"/>
    <x v="2"/>
    <x v="10"/>
    <x v="1"/>
    <n v="7.8534691524120695E-2"/>
    <s v="Profit"/>
    <s v="Mid (11-20%)"/>
  </r>
  <r>
    <x v="32"/>
    <x v="30"/>
    <s v="Kriti Desai"/>
    <x v="1"/>
    <s v="Delhi"/>
    <x v="1"/>
    <s v="Cupboard"/>
    <s v="Cupboard - Furniture"/>
    <n v="7153.4"/>
    <n v="4"/>
    <n v="18"/>
    <n v="1309.46"/>
    <x v="2"/>
    <x v="3"/>
    <x v="8"/>
    <x v="0"/>
    <n v="0.18305421198311295"/>
    <s v="Profit"/>
    <s v="Mid (11-20%)"/>
  </r>
  <r>
    <x v="33"/>
    <x v="31"/>
    <s v="Aarav Patel"/>
    <x v="3"/>
    <s v="Nagpur"/>
    <x v="2"/>
    <s v="Stapler"/>
    <s v="Stapler - Office Supplies"/>
    <n v="8470.5499999999993"/>
    <n v="5"/>
    <n v="5"/>
    <n v="1774.25"/>
    <x v="1"/>
    <x v="3"/>
    <x v="0"/>
    <x v="0"/>
    <n v="0.20946101492819241"/>
    <s v="Profit"/>
    <s v="Low (1-10%)"/>
  </r>
  <r>
    <x v="34"/>
    <x v="32"/>
    <s v="Krishna Das"/>
    <x v="1"/>
    <s v="Delhi"/>
    <x v="1"/>
    <s v="Sofa"/>
    <s v="Sofa - Furniture"/>
    <n v="6147.72"/>
    <n v="4"/>
    <n v="7.0000000000000009"/>
    <n v="1020"/>
    <x v="2"/>
    <x v="1"/>
    <x v="1"/>
    <x v="1"/>
    <n v="0.16591516855029181"/>
    <s v="Profit"/>
    <s v="Low (1-10%)"/>
  </r>
  <r>
    <x v="35"/>
    <x v="33"/>
    <s v="Aarav Patel"/>
    <x v="0"/>
    <s v="Bhubaneswar"/>
    <x v="2"/>
    <s v="Envelope"/>
    <s v="Envelope - Office Supplies"/>
    <n v="2836.5"/>
    <n v="5"/>
    <n v="2"/>
    <n v="628.39"/>
    <x v="0"/>
    <x v="1"/>
    <x v="10"/>
    <x v="1"/>
    <n v="0.22153710558787237"/>
    <s v="Profit"/>
    <s v="Low (1-10%)"/>
  </r>
  <r>
    <x v="36"/>
    <x v="34"/>
    <s v="Anaya Singh"/>
    <x v="3"/>
    <s v="Mumbai"/>
    <x v="0"/>
    <s v="Tablet"/>
    <s v="Tablet - Technology"/>
    <n v="1870.92"/>
    <n v="1"/>
    <n v="0"/>
    <n v="104.31"/>
    <x v="0"/>
    <x v="0"/>
    <x v="11"/>
    <x v="1"/>
    <n v="5.5753319222628439E-2"/>
    <s v="Profit"/>
    <s v="No Discount"/>
  </r>
  <r>
    <x v="37"/>
    <x v="35"/>
    <s v="Meera Joshi"/>
    <x v="0"/>
    <s v="Patna"/>
    <x v="1"/>
    <s v="Chair"/>
    <s v="Chair - Furniture"/>
    <n v="9352.85"/>
    <n v="5"/>
    <n v="23"/>
    <n v="717.65"/>
    <x v="1"/>
    <x v="0"/>
    <x v="1"/>
    <x v="1"/>
    <n v="7.6730622216757458E-2"/>
    <s v="Profit"/>
    <s v="High (&gt;20%)"/>
  </r>
  <r>
    <x v="38"/>
    <x v="36"/>
    <s v="Diya Sharma"/>
    <x v="3"/>
    <s v="Nagpur"/>
    <x v="0"/>
    <s v="Tablet"/>
    <s v="Tablet - Technology"/>
    <n v="4498.8599999999997"/>
    <n v="3"/>
    <n v="22"/>
    <n v="862.46"/>
    <x v="2"/>
    <x v="3"/>
    <x v="1"/>
    <x v="1"/>
    <n v="0.19170634338476861"/>
    <s v="Profit"/>
    <s v="High (&gt;20%)"/>
  </r>
  <r>
    <x v="39"/>
    <x v="37"/>
    <s v="Kriti Desai"/>
    <x v="1"/>
    <s v="Jaipur"/>
    <x v="1"/>
    <s v="Table"/>
    <s v="Table - Furniture"/>
    <n v="4073.37"/>
    <n v="7"/>
    <n v="24"/>
    <n v="528.49"/>
    <x v="0"/>
    <x v="0"/>
    <x v="4"/>
    <x v="0"/>
    <n v="0.12974269462386182"/>
    <s v="Profit"/>
    <s v="High (&gt;20%)"/>
  </r>
  <r>
    <x v="40"/>
    <x v="38"/>
    <s v="Yuvraj Chauhan"/>
    <x v="1"/>
    <s v="Delhi"/>
    <x v="1"/>
    <s v="Sofa"/>
    <s v="Sofa - Furniture"/>
    <n v="4120.0600000000004"/>
    <n v="7"/>
    <n v="25"/>
    <n v="565.57000000000005"/>
    <x v="2"/>
    <x v="1"/>
    <x v="10"/>
    <x v="1"/>
    <n v="0.13727227273389223"/>
    <s v="Profit"/>
    <s v="High (&gt;20%)"/>
  </r>
  <r>
    <x v="41"/>
    <x v="39"/>
    <s v="Vivaan Shah"/>
    <x v="1"/>
    <s v="Chandigarh"/>
    <x v="1"/>
    <s v="Sofa"/>
    <s v="Sofa - Furniture"/>
    <n v="4954.95"/>
    <n v="9"/>
    <n v="11"/>
    <n v="884.66"/>
    <x v="1"/>
    <x v="0"/>
    <x v="9"/>
    <x v="1"/>
    <n v="0.17854065126792398"/>
    <s v="Profit"/>
    <s v="Mid (11-20%)"/>
  </r>
  <r>
    <x v="42"/>
    <x v="40"/>
    <s v="Krishna Das"/>
    <x v="0"/>
    <s v="Patna"/>
    <x v="0"/>
    <s v="Printer"/>
    <s v="Printer - Technology"/>
    <n v="13218.4"/>
    <n v="8"/>
    <n v="14"/>
    <n v="1949.19"/>
    <x v="2"/>
    <x v="1"/>
    <x v="9"/>
    <x v="1"/>
    <n v="0.14746035828844642"/>
    <s v="Profit"/>
    <s v="Mid (11-20%)"/>
  </r>
  <r>
    <x v="43"/>
    <x v="41"/>
    <s v="Diya Sharma"/>
    <x v="0"/>
    <s v="Patna"/>
    <x v="1"/>
    <s v="Table"/>
    <s v="Table - Furniture"/>
    <n v="8531.8799999999992"/>
    <n v="7"/>
    <n v="3"/>
    <n v="1496.19"/>
    <x v="2"/>
    <x v="0"/>
    <x v="4"/>
    <x v="0"/>
    <n v="0.17536463241395803"/>
    <s v="Profit"/>
    <s v="Low (1-10%)"/>
  </r>
  <r>
    <x v="44"/>
    <x v="42"/>
    <s v="Kriti Desai"/>
    <x v="3"/>
    <s v="Nagpur"/>
    <x v="0"/>
    <s v="Tablet"/>
    <s v="Tablet - Technology"/>
    <n v="2359.92"/>
    <n v="3"/>
    <n v="3"/>
    <n v="183.13"/>
    <x v="1"/>
    <x v="2"/>
    <x v="3"/>
    <x v="1"/>
    <n v="7.7600088138580964E-2"/>
    <s v="Profit"/>
    <s v="Low (1-10%)"/>
  </r>
  <r>
    <x v="45"/>
    <x v="43"/>
    <s v="Tanishq Ghosh"/>
    <x v="3"/>
    <s v="Ahmedabad"/>
    <x v="0"/>
    <s v="Tablet"/>
    <s v="Tablet - Technology"/>
    <n v="655.93"/>
    <n v="1"/>
    <n v="12"/>
    <n v="62.71"/>
    <x v="0"/>
    <x v="3"/>
    <x v="9"/>
    <x v="1"/>
    <n v="9.5604713917643663E-2"/>
    <s v="Profit"/>
    <s v="Mid (11-20%)"/>
  </r>
  <r>
    <x v="46"/>
    <x v="44"/>
    <s v="Riya Kapoor"/>
    <x v="2"/>
    <s v="Chennai"/>
    <x v="2"/>
    <s v="Notebook"/>
    <s v="Notebook - Office Supplies"/>
    <n v="358.98"/>
    <n v="1"/>
    <n v="9"/>
    <n v="71.81"/>
    <x v="0"/>
    <x v="0"/>
    <x v="0"/>
    <x v="0"/>
    <n v="0.20003899938715247"/>
    <s v="Profit"/>
    <s v="Low (1-10%)"/>
  </r>
  <r>
    <x v="47"/>
    <x v="45"/>
    <s v="Vivaan Shah"/>
    <x v="0"/>
    <s v="Bhubaneswar"/>
    <x v="1"/>
    <s v="Cupboard"/>
    <s v="Cupboard - Furniture"/>
    <n v="1902.93"/>
    <n v="1"/>
    <n v="15"/>
    <n v="365.62"/>
    <x v="0"/>
    <x v="3"/>
    <x v="12"/>
    <x v="1"/>
    <n v="0.19213528611141764"/>
    <s v="Profit"/>
    <s v="Mid (11-20%)"/>
  </r>
  <r>
    <x v="48"/>
    <x v="46"/>
    <s v="Arjun Verma"/>
    <x v="2"/>
    <s v="Bangalore"/>
    <x v="1"/>
    <s v="Chair"/>
    <s v="Chair - Furniture"/>
    <n v="5095.6499999999996"/>
    <n v="7"/>
    <n v="5"/>
    <n v="808.51"/>
    <x v="0"/>
    <x v="1"/>
    <x v="2"/>
    <x v="0"/>
    <n v="0.15866670591583018"/>
    <s v="Profit"/>
    <s v="Low (1-10%)"/>
  </r>
  <r>
    <x v="49"/>
    <x v="47"/>
    <s v="Tanishq Ghosh"/>
    <x v="2"/>
    <s v="Chennai"/>
    <x v="2"/>
    <s v="Stapler"/>
    <s v="Stapler - Office Supplies"/>
    <n v="11397.75"/>
    <n v="7"/>
    <n v="1"/>
    <n v="2719.65"/>
    <x v="2"/>
    <x v="1"/>
    <x v="9"/>
    <x v="1"/>
    <n v="0.23861288412186615"/>
    <s v="Profit"/>
    <s v="Low (1-10%)"/>
  </r>
  <r>
    <x v="50"/>
    <x v="48"/>
    <s v="Krishna Das"/>
    <x v="1"/>
    <s v="Delhi"/>
    <x v="0"/>
    <s v="Mobile"/>
    <s v="Mobile - Technology"/>
    <n v="947.64"/>
    <n v="6"/>
    <n v="10"/>
    <n v="185.53"/>
    <x v="1"/>
    <x v="0"/>
    <x v="11"/>
    <x v="1"/>
    <n v="0.19578109830737411"/>
    <s v="Profit"/>
    <s v="Low (1-10%)"/>
  </r>
  <r>
    <x v="51"/>
    <x v="49"/>
    <s v="Arjun Verma"/>
    <x v="2"/>
    <s v="Hyderabad"/>
    <x v="0"/>
    <s v="Printer"/>
    <s v="Printer - Technology"/>
    <n v="3094.56"/>
    <n v="4"/>
    <n v="21"/>
    <n v="261.86"/>
    <x v="1"/>
    <x v="2"/>
    <x v="0"/>
    <x v="0"/>
    <n v="8.4619461248125749E-2"/>
    <s v="Profit"/>
    <s v="High (&gt;20%)"/>
  </r>
  <r>
    <x v="52"/>
    <x v="50"/>
    <s v="Sneha Reddy"/>
    <x v="1"/>
    <s v="Jaipur"/>
    <x v="2"/>
    <s v="Stapler"/>
    <s v="Stapler - Office Supplies"/>
    <n v="9718.73"/>
    <n v="7"/>
    <n v="27"/>
    <n v="356.81"/>
    <x v="2"/>
    <x v="3"/>
    <x v="7"/>
    <x v="1"/>
    <n v="3.6713644684027651E-2"/>
    <s v="Profit"/>
    <s v="High (&gt;20%)"/>
  </r>
  <r>
    <x v="53"/>
    <x v="51"/>
    <s v="Ishaan Mehta"/>
    <x v="3"/>
    <s v="Nagpur"/>
    <x v="1"/>
    <s v="Table"/>
    <s v="Table - Furniture"/>
    <n v="13397.79"/>
    <n v="7"/>
    <n v="19"/>
    <n v="2309.5500000000002"/>
    <x v="1"/>
    <x v="3"/>
    <x v="3"/>
    <x v="1"/>
    <n v="0.1723829079273522"/>
    <s v="Profit"/>
    <s v="Mid (11-20%)"/>
  </r>
  <r>
    <x v="54"/>
    <x v="52"/>
    <s v="Arjun Verma"/>
    <x v="0"/>
    <s v="Kolkata"/>
    <x v="2"/>
    <s v="Notebook"/>
    <s v="Notebook - Office Supplies"/>
    <n v="3592.82"/>
    <n v="2"/>
    <n v="1"/>
    <n v="841.7"/>
    <x v="2"/>
    <x v="1"/>
    <x v="0"/>
    <x v="0"/>
    <n v="0.23427279963928058"/>
    <s v="Profit"/>
    <s v="Low (1-10%)"/>
  </r>
  <r>
    <x v="55"/>
    <x v="53"/>
    <s v="Kabir Nair"/>
    <x v="3"/>
    <s v="Nagpur"/>
    <x v="2"/>
    <s v="Stapler"/>
    <s v="Stapler - Office Supplies"/>
    <n v="1613.09"/>
    <n v="1"/>
    <n v="27"/>
    <n v="205.51"/>
    <x v="0"/>
    <x v="2"/>
    <x v="11"/>
    <x v="1"/>
    <n v="0.12740144691244754"/>
    <s v="Profit"/>
    <s v="High (&gt;20%)"/>
  </r>
  <r>
    <x v="56"/>
    <x v="54"/>
    <s v="Sneha Reddy"/>
    <x v="1"/>
    <s v="Jaipur"/>
    <x v="0"/>
    <s v="Printer"/>
    <s v="Printer - Technology"/>
    <n v="10848.16"/>
    <n v="8"/>
    <n v="26"/>
    <n v="1581.16"/>
    <x v="0"/>
    <x v="1"/>
    <x v="9"/>
    <x v="1"/>
    <n v="0.14575374994469109"/>
    <s v="Profit"/>
    <s v="High (&gt;20%)"/>
  </r>
  <r>
    <x v="57"/>
    <x v="55"/>
    <s v="Meera Joshi"/>
    <x v="2"/>
    <s v="Bangalore"/>
    <x v="1"/>
    <s v="Cupboard"/>
    <s v="Cupboard - Furniture"/>
    <n v="11803.92"/>
    <n v="6"/>
    <n v="10"/>
    <n v="856.03"/>
    <x v="2"/>
    <x v="1"/>
    <x v="12"/>
    <x v="1"/>
    <n v="7.2520823590807124E-2"/>
    <s v="Profit"/>
    <s v="Low (1-10%)"/>
  </r>
  <r>
    <x v="58"/>
    <x v="56"/>
    <s v="Ishaan Mehta"/>
    <x v="3"/>
    <s v="Pune"/>
    <x v="2"/>
    <s v="Pen"/>
    <s v="Pen - Office Supplies"/>
    <n v="4463.4799999999996"/>
    <n v="7"/>
    <n v="2"/>
    <n v="591.73"/>
    <x v="1"/>
    <x v="0"/>
    <x v="11"/>
    <x v="1"/>
    <n v="0.13257144649466338"/>
    <s v="Profit"/>
    <s v="Low (1-10%)"/>
  </r>
  <r>
    <x v="59"/>
    <x v="54"/>
    <s v="Tanishq Ghosh"/>
    <x v="0"/>
    <s v="Bhubaneswar"/>
    <x v="1"/>
    <s v="Table"/>
    <s v="Table - Furniture"/>
    <n v="649.30999999999995"/>
    <n v="1"/>
    <n v="19"/>
    <n v="53.76"/>
    <x v="1"/>
    <x v="0"/>
    <x v="9"/>
    <x v="1"/>
    <n v="8.2795583003496029E-2"/>
    <s v="Profit"/>
    <s v="Mid (11-20%)"/>
  </r>
  <r>
    <x v="60"/>
    <x v="57"/>
    <s v="Ishaan Mehta"/>
    <x v="0"/>
    <s v="Bhubaneswar"/>
    <x v="2"/>
    <s v="Pen"/>
    <s v="Pen - Office Supplies"/>
    <n v="1693.85"/>
    <n v="1"/>
    <n v="16"/>
    <n v="182.97"/>
    <x v="2"/>
    <x v="0"/>
    <x v="8"/>
    <x v="0"/>
    <n v="0.10802019068984857"/>
    <s v="Profit"/>
    <s v="Mid (11-20%)"/>
  </r>
  <r>
    <x v="61"/>
    <x v="58"/>
    <s v="Vivaan Shah"/>
    <x v="2"/>
    <s v="Hyderabad"/>
    <x v="2"/>
    <s v="Stapler"/>
    <s v="Stapler - Office Supplies"/>
    <n v="1530.08"/>
    <n v="2"/>
    <n v="22"/>
    <n v="216.71"/>
    <x v="2"/>
    <x v="2"/>
    <x v="0"/>
    <x v="0"/>
    <n v="0.14163311722262889"/>
    <s v="Profit"/>
    <s v="High (&gt;20%)"/>
  </r>
  <r>
    <x v="62"/>
    <x v="24"/>
    <s v="Riya Kapoor"/>
    <x v="0"/>
    <s v="Kolkata"/>
    <x v="2"/>
    <s v="Envelope"/>
    <s v="Envelope - Office Supplies"/>
    <n v="12486.95"/>
    <n v="7"/>
    <n v="5"/>
    <n v="2799.04"/>
    <x v="2"/>
    <x v="1"/>
    <x v="8"/>
    <x v="0"/>
    <n v="0.22415722013782388"/>
    <s v="Profit"/>
    <s v="Low (1-10%)"/>
  </r>
  <r>
    <x v="63"/>
    <x v="59"/>
    <s v="Meera Joshi"/>
    <x v="0"/>
    <s v="Patna"/>
    <x v="2"/>
    <s v="Notebook"/>
    <s v="Notebook - Office Supplies"/>
    <n v="4574.22"/>
    <n v="7"/>
    <n v="23"/>
    <n v="727.68"/>
    <x v="2"/>
    <x v="1"/>
    <x v="9"/>
    <x v="1"/>
    <n v="0.15908286002859501"/>
    <s v="Profit"/>
    <s v="High (&gt;20%)"/>
  </r>
  <r>
    <x v="64"/>
    <x v="60"/>
    <s v="Tanishq Ghosh"/>
    <x v="2"/>
    <s v="Chennai"/>
    <x v="0"/>
    <s v="Mobile"/>
    <s v="Mobile - Technology"/>
    <n v="7773.93"/>
    <n v="9"/>
    <n v="28"/>
    <n v="1104.03"/>
    <x v="0"/>
    <x v="2"/>
    <x v="8"/>
    <x v="0"/>
    <n v="0.1420169721106313"/>
    <s v="Profit"/>
    <s v="High (&gt;20%)"/>
  </r>
  <r>
    <x v="65"/>
    <x v="61"/>
    <s v="Meera Joshi"/>
    <x v="2"/>
    <s v="Chennai"/>
    <x v="1"/>
    <s v="Chair"/>
    <s v="Chair - Furniture"/>
    <n v="9476.4"/>
    <n v="8"/>
    <n v="4"/>
    <n v="703.64"/>
    <x v="1"/>
    <x v="0"/>
    <x v="12"/>
    <x v="1"/>
    <n v="7.4251825587775946E-2"/>
    <s v="Profit"/>
    <s v="Low (1-10%)"/>
  </r>
  <r>
    <x v="66"/>
    <x v="62"/>
    <s v="Saanvi Iyer"/>
    <x v="1"/>
    <s v="Chandigarh"/>
    <x v="2"/>
    <s v="Pen"/>
    <s v="Pen - Office Supplies"/>
    <n v="3774.96"/>
    <n v="9"/>
    <n v="17"/>
    <n v="163.01"/>
    <x v="1"/>
    <x v="2"/>
    <x v="11"/>
    <x v="1"/>
    <n v="4.3181914510352422E-2"/>
    <s v="Profit"/>
    <s v="Mid (11-20%)"/>
  </r>
  <r>
    <x v="67"/>
    <x v="63"/>
    <s v="Saanvi Iyer"/>
    <x v="0"/>
    <s v="Bhubaneswar"/>
    <x v="2"/>
    <s v="Stapler"/>
    <s v="Stapler - Office Supplies"/>
    <n v="11246.04"/>
    <n v="6"/>
    <n v="6"/>
    <n v="2435.79"/>
    <x v="0"/>
    <x v="2"/>
    <x v="7"/>
    <x v="1"/>
    <n v="0.21659090666581302"/>
    <s v="Profit"/>
    <s v="Low (1-10%)"/>
  </r>
  <r>
    <x v="68"/>
    <x v="64"/>
    <s v="Meera Joshi"/>
    <x v="0"/>
    <s v="Patna"/>
    <x v="1"/>
    <s v="Table"/>
    <s v="Table - Furniture"/>
    <n v="3300.72"/>
    <n v="2"/>
    <n v="25"/>
    <n v="578.44000000000005"/>
    <x v="0"/>
    <x v="1"/>
    <x v="2"/>
    <x v="0"/>
    <n v="0.17524661286022447"/>
    <s v="Profit"/>
    <s v="High (&gt;20%)"/>
  </r>
  <r>
    <x v="69"/>
    <x v="65"/>
    <s v="Ishaan Mehta"/>
    <x v="0"/>
    <s v="Kolkata"/>
    <x v="2"/>
    <s v="Notebook"/>
    <s v="Notebook - Office Supplies"/>
    <n v="8488.2000000000007"/>
    <n v="6"/>
    <n v="24"/>
    <n v="873.92"/>
    <x v="2"/>
    <x v="2"/>
    <x v="12"/>
    <x v="1"/>
    <n v="0.10295704625244456"/>
    <s v="Profit"/>
    <s v="High (&gt;20%)"/>
  </r>
  <r>
    <x v="70"/>
    <x v="66"/>
    <s v="Anaya Singh"/>
    <x v="2"/>
    <s v="Bangalore"/>
    <x v="0"/>
    <s v="Laptop"/>
    <s v="Laptop - Technology"/>
    <n v="2992.53"/>
    <n v="3"/>
    <n v="16"/>
    <n v="335.06"/>
    <x v="0"/>
    <x v="1"/>
    <x v="9"/>
    <x v="1"/>
    <n v="0.11196546066371932"/>
    <s v="Profit"/>
    <s v="Mid (11-20%)"/>
  </r>
  <r>
    <x v="71"/>
    <x v="15"/>
    <s v="Vivaan Shah"/>
    <x v="1"/>
    <s v="Delhi"/>
    <x v="0"/>
    <s v="Printer"/>
    <s v="Printer - Technology"/>
    <n v="1637.42"/>
    <n v="2"/>
    <n v="1"/>
    <n v="248.33"/>
    <x v="0"/>
    <x v="1"/>
    <x v="2"/>
    <x v="0"/>
    <n v="0.15165931770712462"/>
    <s v="Profit"/>
    <s v="Low (1-10%)"/>
  </r>
  <r>
    <x v="72"/>
    <x v="67"/>
    <s v="Arjun Verma"/>
    <x v="2"/>
    <s v="Bangalore"/>
    <x v="1"/>
    <s v="Sofa"/>
    <s v="Sofa - Furniture"/>
    <n v="11379.96"/>
    <n v="6"/>
    <n v="13"/>
    <n v="636.80999999999995"/>
    <x v="1"/>
    <x v="1"/>
    <x v="4"/>
    <x v="0"/>
    <n v="5.5958896164837131E-2"/>
    <s v="Profit"/>
    <s v="Mid (11-20%)"/>
  </r>
  <r>
    <x v="73"/>
    <x v="68"/>
    <s v="Kabir Nair"/>
    <x v="2"/>
    <s v="Chennai"/>
    <x v="0"/>
    <s v="Tablet"/>
    <s v="Tablet - Technology"/>
    <n v="7066.55"/>
    <n v="5"/>
    <n v="13"/>
    <n v="1479.7"/>
    <x v="1"/>
    <x v="3"/>
    <x v="5"/>
    <x v="1"/>
    <n v="0.20939496642633251"/>
    <s v="Profit"/>
    <s v="Mid (11-20%)"/>
  </r>
  <r>
    <x v="74"/>
    <x v="11"/>
    <s v="Riya Kapoor"/>
    <x v="3"/>
    <s v="Indore"/>
    <x v="0"/>
    <s v="Printer"/>
    <s v="Printer - Technology"/>
    <n v="1577.94"/>
    <n v="2"/>
    <n v="26"/>
    <n v="229.33"/>
    <x v="0"/>
    <x v="1"/>
    <x v="8"/>
    <x v="0"/>
    <n v="0.14533505709976299"/>
    <s v="Profit"/>
    <s v="High (&gt;20%)"/>
  </r>
  <r>
    <x v="75"/>
    <x v="69"/>
    <s v="Diya Sharma"/>
    <x v="2"/>
    <s v="Chennai"/>
    <x v="2"/>
    <s v="Envelope"/>
    <s v="Envelope - Office Supplies"/>
    <n v="763.96"/>
    <n v="1"/>
    <n v="10"/>
    <n v="39.58"/>
    <x v="1"/>
    <x v="1"/>
    <x v="7"/>
    <x v="1"/>
    <n v="5.180899523535263E-2"/>
    <s v="Profit"/>
    <s v="Low (1-10%)"/>
  </r>
  <r>
    <x v="76"/>
    <x v="70"/>
    <s v="Kriti Desai"/>
    <x v="3"/>
    <s v="Ahmedabad"/>
    <x v="0"/>
    <s v="Tablet"/>
    <s v="Tablet - Technology"/>
    <n v="13950.09"/>
    <n v="9"/>
    <n v="24"/>
    <n v="1635.16"/>
    <x v="0"/>
    <x v="1"/>
    <x v="2"/>
    <x v="0"/>
    <n v="0.11721501438341975"/>
    <s v="Profit"/>
    <s v="High (&gt;20%)"/>
  </r>
  <r>
    <x v="77"/>
    <x v="71"/>
    <s v="Saanvi Iyer"/>
    <x v="1"/>
    <s v="Delhi"/>
    <x v="1"/>
    <s v="Table"/>
    <s v="Table - Furniture"/>
    <n v="8912.76"/>
    <n v="6"/>
    <n v="26"/>
    <n v="1590.24"/>
    <x v="0"/>
    <x v="1"/>
    <x v="6"/>
    <x v="0"/>
    <n v="0.17842284544854792"/>
    <s v="Profit"/>
    <s v="High (&gt;20%)"/>
  </r>
  <r>
    <x v="78"/>
    <x v="72"/>
    <s v="Sneha Reddy"/>
    <x v="3"/>
    <s v="Indore"/>
    <x v="1"/>
    <s v="Cupboard"/>
    <s v="Cupboard - Furniture"/>
    <n v="9077.0400000000009"/>
    <n v="8"/>
    <n v="23"/>
    <n v="1162.69"/>
    <x v="1"/>
    <x v="1"/>
    <x v="4"/>
    <x v="0"/>
    <n v="0.12809131611186025"/>
    <s v="Profit"/>
    <s v="High (&gt;20%)"/>
  </r>
  <r>
    <x v="79"/>
    <x v="73"/>
    <s v="Tanishq Ghosh"/>
    <x v="2"/>
    <s v="Hyderabad"/>
    <x v="0"/>
    <s v="Laptop"/>
    <s v="Laptop - Technology"/>
    <n v="8681.76"/>
    <n v="6"/>
    <n v="0"/>
    <n v="914.67"/>
    <x v="2"/>
    <x v="0"/>
    <x v="12"/>
    <x v="1"/>
    <n v="0.1053553657322939"/>
    <s v="Profit"/>
    <s v="No Discount"/>
  </r>
  <r>
    <x v="80"/>
    <x v="74"/>
    <s v="Riya Kapoor"/>
    <x v="1"/>
    <s v="Jaipur"/>
    <x v="1"/>
    <s v="Chair"/>
    <s v="Chair - Furniture"/>
    <n v="15324.96"/>
    <n v="8"/>
    <n v="27"/>
    <n v="630.78"/>
    <x v="1"/>
    <x v="3"/>
    <x v="1"/>
    <x v="1"/>
    <n v="4.1160303191655964E-2"/>
    <s v="Profit"/>
    <s v="High (&gt;20%)"/>
  </r>
  <r>
    <x v="81"/>
    <x v="75"/>
    <s v="Yuvraj Chauhan"/>
    <x v="2"/>
    <s v="Bangalore"/>
    <x v="0"/>
    <s v="Mobile"/>
    <s v="Mobile - Technology"/>
    <n v="4456.62"/>
    <n v="9"/>
    <n v="11"/>
    <n v="803.43"/>
    <x v="2"/>
    <x v="2"/>
    <x v="11"/>
    <x v="1"/>
    <n v="0.18027787875116119"/>
    <s v="Profit"/>
    <s v="Mid (11-20%)"/>
  </r>
  <r>
    <x v="82"/>
    <x v="76"/>
    <s v="Kabir Nair"/>
    <x v="3"/>
    <s v="Mumbai"/>
    <x v="0"/>
    <s v="Printer"/>
    <s v="Printer - Technology"/>
    <n v="13463.12"/>
    <n v="8"/>
    <n v="29"/>
    <n v="1135.76"/>
    <x v="0"/>
    <x v="1"/>
    <x v="3"/>
    <x v="1"/>
    <n v="8.4360831664577002E-2"/>
    <s v="Profit"/>
    <s v="High (&gt;20%)"/>
  </r>
  <r>
    <x v="83"/>
    <x v="77"/>
    <s v="Riya Kapoor"/>
    <x v="1"/>
    <s v="Jaipur"/>
    <x v="2"/>
    <s v="Stapler"/>
    <s v="Stapler - Office Supplies"/>
    <n v="12675.39"/>
    <n v="7"/>
    <n v="10"/>
    <n v="768.8"/>
    <x v="2"/>
    <x v="2"/>
    <x v="6"/>
    <x v="0"/>
    <n v="6.0652966102029207E-2"/>
    <s v="Profit"/>
    <s v="Low (1-10%)"/>
  </r>
  <r>
    <x v="84"/>
    <x v="32"/>
    <s v="Ishaan Mehta"/>
    <x v="0"/>
    <s v="Bhubaneswar"/>
    <x v="0"/>
    <s v="Tablet"/>
    <s v="Tablet - Technology"/>
    <n v="12314.64"/>
    <n v="8"/>
    <n v="21"/>
    <n v="1574.18"/>
    <x v="0"/>
    <x v="0"/>
    <x v="1"/>
    <x v="1"/>
    <n v="0.12782996498476612"/>
    <s v="Profit"/>
    <s v="High (&gt;20%)"/>
  </r>
  <r>
    <x v="85"/>
    <x v="78"/>
    <s v="Saanvi Iyer"/>
    <x v="3"/>
    <s v="Indore"/>
    <x v="1"/>
    <s v="Cupboard"/>
    <s v="Cupboard - Furniture"/>
    <n v="13555.1"/>
    <n v="10"/>
    <n v="26"/>
    <n v="788.7"/>
    <x v="0"/>
    <x v="3"/>
    <x v="6"/>
    <x v="0"/>
    <n v="5.8184742274125609E-2"/>
    <s v="Profit"/>
    <s v="High (&gt;20%)"/>
  </r>
  <r>
    <x v="86"/>
    <x v="79"/>
    <s v="Kabir Nair"/>
    <x v="3"/>
    <s v="Mumbai"/>
    <x v="0"/>
    <s v="Laptop"/>
    <s v="Laptop - Technology"/>
    <n v="3461.64"/>
    <n v="6"/>
    <n v="10"/>
    <n v="530.79999999999995"/>
    <x v="2"/>
    <x v="0"/>
    <x v="9"/>
    <x v="1"/>
    <n v="0.1533377243156423"/>
    <s v="Profit"/>
    <s v="Low (1-10%)"/>
  </r>
  <r>
    <x v="87"/>
    <x v="80"/>
    <s v="Yuvraj Chauhan"/>
    <x v="3"/>
    <s v="Pune"/>
    <x v="2"/>
    <s v="Envelope"/>
    <s v="Envelope - Office Supplies"/>
    <n v="8002.98"/>
    <n v="9"/>
    <n v="21"/>
    <n v="800.58"/>
    <x v="1"/>
    <x v="1"/>
    <x v="1"/>
    <x v="1"/>
    <n v="0.10003523687426434"/>
    <s v="Profit"/>
    <s v="High (&gt;20%)"/>
  </r>
  <r>
    <x v="88"/>
    <x v="81"/>
    <s v="Arjun Verma"/>
    <x v="3"/>
    <s v="Ahmedabad"/>
    <x v="0"/>
    <s v="Mobile"/>
    <s v="Mobile - Technology"/>
    <n v="14939.73"/>
    <n v="9"/>
    <n v="20"/>
    <n v="2876.37"/>
    <x v="2"/>
    <x v="3"/>
    <x v="11"/>
    <x v="1"/>
    <n v="0.19253159193640046"/>
    <s v="Profit"/>
    <s v="Mid (11-20%)"/>
  </r>
  <r>
    <x v="89"/>
    <x v="82"/>
    <s v="Vivaan Shah"/>
    <x v="0"/>
    <s v="Kolkata"/>
    <x v="1"/>
    <s v="Sofa"/>
    <s v="Sofa - Furniture"/>
    <n v="11401.1"/>
    <n v="10"/>
    <n v="1"/>
    <n v="1794.61"/>
    <x v="1"/>
    <x v="3"/>
    <x v="5"/>
    <x v="1"/>
    <n v="0.1574067414547719"/>
    <s v="Profit"/>
    <s v="Low (1-10%)"/>
  </r>
  <r>
    <x v="90"/>
    <x v="83"/>
    <s v="Arjun Verma"/>
    <x v="0"/>
    <s v="Kolkata"/>
    <x v="2"/>
    <s v="Stapler"/>
    <s v="Stapler - Office Supplies"/>
    <n v="7994.22"/>
    <n v="6"/>
    <n v="11"/>
    <n v="895.16"/>
    <x v="0"/>
    <x v="0"/>
    <x v="12"/>
    <x v="1"/>
    <n v="0.11197590258962099"/>
    <s v="Profit"/>
    <s v="Mid (11-20%)"/>
  </r>
  <r>
    <x v="91"/>
    <x v="84"/>
    <s v="Diya Sharma"/>
    <x v="0"/>
    <s v="Patna"/>
    <x v="0"/>
    <s v="Printer"/>
    <s v="Printer - Technology"/>
    <n v="6333.35"/>
    <n v="5"/>
    <n v="17"/>
    <n v="853.27"/>
    <x v="2"/>
    <x v="2"/>
    <x v="0"/>
    <x v="0"/>
    <n v="0.13472648756187483"/>
    <s v="Profit"/>
    <s v="Mid (11-20%)"/>
  </r>
  <r>
    <x v="92"/>
    <x v="85"/>
    <s v="Krishna Das"/>
    <x v="0"/>
    <s v="Kolkata"/>
    <x v="1"/>
    <s v="Chair"/>
    <s v="Chair - Furniture"/>
    <n v="10863.04"/>
    <n v="8"/>
    <n v="4"/>
    <n v="1093.22"/>
    <x v="0"/>
    <x v="2"/>
    <x v="12"/>
    <x v="1"/>
    <n v="0.10063665419624708"/>
    <s v="Profit"/>
    <s v="Low (1-10%)"/>
  </r>
  <r>
    <x v="93"/>
    <x v="86"/>
    <s v="Saanvi Iyer"/>
    <x v="0"/>
    <s v="Bhubaneswar"/>
    <x v="2"/>
    <s v="Stapler"/>
    <s v="Stapler - Office Supplies"/>
    <n v="15379.2"/>
    <n v="9"/>
    <n v="8"/>
    <n v="3526.58"/>
    <x v="2"/>
    <x v="2"/>
    <x v="4"/>
    <x v="0"/>
    <n v="0.22930841656263004"/>
    <s v="Profit"/>
    <s v="Low (1-10%)"/>
  </r>
  <r>
    <x v="94"/>
    <x v="37"/>
    <s v="Arjun Verma"/>
    <x v="3"/>
    <s v="Indore"/>
    <x v="0"/>
    <s v="Tablet"/>
    <s v="Tablet - Technology"/>
    <n v="10251.01"/>
    <n v="7"/>
    <n v="2"/>
    <n v="2263.8200000000002"/>
    <x v="1"/>
    <x v="2"/>
    <x v="4"/>
    <x v="0"/>
    <n v="0.22083872711079203"/>
    <s v="Profit"/>
    <s v="Low (1-10%)"/>
  </r>
  <r>
    <x v="95"/>
    <x v="87"/>
    <s v="Kriti Desai"/>
    <x v="3"/>
    <s v="Mumbai"/>
    <x v="0"/>
    <s v="Mobile"/>
    <s v="Mobile - Technology"/>
    <n v="437.48"/>
    <n v="2"/>
    <n v="3"/>
    <n v="28.55"/>
    <x v="0"/>
    <x v="0"/>
    <x v="5"/>
    <x v="1"/>
    <n v="6.5260126177196676E-2"/>
    <s v="Profit"/>
    <s v="Low (1-10%)"/>
  </r>
  <r>
    <x v="96"/>
    <x v="81"/>
    <s v="Kriti Desai"/>
    <x v="0"/>
    <s v="Kolkata"/>
    <x v="0"/>
    <s v="Tablet"/>
    <s v="Tablet - Technology"/>
    <n v="640.4"/>
    <n v="2"/>
    <n v="9"/>
    <n v="40.450000000000003"/>
    <x v="2"/>
    <x v="2"/>
    <x v="11"/>
    <x v="1"/>
    <n v="6.3163647720174895E-2"/>
    <s v="Profit"/>
    <s v="Low (1-10%)"/>
  </r>
  <r>
    <x v="97"/>
    <x v="32"/>
    <s v="Diya Sharma"/>
    <x v="2"/>
    <s v="Hyderabad"/>
    <x v="1"/>
    <s v="Chair"/>
    <s v="Chair - Furniture"/>
    <n v="5637.84"/>
    <n v="3"/>
    <n v="5"/>
    <n v="366.61"/>
    <x v="2"/>
    <x v="0"/>
    <x v="1"/>
    <x v="1"/>
    <n v="6.5026676883345402E-2"/>
    <s v="Profit"/>
    <s v="Low (1-10%)"/>
  </r>
  <r>
    <x v="98"/>
    <x v="88"/>
    <s v="Tanishq Ghosh"/>
    <x v="1"/>
    <s v="Lucknow"/>
    <x v="1"/>
    <s v="Chair"/>
    <s v="Chair - Furniture"/>
    <n v="16167.51"/>
    <n v="9"/>
    <n v="19"/>
    <n v="1210.18"/>
    <x v="1"/>
    <x v="0"/>
    <x v="10"/>
    <x v="1"/>
    <n v="7.4852590163853316E-2"/>
    <s v="Profit"/>
    <s v="Mid (11-20%)"/>
  </r>
  <r>
    <x v="99"/>
    <x v="89"/>
    <s v="Saanvi Iyer"/>
    <x v="0"/>
    <s v="Patna"/>
    <x v="0"/>
    <s v="Laptop"/>
    <s v="Laptop - Technology"/>
    <n v="8236.48"/>
    <n v="8"/>
    <n v="22"/>
    <n v="1095.97"/>
    <x v="2"/>
    <x v="2"/>
    <x v="10"/>
    <x v="1"/>
    <n v="0.13306291036947823"/>
    <s v="Profit"/>
    <s v="High (&gt;20%)"/>
  </r>
  <r>
    <x v="100"/>
    <x v="90"/>
    <s v="Kriti Desai"/>
    <x v="0"/>
    <s v="Bhubaneswar"/>
    <x v="2"/>
    <s v="Stapler"/>
    <s v="Stapler - Office Supplies"/>
    <n v="12156.5"/>
    <n v="10"/>
    <n v="15"/>
    <n v="2302.3000000000002"/>
    <x v="0"/>
    <x v="3"/>
    <x v="3"/>
    <x v="1"/>
    <n v="0.18938839304076011"/>
    <s v="Profit"/>
    <s v="Mid (11-20%)"/>
  </r>
  <r>
    <x v="101"/>
    <x v="91"/>
    <s v="Yuvraj Chauhan"/>
    <x v="1"/>
    <s v="Lucknow"/>
    <x v="0"/>
    <s v="Tablet"/>
    <s v="Tablet - Technology"/>
    <n v="1007.37"/>
    <n v="1"/>
    <n v="20"/>
    <n v="167.76"/>
    <x v="2"/>
    <x v="2"/>
    <x v="1"/>
    <x v="1"/>
    <n v="0.16653265433753237"/>
    <s v="Profit"/>
    <s v="Mid (11-20%)"/>
  </r>
  <r>
    <x v="102"/>
    <x v="64"/>
    <s v="Aarav Patel"/>
    <x v="3"/>
    <s v="Nagpur"/>
    <x v="0"/>
    <s v="Printer"/>
    <s v="Printer - Technology"/>
    <n v="948.24"/>
    <n v="1"/>
    <n v="27"/>
    <n v="34.909999999999997"/>
    <x v="1"/>
    <x v="1"/>
    <x v="2"/>
    <x v="0"/>
    <n v="3.6815574116257486E-2"/>
    <s v="Profit"/>
    <s v="High (&gt;20%)"/>
  </r>
  <r>
    <x v="103"/>
    <x v="92"/>
    <s v="Aarav Patel"/>
    <x v="0"/>
    <s v="Patna"/>
    <x v="0"/>
    <s v="Tablet"/>
    <s v="Tablet - Technology"/>
    <n v="7304.5"/>
    <n v="10"/>
    <n v="5"/>
    <n v="461.1"/>
    <x v="0"/>
    <x v="3"/>
    <x v="4"/>
    <x v="0"/>
    <n v="6.3125470600314884E-2"/>
    <s v="Profit"/>
    <s v="Low (1-10%)"/>
  </r>
  <r>
    <x v="104"/>
    <x v="93"/>
    <s v="Tanishq Ghosh"/>
    <x v="2"/>
    <s v="Chennai"/>
    <x v="1"/>
    <s v="Chair"/>
    <s v="Chair - Furniture"/>
    <n v="4409.01"/>
    <n v="3"/>
    <n v="26"/>
    <n v="466.16"/>
    <x v="2"/>
    <x v="1"/>
    <x v="2"/>
    <x v="0"/>
    <n v="0.10572895049001931"/>
    <s v="Profit"/>
    <s v="High (&gt;20%)"/>
  </r>
  <r>
    <x v="105"/>
    <x v="94"/>
    <s v="Tanishq Ghosh"/>
    <x v="0"/>
    <s v="Bhubaneswar"/>
    <x v="2"/>
    <s v="Envelope"/>
    <s v="Envelope - Office Supplies"/>
    <n v="736.65"/>
    <n v="3"/>
    <n v="8"/>
    <n v="123.05"/>
    <x v="1"/>
    <x v="0"/>
    <x v="1"/>
    <x v="1"/>
    <n v="0.1670399782800516"/>
    <s v="Profit"/>
    <s v="Low (1-10%)"/>
  </r>
  <r>
    <x v="106"/>
    <x v="95"/>
    <s v="Yuvraj Chauhan"/>
    <x v="0"/>
    <s v="Kolkata"/>
    <x v="1"/>
    <s v="Sofa"/>
    <s v="Sofa - Furniture"/>
    <n v="12407.84"/>
    <n v="8"/>
    <n v="24"/>
    <n v="1510"/>
    <x v="2"/>
    <x v="1"/>
    <x v="3"/>
    <x v="1"/>
    <n v="0.12169724948097332"/>
    <s v="Profit"/>
    <s v="High (&gt;20%)"/>
  </r>
  <r>
    <x v="107"/>
    <x v="96"/>
    <s v="Diya Sharma"/>
    <x v="2"/>
    <s v="Bangalore"/>
    <x v="0"/>
    <s v="Tablet"/>
    <s v="Tablet - Technology"/>
    <n v="6470.3"/>
    <n v="10"/>
    <n v="3"/>
    <n v="1412.01"/>
    <x v="2"/>
    <x v="1"/>
    <x v="4"/>
    <x v="0"/>
    <n v="0.21822944840270156"/>
    <s v="Profit"/>
    <s v="Low (1-10%)"/>
  </r>
  <r>
    <x v="108"/>
    <x v="54"/>
    <s v="Meera Joshi"/>
    <x v="1"/>
    <s v="Jaipur"/>
    <x v="0"/>
    <s v="Laptop"/>
    <s v="Laptop - Technology"/>
    <n v="1823.95"/>
    <n v="5"/>
    <n v="8"/>
    <n v="372.97"/>
    <x v="0"/>
    <x v="1"/>
    <x v="9"/>
    <x v="1"/>
    <n v="0.20448477206063764"/>
    <s v="Profit"/>
    <s v="Low (1-10%)"/>
  </r>
  <r>
    <x v="109"/>
    <x v="97"/>
    <s v="Arjun Verma"/>
    <x v="2"/>
    <s v="Hyderabad"/>
    <x v="0"/>
    <s v="Printer"/>
    <s v="Printer - Technology"/>
    <n v="6669.96"/>
    <n v="6"/>
    <n v="7.0000000000000009"/>
    <n v="1226.27"/>
    <x v="2"/>
    <x v="1"/>
    <x v="11"/>
    <x v="1"/>
    <n v="0.18384967825894008"/>
    <s v="Profit"/>
    <s v="Low (1-10%)"/>
  </r>
  <r>
    <x v="110"/>
    <x v="98"/>
    <s v="Saanvi Iyer"/>
    <x v="3"/>
    <s v="Pune"/>
    <x v="2"/>
    <s v="Envelope"/>
    <s v="Envelope - Office Supplies"/>
    <n v="9728.82"/>
    <n v="6"/>
    <n v="2"/>
    <n v="1193.55"/>
    <x v="2"/>
    <x v="3"/>
    <x v="0"/>
    <x v="0"/>
    <n v="0.12268188742314073"/>
    <s v="Profit"/>
    <s v="Low (1-10%)"/>
  </r>
  <r>
    <x v="111"/>
    <x v="82"/>
    <s v="Tanishq Ghosh"/>
    <x v="3"/>
    <s v="Indore"/>
    <x v="1"/>
    <s v="Sofa"/>
    <s v="Sofa - Furniture"/>
    <n v="1967.21"/>
    <n v="7"/>
    <n v="3"/>
    <n v="266.68"/>
    <x v="1"/>
    <x v="2"/>
    <x v="5"/>
    <x v="1"/>
    <n v="0.1355625479740343"/>
    <s v="Profit"/>
    <s v="Low (1-10%)"/>
  </r>
  <r>
    <x v="112"/>
    <x v="73"/>
    <s v="Saanvi Iyer"/>
    <x v="0"/>
    <s v="Bhubaneswar"/>
    <x v="2"/>
    <s v="Envelope"/>
    <s v="Envelope - Office Supplies"/>
    <n v="5833.08"/>
    <n v="6"/>
    <n v="17"/>
    <n v="603.82000000000005"/>
    <x v="0"/>
    <x v="2"/>
    <x v="12"/>
    <x v="1"/>
    <n v="0.10351649557352206"/>
    <s v="Profit"/>
    <s v="Mid (11-20%)"/>
  </r>
  <r>
    <x v="113"/>
    <x v="73"/>
    <s v="Saanvi Iyer"/>
    <x v="0"/>
    <s v="Patna"/>
    <x v="1"/>
    <s v="Table"/>
    <s v="Table - Furniture"/>
    <n v="9606.7999999999993"/>
    <n v="10"/>
    <n v="27"/>
    <n v="490.28"/>
    <x v="0"/>
    <x v="2"/>
    <x v="12"/>
    <x v="1"/>
    <n v="5.1034683765665986E-2"/>
    <s v="Profit"/>
    <s v="High (&gt;20%)"/>
  </r>
  <r>
    <x v="114"/>
    <x v="99"/>
    <s v="Riya Kapoor"/>
    <x v="0"/>
    <s v="Kolkata"/>
    <x v="0"/>
    <s v="Printer"/>
    <s v="Printer - Technology"/>
    <n v="7294.2"/>
    <n v="5"/>
    <n v="29"/>
    <n v="1264.71"/>
    <x v="0"/>
    <x v="0"/>
    <x v="7"/>
    <x v="1"/>
    <n v="0.17338570370979683"/>
    <s v="Profit"/>
    <s v="High (&gt;20%)"/>
  </r>
  <r>
    <x v="115"/>
    <x v="94"/>
    <s v="Ishaan Mehta"/>
    <x v="3"/>
    <s v="Nagpur"/>
    <x v="0"/>
    <s v="Mobile"/>
    <s v="Mobile - Technology"/>
    <n v="1341.38"/>
    <n v="1"/>
    <n v="2"/>
    <n v="298.27"/>
    <x v="2"/>
    <x v="1"/>
    <x v="1"/>
    <x v="1"/>
    <n v="0.22236055405627037"/>
    <s v="Profit"/>
    <s v="Low (1-10%)"/>
  </r>
  <r>
    <x v="116"/>
    <x v="100"/>
    <s v="Anaya Singh"/>
    <x v="0"/>
    <s v="Kolkata"/>
    <x v="1"/>
    <s v="Chair"/>
    <s v="Chair - Furniture"/>
    <n v="1912.92"/>
    <n v="6"/>
    <n v="11"/>
    <n v="334.38"/>
    <x v="1"/>
    <x v="2"/>
    <x v="2"/>
    <x v="0"/>
    <n v="0.17480082805344707"/>
    <s v="Profit"/>
    <s v="Mid (11-20%)"/>
  </r>
  <r>
    <x v="117"/>
    <x v="101"/>
    <s v="Kriti Desai"/>
    <x v="0"/>
    <s v="Kolkata"/>
    <x v="2"/>
    <s v="Stapler"/>
    <s v="Stapler - Office Supplies"/>
    <n v="890.28"/>
    <n v="4"/>
    <n v="0"/>
    <n v="90.24"/>
    <x v="0"/>
    <x v="3"/>
    <x v="12"/>
    <x v="1"/>
    <n v="0.1013613694568001"/>
    <s v="Profit"/>
    <s v="No Discount"/>
  </r>
  <r>
    <x v="118"/>
    <x v="102"/>
    <s v="Aarav Patel"/>
    <x v="0"/>
    <s v="Bhubaneswar"/>
    <x v="2"/>
    <s v="Notebook"/>
    <s v="Notebook - Office Supplies"/>
    <n v="1513.36"/>
    <n v="4"/>
    <n v="10"/>
    <n v="90.69"/>
    <x v="2"/>
    <x v="1"/>
    <x v="2"/>
    <x v="0"/>
    <n v="5.9926256806047476E-2"/>
    <s v="Profit"/>
    <s v="Low (1-10%)"/>
  </r>
  <r>
    <x v="119"/>
    <x v="60"/>
    <s v="Yuvraj Chauhan"/>
    <x v="3"/>
    <s v="Mumbai"/>
    <x v="0"/>
    <s v="Tablet"/>
    <s v="Tablet - Technology"/>
    <n v="1000.8"/>
    <n v="8"/>
    <n v="6"/>
    <n v="170.82"/>
    <x v="0"/>
    <x v="1"/>
    <x v="8"/>
    <x v="0"/>
    <n v="0.17068345323741008"/>
    <s v="Profit"/>
    <s v="Low (1-10%)"/>
  </r>
  <r>
    <x v="120"/>
    <x v="103"/>
    <s v="Tanishq Ghosh"/>
    <x v="3"/>
    <s v="Ahmedabad"/>
    <x v="1"/>
    <s v="Sofa"/>
    <s v="Sofa - Furniture"/>
    <n v="619.34"/>
    <n v="2"/>
    <n v="28"/>
    <n v="42.8"/>
    <x v="0"/>
    <x v="0"/>
    <x v="4"/>
    <x v="0"/>
    <n v="6.9105822326993249E-2"/>
    <s v="Profit"/>
    <s v="High (&gt;20%)"/>
  </r>
  <r>
    <x v="121"/>
    <x v="72"/>
    <s v="Anaya Singh"/>
    <x v="2"/>
    <s v="Chennai"/>
    <x v="0"/>
    <s v="Printer"/>
    <s v="Printer - Technology"/>
    <n v="8766.27"/>
    <n v="9"/>
    <n v="30"/>
    <n v="769.54"/>
    <x v="2"/>
    <x v="2"/>
    <x v="4"/>
    <x v="0"/>
    <n v="8.7784200121602457E-2"/>
    <s v="Profit"/>
    <s v="High (&gt;20%)"/>
  </r>
  <r>
    <x v="122"/>
    <x v="104"/>
    <s v="Tanishq Ghosh"/>
    <x v="3"/>
    <s v="Pune"/>
    <x v="0"/>
    <s v="Mobile"/>
    <s v="Mobile - Technology"/>
    <n v="1486.48"/>
    <n v="8"/>
    <n v="9"/>
    <n v="111.09"/>
    <x v="1"/>
    <x v="2"/>
    <x v="1"/>
    <x v="1"/>
    <n v="7.4733598837522203E-2"/>
    <s v="Profit"/>
    <s v="Low (1-10%)"/>
  </r>
  <r>
    <x v="123"/>
    <x v="105"/>
    <s v="Saanvi Iyer"/>
    <x v="3"/>
    <s v="Ahmedabad"/>
    <x v="1"/>
    <s v="Table"/>
    <s v="Table - Furniture"/>
    <n v="6517.32"/>
    <n v="4"/>
    <n v="4"/>
    <n v="1083.0999999999999"/>
    <x v="0"/>
    <x v="1"/>
    <x v="11"/>
    <x v="1"/>
    <n v="0.1661879422830243"/>
    <s v="Profit"/>
    <s v="Low (1-10%)"/>
  </r>
  <r>
    <x v="124"/>
    <x v="106"/>
    <s v="Vivaan Shah"/>
    <x v="0"/>
    <s v="Bhubaneswar"/>
    <x v="1"/>
    <s v="Chair"/>
    <s v="Chair - Furniture"/>
    <n v="2619.36"/>
    <n v="8"/>
    <n v="26"/>
    <n v="423.72"/>
    <x v="1"/>
    <x v="0"/>
    <x v="3"/>
    <x v="1"/>
    <n v="0.16176470588235295"/>
    <s v="Profit"/>
    <s v="High (&gt;20%)"/>
  </r>
  <r>
    <x v="125"/>
    <x v="107"/>
    <s v="Arjun Verma"/>
    <x v="1"/>
    <s v="Delhi"/>
    <x v="1"/>
    <s v="Chair"/>
    <s v="Chair - Furniture"/>
    <n v="1695.55"/>
    <n v="1"/>
    <n v="26"/>
    <n v="114.02"/>
    <x v="2"/>
    <x v="1"/>
    <x v="5"/>
    <x v="1"/>
    <n v="6.7246616142254731E-2"/>
    <s v="Profit"/>
    <s v="High (&gt;20%)"/>
  </r>
  <r>
    <x v="126"/>
    <x v="44"/>
    <s v="Kriti Desai"/>
    <x v="3"/>
    <s v="Nagpur"/>
    <x v="1"/>
    <s v="Cupboard"/>
    <s v="Cupboard - Furniture"/>
    <n v="6987.68"/>
    <n v="4"/>
    <n v="25"/>
    <n v="854.53"/>
    <x v="1"/>
    <x v="0"/>
    <x v="0"/>
    <x v="0"/>
    <n v="0.12229094635129255"/>
    <s v="Profit"/>
    <s v="High (&gt;20%)"/>
  </r>
  <r>
    <x v="127"/>
    <x v="108"/>
    <s v="Diya Sharma"/>
    <x v="2"/>
    <s v="Bangalore"/>
    <x v="1"/>
    <s v="Sofa"/>
    <s v="Sofa - Furniture"/>
    <n v="17292.7"/>
    <n v="10"/>
    <n v="14"/>
    <n v="2378.5100000000002"/>
    <x v="1"/>
    <x v="0"/>
    <x v="1"/>
    <x v="1"/>
    <n v="0.13754416603537908"/>
    <s v="Profit"/>
    <s v="Mid (11-20%)"/>
  </r>
  <r>
    <x v="128"/>
    <x v="109"/>
    <s v="Tanishq Ghosh"/>
    <x v="1"/>
    <s v="Chandigarh"/>
    <x v="1"/>
    <s v="Chair"/>
    <s v="Chair - Furniture"/>
    <n v="10338.780000000001"/>
    <n v="6"/>
    <n v="21"/>
    <n v="758.29"/>
    <x v="0"/>
    <x v="3"/>
    <x v="6"/>
    <x v="0"/>
    <n v="7.3344243711540427E-2"/>
    <s v="Profit"/>
    <s v="High (&gt;20%)"/>
  </r>
  <r>
    <x v="129"/>
    <x v="110"/>
    <s v="Yuvraj Chauhan"/>
    <x v="0"/>
    <s v="Patna"/>
    <x v="0"/>
    <s v="Tablet"/>
    <s v="Tablet - Technology"/>
    <n v="14036.8"/>
    <n v="8"/>
    <n v="12"/>
    <n v="2716.89"/>
    <x v="0"/>
    <x v="1"/>
    <x v="3"/>
    <x v="1"/>
    <n v="0.19355479881454463"/>
    <s v="Profit"/>
    <s v="Mid (11-20%)"/>
  </r>
  <r>
    <x v="130"/>
    <x v="111"/>
    <s v="Arjun Verma"/>
    <x v="1"/>
    <s v="Jaipur"/>
    <x v="1"/>
    <s v="Sofa"/>
    <s v="Sofa - Furniture"/>
    <n v="2229.44"/>
    <n v="2"/>
    <n v="25"/>
    <n v="365.63"/>
    <x v="2"/>
    <x v="2"/>
    <x v="3"/>
    <x v="1"/>
    <n v="0.16400082531936269"/>
    <s v="Profit"/>
    <s v="High (&gt;20%)"/>
  </r>
  <r>
    <x v="131"/>
    <x v="112"/>
    <s v="Riya Kapoor"/>
    <x v="3"/>
    <s v="Pune"/>
    <x v="2"/>
    <s v="Notebook"/>
    <s v="Notebook - Office Supplies"/>
    <n v="19121.8"/>
    <n v="10"/>
    <n v="24"/>
    <n v="1486.94"/>
    <x v="1"/>
    <x v="1"/>
    <x v="11"/>
    <x v="1"/>
    <n v="7.776150780784237E-2"/>
    <s v="Profit"/>
    <s v="High (&gt;20%)"/>
  </r>
  <r>
    <x v="132"/>
    <x v="113"/>
    <s v="Sneha Reddy"/>
    <x v="3"/>
    <s v="Indore"/>
    <x v="2"/>
    <s v="Notebook"/>
    <s v="Notebook - Office Supplies"/>
    <n v="10600.5"/>
    <n v="6"/>
    <n v="6"/>
    <n v="1499.91"/>
    <x v="1"/>
    <x v="1"/>
    <x v="4"/>
    <x v="0"/>
    <n v="0.1414942691382482"/>
    <s v="Profit"/>
    <s v="Low (1-10%)"/>
  </r>
  <r>
    <x v="133"/>
    <x v="114"/>
    <s v="Riya Kapoor"/>
    <x v="3"/>
    <s v="Mumbai"/>
    <x v="0"/>
    <s v="Printer"/>
    <s v="Printer - Technology"/>
    <n v="10089.73"/>
    <n v="7"/>
    <n v="5"/>
    <n v="961.58"/>
    <x v="2"/>
    <x v="2"/>
    <x v="11"/>
    <x v="1"/>
    <n v="9.5302847548943345E-2"/>
    <s v="Profit"/>
    <s v="Low (1-10%)"/>
  </r>
  <r>
    <x v="134"/>
    <x v="115"/>
    <s v="Vivaan Shah"/>
    <x v="3"/>
    <s v="Indore"/>
    <x v="0"/>
    <s v="Tablet"/>
    <s v="Tablet - Technology"/>
    <n v="1979.31"/>
    <n v="3"/>
    <n v="2"/>
    <n v="261.05"/>
    <x v="1"/>
    <x v="3"/>
    <x v="9"/>
    <x v="1"/>
    <n v="0.13188939579954631"/>
    <s v="Profit"/>
    <s v="Low (1-10%)"/>
  </r>
  <r>
    <x v="135"/>
    <x v="116"/>
    <s v="Meera Joshi"/>
    <x v="0"/>
    <s v="Bhubaneswar"/>
    <x v="0"/>
    <s v="Mobile"/>
    <s v="Mobile - Technology"/>
    <n v="1115.3399999999999"/>
    <n v="3"/>
    <n v="20"/>
    <n v="198.33"/>
    <x v="0"/>
    <x v="2"/>
    <x v="11"/>
    <x v="1"/>
    <n v="0.17782021625692615"/>
    <s v="Profit"/>
    <s v="Mid (11-20%)"/>
  </r>
  <r>
    <x v="136"/>
    <x v="4"/>
    <s v="Ishaan Mehta"/>
    <x v="1"/>
    <s v="Delhi"/>
    <x v="2"/>
    <s v="Pen"/>
    <s v="Pen - Office Supplies"/>
    <n v="4203.96"/>
    <n v="6"/>
    <n v="8"/>
    <n v="435.13"/>
    <x v="2"/>
    <x v="0"/>
    <x v="3"/>
    <x v="1"/>
    <n v="0.1035047907211296"/>
    <s v="Profit"/>
    <s v="Low (1-10%)"/>
  </r>
  <r>
    <x v="137"/>
    <x v="117"/>
    <s v="Arjun Verma"/>
    <x v="1"/>
    <s v="Jaipur"/>
    <x v="1"/>
    <s v="Table"/>
    <s v="Table - Furniture"/>
    <n v="6056.12"/>
    <n v="4"/>
    <n v="30"/>
    <n v="548.38"/>
    <x v="0"/>
    <x v="1"/>
    <x v="7"/>
    <x v="1"/>
    <n v="9.0549724906375695E-2"/>
    <s v="Profit"/>
    <s v="High (&gt;20%)"/>
  </r>
  <r>
    <x v="138"/>
    <x v="85"/>
    <s v="Arjun Verma"/>
    <x v="0"/>
    <s v="Kolkata"/>
    <x v="0"/>
    <s v="Tablet"/>
    <s v="Tablet - Technology"/>
    <n v="492.6"/>
    <n v="3"/>
    <n v="29"/>
    <n v="26.51"/>
    <x v="1"/>
    <x v="1"/>
    <x v="12"/>
    <x v="1"/>
    <n v="5.3816483962647176E-2"/>
    <s v="Profit"/>
    <s v="High (&gt;20%)"/>
  </r>
  <r>
    <x v="139"/>
    <x v="118"/>
    <s v="Kriti Desai"/>
    <x v="3"/>
    <s v="Ahmedabad"/>
    <x v="0"/>
    <s v="Laptop"/>
    <s v="Laptop - Technology"/>
    <n v="919.57"/>
    <n v="1"/>
    <n v="28"/>
    <n v="124.44"/>
    <x v="1"/>
    <x v="1"/>
    <x v="6"/>
    <x v="0"/>
    <n v="0.13532411888165119"/>
    <s v="Profit"/>
    <s v="High (&gt;20%)"/>
  </r>
  <r>
    <x v="140"/>
    <x v="18"/>
    <s v="Anaya Singh"/>
    <x v="2"/>
    <s v="Bangalore"/>
    <x v="0"/>
    <s v="Printer"/>
    <s v="Printer - Technology"/>
    <n v="442.16"/>
    <n v="2"/>
    <n v="30"/>
    <n v="64.290000000000006"/>
    <x v="2"/>
    <x v="0"/>
    <x v="7"/>
    <x v="1"/>
    <n v="0.14539985525601593"/>
    <s v="Profit"/>
    <s v="High (&gt;20%)"/>
  </r>
  <r>
    <x v="141"/>
    <x v="71"/>
    <s v="Sneha Reddy"/>
    <x v="2"/>
    <s v="Bangalore"/>
    <x v="1"/>
    <s v="Table"/>
    <s v="Table - Furniture"/>
    <n v="9037.7999999999993"/>
    <n v="9"/>
    <n v="22"/>
    <n v="508.45"/>
    <x v="0"/>
    <x v="0"/>
    <x v="6"/>
    <x v="0"/>
    <n v="5.6258160171723214E-2"/>
    <s v="Profit"/>
    <s v="High (&gt;20%)"/>
  </r>
  <r>
    <x v="142"/>
    <x v="119"/>
    <s v="Aarav Patel"/>
    <x v="2"/>
    <s v="Bangalore"/>
    <x v="0"/>
    <s v="Mobile"/>
    <s v="Mobile - Technology"/>
    <n v="7139.36"/>
    <n v="8"/>
    <n v="21"/>
    <n v="415.54"/>
    <x v="2"/>
    <x v="0"/>
    <x v="6"/>
    <x v="0"/>
    <n v="5.8204096725756937E-2"/>
    <s v="Profit"/>
    <s v="High (&gt;20%)"/>
  </r>
  <r>
    <x v="143"/>
    <x v="47"/>
    <s v="Aarav Patel"/>
    <x v="2"/>
    <s v="Hyderabad"/>
    <x v="0"/>
    <s v="Tablet"/>
    <s v="Tablet - Technology"/>
    <n v="4531.2299999999996"/>
    <n v="3"/>
    <n v="9"/>
    <n v="427.21"/>
    <x v="1"/>
    <x v="3"/>
    <x v="9"/>
    <x v="1"/>
    <n v="9.4281243724110231E-2"/>
    <s v="Profit"/>
    <s v="Low (1-10%)"/>
  </r>
  <r>
    <x v="144"/>
    <x v="120"/>
    <s v="Tanishq Ghosh"/>
    <x v="2"/>
    <s v="Bangalore"/>
    <x v="1"/>
    <s v="Table"/>
    <s v="Table - Furniture"/>
    <n v="3483.96"/>
    <n v="4"/>
    <n v="8"/>
    <n v="712.61"/>
    <x v="1"/>
    <x v="3"/>
    <x v="12"/>
    <x v="1"/>
    <n v="0.20454023582360303"/>
    <s v="Profit"/>
    <s v="Low (1-10%)"/>
  </r>
  <r>
    <x v="145"/>
    <x v="121"/>
    <s v="Vivaan Shah"/>
    <x v="0"/>
    <s v="Bhubaneswar"/>
    <x v="1"/>
    <s v="Chair"/>
    <s v="Chair - Furniture"/>
    <n v="6450.84"/>
    <n v="6"/>
    <n v="18"/>
    <n v="1088.03"/>
    <x v="2"/>
    <x v="3"/>
    <x v="0"/>
    <x v="0"/>
    <n v="0.16866485604975476"/>
    <s v="Profit"/>
    <s v="Mid (11-20%)"/>
  </r>
  <r>
    <x v="146"/>
    <x v="122"/>
    <s v="Ishaan Mehta"/>
    <x v="0"/>
    <s v="Kolkata"/>
    <x v="1"/>
    <s v="Table"/>
    <s v="Table - Furniture"/>
    <n v="4442"/>
    <n v="8"/>
    <n v="4"/>
    <n v="426.32"/>
    <x v="2"/>
    <x v="1"/>
    <x v="5"/>
    <x v="1"/>
    <n v="9.59747861323728E-2"/>
    <s v="Profit"/>
    <s v="Low (1-10%)"/>
  </r>
  <r>
    <x v="147"/>
    <x v="123"/>
    <s v="Kabir Nair"/>
    <x v="0"/>
    <s v="Kolkata"/>
    <x v="0"/>
    <s v="Mobile"/>
    <s v="Mobile - Technology"/>
    <n v="12996.06"/>
    <n v="7"/>
    <n v="18"/>
    <n v="1717.82"/>
    <x v="1"/>
    <x v="0"/>
    <x v="0"/>
    <x v="0"/>
    <n v="0.13218006072609698"/>
    <s v="Profit"/>
    <s v="Mid (11-20%)"/>
  </r>
  <r>
    <x v="148"/>
    <x v="124"/>
    <s v="Kriti Desai"/>
    <x v="1"/>
    <s v="Delhi"/>
    <x v="2"/>
    <s v="Stapler"/>
    <s v="Stapler - Office Supplies"/>
    <n v="4391.1000000000004"/>
    <n v="6"/>
    <n v="16"/>
    <n v="221.69"/>
    <x v="2"/>
    <x v="2"/>
    <x v="4"/>
    <x v="0"/>
    <n v="5.0486210744460379E-2"/>
    <s v="Profit"/>
    <s v="Mid (11-20%)"/>
  </r>
  <r>
    <x v="149"/>
    <x v="125"/>
    <s v="Aarav Patel"/>
    <x v="0"/>
    <s v="Bhubaneswar"/>
    <x v="2"/>
    <s v="Notebook"/>
    <s v="Notebook - Office Supplies"/>
    <n v="3591.69"/>
    <n v="3"/>
    <n v="25"/>
    <n v="486.14"/>
    <x v="2"/>
    <x v="0"/>
    <x v="12"/>
    <x v="1"/>
    <n v="0.13535132486378279"/>
    <s v="Profit"/>
    <s v="High (&gt;20%)"/>
  </r>
  <r>
    <x v="150"/>
    <x v="126"/>
    <s v="Kriti Desai"/>
    <x v="3"/>
    <s v="Nagpur"/>
    <x v="1"/>
    <s v="Sofa"/>
    <s v="Sofa - Furniture"/>
    <n v="6595.83"/>
    <n v="9"/>
    <n v="5"/>
    <n v="406.17"/>
    <x v="2"/>
    <x v="1"/>
    <x v="11"/>
    <x v="1"/>
    <n v="6.1579816338504782E-2"/>
    <s v="Profit"/>
    <s v="Low (1-10%)"/>
  </r>
  <r>
    <x v="151"/>
    <x v="127"/>
    <s v="Saanvi Iyer"/>
    <x v="1"/>
    <s v="Jaipur"/>
    <x v="0"/>
    <s v="Mobile"/>
    <s v="Mobile - Technology"/>
    <n v="4142.7299999999996"/>
    <n v="3"/>
    <n v="29"/>
    <n v="464.48"/>
    <x v="2"/>
    <x v="3"/>
    <x v="5"/>
    <x v="1"/>
    <n v="0.11211930297171191"/>
    <s v="Profit"/>
    <s v="High (&gt;20%)"/>
  </r>
  <r>
    <x v="152"/>
    <x v="2"/>
    <s v="Diya Sharma"/>
    <x v="3"/>
    <s v="Mumbai"/>
    <x v="0"/>
    <s v="Mobile"/>
    <s v="Mobile - Technology"/>
    <n v="3859.52"/>
    <n v="7"/>
    <n v="9"/>
    <n v="479.18"/>
    <x v="1"/>
    <x v="0"/>
    <x v="2"/>
    <x v="0"/>
    <n v="0.12415533537849266"/>
    <s v="Profit"/>
    <s v="Low (1-10%)"/>
  </r>
  <r>
    <x v="153"/>
    <x v="128"/>
    <s v="Vivaan Shah"/>
    <x v="0"/>
    <s v="Patna"/>
    <x v="0"/>
    <s v="Tablet"/>
    <s v="Tablet - Technology"/>
    <n v="10372.24"/>
    <n v="8"/>
    <n v="2"/>
    <n v="2174.37"/>
    <x v="0"/>
    <x v="2"/>
    <x v="6"/>
    <x v="0"/>
    <n v="0.20963359891402436"/>
    <s v="Profit"/>
    <s v="Low (1-10%)"/>
  </r>
  <r>
    <x v="154"/>
    <x v="129"/>
    <s v="Arjun Verma"/>
    <x v="2"/>
    <s v="Chennai"/>
    <x v="2"/>
    <s v="Notebook"/>
    <s v="Notebook - Office Supplies"/>
    <n v="11876.5"/>
    <n v="10"/>
    <n v="18"/>
    <n v="1489.68"/>
    <x v="1"/>
    <x v="1"/>
    <x v="8"/>
    <x v="0"/>
    <n v="0.12543089293983919"/>
    <s v="Profit"/>
    <s v="Mid (11-20%)"/>
  </r>
  <r>
    <x v="155"/>
    <x v="130"/>
    <s v="Ishaan Mehta"/>
    <x v="0"/>
    <s v="Patna"/>
    <x v="1"/>
    <s v="Sofa"/>
    <s v="Sofa - Furniture"/>
    <n v="14732.55"/>
    <n v="9"/>
    <n v="24"/>
    <n v="911.76"/>
    <x v="1"/>
    <x v="1"/>
    <x v="12"/>
    <x v="1"/>
    <n v="6.1887453292199926E-2"/>
    <s v="Profit"/>
    <s v="High (&gt;20%)"/>
  </r>
  <r>
    <x v="156"/>
    <x v="131"/>
    <s v="Riya Kapoor"/>
    <x v="2"/>
    <s v="Hyderabad"/>
    <x v="1"/>
    <s v="Chair"/>
    <s v="Chair - Furniture"/>
    <n v="3590.58"/>
    <n v="2"/>
    <n v="1"/>
    <n v="849"/>
    <x v="1"/>
    <x v="2"/>
    <x v="12"/>
    <x v="1"/>
    <n v="0.23645204952960247"/>
    <s v="Profit"/>
    <s v="Low (1-10%)"/>
  </r>
  <r>
    <x v="157"/>
    <x v="123"/>
    <s v="Meera Joshi"/>
    <x v="2"/>
    <s v="Chennai"/>
    <x v="0"/>
    <s v="Printer"/>
    <s v="Printer - Technology"/>
    <n v="4343.99"/>
    <n v="7"/>
    <n v="9"/>
    <n v="477.35"/>
    <x v="0"/>
    <x v="0"/>
    <x v="0"/>
    <x v="0"/>
    <n v="0.10988745370039987"/>
    <s v="Profit"/>
    <s v="Low (1-10%)"/>
  </r>
  <r>
    <x v="158"/>
    <x v="77"/>
    <s v="Yuvraj Chauhan"/>
    <x v="1"/>
    <s v="Jaipur"/>
    <x v="1"/>
    <s v="Chair"/>
    <s v="Chair - Furniture"/>
    <n v="15587.19"/>
    <n v="9"/>
    <n v="0"/>
    <n v="1698.78"/>
    <x v="2"/>
    <x v="2"/>
    <x v="6"/>
    <x v="0"/>
    <n v="0.10898564783004505"/>
    <s v="Profit"/>
    <s v="No Discount"/>
  </r>
  <r>
    <x v="159"/>
    <x v="132"/>
    <s v="Sneha Reddy"/>
    <x v="1"/>
    <s v="Chandigarh"/>
    <x v="0"/>
    <s v="Printer"/>
    <s v="Printer - Technology"/>
    <n v="4379.3999999999996"/>
    <n v="10"/>
    <n v="1"/>
    <n v="393.79"/>
    <x v="1"/>
    <x v="1"/>
    <x v="7"/>
    <x v="1"/>
    <n v="8.9918710325615395E-2"/>
    <s v="Profit"/>
    <s v="Low (1-10%)"/>
  </r>
  <r>
    <x v="160"/>
    <x v="24"/>
    <s v="Kriti Desai"/>
    <x v="2"/>
    <s v="Bangalore"/>
    <x v="1"/>
    <s v="Chair"/>
    <s v="Chair - Furniture"/>
    <n v="2772.1"/>
    <n v="10"/>
    <n v="28"/>
    <n v="183.66"/>
    <x v="2"/>
    <x v="2"/>
    <x v="8"/>
    <x v="0"/>
    <n v="6.6253021175282284E-2"/>
    <s v="Profit"/>
    <s v="High (&gt;20%)"/>
  </r>
  <r>
    <x v="161"/>
    <x v="133"/>
    <s v="Tanishq Ghosh"/>
    <x v="0"/>
    <s v="Kolkata"/>
    <x v="1"/>
    <s v="Table"/>
    <s v="Table - Furniture"/>
    <n v="11917.2"/>
    <n v="8"/>
    <n v="29"/>
    <n v="1195.47"/>
    <x v="1"/>
    <x v="2"/>
    <x v="11"/>
    <x v="1"/>
    <n v="0.10031467123149733"/>
    <s v="Profit"/>
    <s v="High (&gt;20%)"/>
  </r>
  <r>
    <x v="162"/>
    <x v="132"/>
    <s v="Yuvraj Chauhan"/>
    <x v="2"/>
    <s v="Chennai"/>
    <x v="1"/>
    <s v="Table"/>
    <s v="Table - Furniture"/>
    <n v="9498.6"/>
    <n v="6"/>
    <n v="15"/>
    <n v="433.48"/>
    <x v="0"/>
    <x v="1"/>
    <x v="7"/>
    <x v="1"/>
    <n v="4.5636199018802774E-2"/>
    <s v="Profit"/>
    <s v="Mid (11-20%)"/>
  </r>
  <r>
    <x v="163"/>
    <x v="134"/>
    <s v="Arjun Verma"/>
    <x v="2"/>
    <s v="Chennai"/>
    <x v="1"/>
    <s v="Cupboard"/>
    <s v="Cupboard - Furniture"/>
    <n v="8882.65"/>
    <n v="7"/>
    <n v="29"/>
    <n v="644.29"/>
    <x v="0"/>
    <x v="3"/>
    <x v="1"/>
    <x v="1"/>
    <n v="7.253353447450929E-2"/>
    <s v="Profit"/>
    <s v="High (&gt;20%)"/>
  </r>
  <r>
    <x v="164"/>
    <x v="46"/>
    <s v="Kriti Desai"/>
    <x v="3"/>
    <s v="Pune"/>
    <x v="1"/>
    <s v="Table"/>
    <s v="Table - Furniture"/>
    <n v="1852.25"/>
    <n v="1"/>
    <n v="3"/>
    <n v="345.86"/>
    <x v="1"/>
    <x v="1"/>
    <x v="2"/>
    <x v="0"/>
    <n v="0.18672425428532866"/>
    <s v="Profit"/>
    <s v="Low (1-10%)"/>
  </r>
  <r>
    <x v="165"/>
    <x v="135"/>
    <s v="Ishaan Mehta"/>
    <x v="1"/>
    <s v="Chandigarh"/>
    <x v="0"/>
    <s v="Tablet"/>
    <s v="Tablet - Technology"/>
    <n v="10395.5"/>
    <n v="10"/>
    <n v="8"/>
    <n v="1678.52"/>
    <x v="2"/>
    <x v="2"/>
    <x v="0"/>
    <x v="0"/>
    <n v="0.16146601895050744"/>
    <s v="Profit"/>
    <s v="Low (1-10%)"/>
  </r>
  <r>
    <x v="166"/>
    <x v="136"/>
    <s v="Saanvi Iyer"/>
    <x v="2"/>
    <s v="Chennai"/>
    <x v="0"/>
    <s v="Tablet"/>
    <s v="Tablet - Technology"/>
    <n v="7116.42"/>
    <n v="6"/>
    <n v="30"/>
    <n v="526"/>
    <x v="1"/>
    <x v="2"/>
    <x v="3"/>
    <x v="1"/>
    <n v="7.3913568901217183E-2"/>
    <s v="Profit"/>
    <s v="High (&gt;20%)"/>
  </r>
  <r>
    <x v="167"/>
    <x v="137"/>
    <s v="Anaya Singh"/>
    <x v="1"/>
    <s v="Jaipur"/>
    <x v="2"/>
    <s v="Pen"/>
    <s v="Pen - Office Supplies"/>
    <n v="3946.5"/>
    <n v="3"/>
    <n v="2"/>
    <n v="748.19"/>
    <x v="2"/>
    <x v="2"/>
    <x v="1"/>
    <x v="1"/>
    <n v="0.18958317496515903"/>
    <s v="Profit"/>
    <s v="Low (1-10%)"/>
  </r>
  <r>
    <x v="168"/>
    <x v="138"/>
    <s v="Meera Joshi"/>
    <x v="1"/>
    <s v="Delhi"/>
    <x v="2"/>
    <s v="Pen"/>
    <s v="Pen - Office Supplies"/>
    <n v="2214.9299999999998"/>
    <n v="3"/>
    <n v="13"/>
    <n v="231.26"/>
    <x v="1"/>
    <x v="2"/>
    <x v="6"/>
    <x v="0"/>
    <n v="0.10440962016858321"/>
    <s v="Profit"/>
    <s v="Mid (11-20%)"/>
  </r>
  <r>
    <x v="169"/>
    <x v="139"/>
    <s v="Tanishq Ghosh"/>
    <x v="0"/>
    <s v="Kolkata"/>
    <x v="2"/>
    <s v="Stapler"/>
    <s v="Stapler - Office Supplies"/>
    <n v="9732.1"/>
    <n v="7"/>
    <n v="4"/>
    <n v="494.42"/>
    <x v="0"/>
    <x v="3"/>
    <x v="3"/>
    <x v="1"/>
    <n v="5.080301271051469E-2"/>
    <s v="Profit"/>
    <s v="Low (1-10%)"/>
  </r>
  <r>
    <x v="170"/>
    <x v="140"/>
    <s v="Riya Kapoor"/>
    <x v="0"/>
    <s v="Kolkata"/>
    <x v="1"/>
    <s v="Chair"/>
    <s v="Chair - Furniture"/>
    <n v="17231.13"/>
    <n v="9"/>
    <n v="19"/>
    <n v="2441.5"/>
    <x v="1"/>
    <x v="3"/>
    <x v="9"/>
    <x v="1"/>
    <n v="0.14169122976844814"/>
    <s v="Profit"/>
    <s v="Mid (11-20%)"/>
  </r>
  <r>
    <x v="171"/>
    <x v="141"/>
    <s v="Aarav Patel"/>
    <x v="1"/>
    <s v="Chandigarh"/>
    <x v="0"/>
    <s v="Printer"/>
    <s v="Printer - Technology"/>
    <n v="9196.14"/>
    <n v="6"/>
    <n v="11"/>
    <n v="1180.01"/>
    <x v="2"/>
    <x v="1"/>
    <x v="2"/>
    <x v="0"/>
    <n v="0.12831579336547727"/>
    <s v="Profit"/>
    <s v="Mid (11-20%)"/>
  </r>
  <r>
    <x v="172"/>
    <x v="142"/>
    <s v="Sneha Reddy"/>
    <x v="0"/>
    <s v="Kolkata"/>
    <x v="2"/>
    <s v="Envelope"/>
    <s v="Envelope - Office Supplies"/>
    <n v="4732.3"/>
    <n v="5"/>
    <n v="23"/>
    <n v="660.9"/>
    <x v="2"/>
    <x v="0"/>
    <x v="1"/>
    <x v="1"/>
    <n v="0.13965724911776514"/>
    <s v="Profit"/>
    <s v="High (&gt;20%)"/>
  </r>
  <r>
    <x v="173"/>
    <x v="143"/>
    <s v="Aarav Patel"/>
    <x v="3"/>
    <s v="Pune"/>
    <x v="1"/>
    <s v="Cupboard"/>
    <s v="Cupboard - Furniture"/>
    <n v="6921.88"/>
    <n v="7"/>
    <n v="14"/>
    <n v="975.88"/>
    <x v="2"/>
    <x v="1"/>
    <x v="2"/>
    <x v="0"/>
    <n v="0.14098481915317804"/>
    <s v="Profit"/>
    <s v="Mid (11-20%)"/>
  </r>
  <r>
    <x v="174"/>
    <x v="144"/>
    <s v="Kabir Nair"/>
    <x v="3"/>
    <s v="Mumbai"/>
    <x v="2"/>
    <s v="Notebook"/>
    <s v="Notebook - Office Supplies"/>
    <n v="2244.7800000000002"/>
    <n v="2"/>
    <n v="7.0000000000000009"/>
    <n v="282.76"/>
    <x v="2"/>
    <x v="1"/>
    <x v="3"/>
    <x v="1"/>
    <n v="0.12596334607400278"/>
    <s v="Profit"/>
    <s v="Low (1-10%)"/>
  </r>
  <r>
    <x v="175"/>
    <x v="122"/>
    <s v="Meera Joshi"/>
    <x v="1"/>
    <s v="Lucknow"/>
    <x v="1"/>
    <s v="Cupboard"/>
    <s v="Cupboard - Furniture"/>
    <n v="8847.27"/>
    <n v="9"/>
    <n v="5"/>
    <n v="581.4"/>
    <x v="1"/>
    <x v="0"/>
    <x v="5"/>
    <x v="1"/>
    <n v="6.5715186718614885E-2"/>
    <s v="Profit"/>
    <s v="Low (1-10%)"/>
  </r>
  <r>
    <x v="176"/>
    <x v="145"/>
    <s v="Meera Joshi"/>
    <x v="1"/>
    <s v="Delhi"/>
    <x v="2"/>
    <s v="Pen"/>
    <s v="Pen - Office Supplies"/>
    <n v="2469.96"/>
    <n v="3"/>
    <n v="10"/>
    <n v="531.04"/>
    <x v="1"/>
    <x v="0"/>
    <x v="6"/>
    <x v="0"/>
    <n v="0.21499943318920142"/>
    <s v="Profit"/>
    <s v="Low (1-10%)"/>
  </r>
  <r>
    <x v="177"/>
    <x v="146"/>
    <s v="Saanvi Iyer"/>
    <x v="1"/>
    <s v="Delhi"/>
    <x v="1"/>
    <s v="Chair"/>
    <s v="Chair - Furniture"/>
    <n v="10313.73"/>
    <n v="7"/>
    <n v="3"/>
    <n v="597.27"/>
    <x v="0"/>
    <x v="0"/>
    <x v="7"/>
    <x v="1"/>
    <n v="5.7910183803531801E-2"/>
    <s v="Profit"/>
    <s v="Low (1-10%)"/>
  </r>
  <r>
    <x v="178"/>
    <x v="147"/>
    <s v="Tanishq Ghosh"/>
    <x v="2"/>
    <s v="Chennai"/>
    <x v="1"/>
    <s v="Sofa"/>
    <s v="Sofa - Furniture"/>
    <n v="101.77"/>
    <n v="1"/>
    <n v="6"/>
    <n v="8.2899999999999991"/>
    <x v="1"/>
    <x v="1"/>
    <x v="5"/>
    <x v="1"/>
    <n v="8.1458190036356487E-2"/>
    <s v="Profit"/>
    <s v="Low (1-10%)"/>
  </r>
  <r>
    <x v="179"/>
    <x v="70"/>
    <s v="Arjun Verma"/>
    <x v="0"/>
    <s v="Bhubaneswar"/>
    <x v="0"/>
    <s v="Printer"/>
    <s v="Printer - Technology"/>
    <n v="3335.01"/>
    <n v="7"/>
    <n v="14"/>
    <n v="259.43"/>
    <x v="0"/>
    <x v="1"/>
    <x v="2"/>
    <x v="0"/>
    <n v="7.7789871694537646E-2"/>
    <s v="Profit"/>
    <s v="Mid (11-20%)"/>
  </r>
  <r>
    <x v="180"/>
    <x v="147"/>
    <s v="Ishaan Mehta"/>
    <x v="3"/>
    <s v="Mumbai"/>
    <x v="0"/>
    <s v="Printer"/>
    <s v="Printer - Technology"/>
    <n v="13470.31"/>
    <n v="7"/>
    <n v="12"/>
    <n v="1078.8900000000001"/>
    <x v="2"/>
    <x v="3"/>
    <x v="5"/>
    <x v="1"/>
    <n v="8.0093925084129478E-2"/>
    <s v="Profit"/>
    <s v="Mid (11-20%)"/>
  </r>
  <r>
    <x v="181"/>
    <x v="54"/>
    <s v="Aarav Patel"/>
    <x v="0"/>
    <s v="Bhubaneswar"/>
    <x v="1"/>
    <s v="Sofa"/>
    <s v="Sofa - Furniture"/>
    <n v="2413.6799999999998"/>
    <n v="2"/>
    <n v="16"/>
    <n v="223.22"/>
    <x v="1"/>
    <x v="3"/>
    <x v="9"/>
    <x v="1"/>
    <n v="9.2481190547214223E-2"/>
    <s v="Profit"/>
    <s v="Mid (11-20%)"/>
  </r>
  <r>
    <x v="182"/>
    <x v="86"/>
    <s v="Diya Sharma"/>
    <x v="3"/>
    <s v="Indore"/>
    <x v="1"/>
    <s v="Table"/>
    <s v="Table - Furniture"/>
    <n v="7224.75"/>
    <n v="5"/>
    <n v="7.0000000000000009"/>
    <n v="896.59"/>
    <x v="2"/>
    <x v="2"/>
    <x v="4"/>
    <x v="0"/>
    <n v="0.12409979584068653"/>
    <s v="Profit"/>
    <s v="Low (1-10%)"/>
  </r>
  <r>
    <x v="183"/>
    <x v="104"/>
    <s v="Diya Sharma"/>
    <x v="2"/>
    <s v="Bangalore"/>
    <x v="0"/>
    <s v="Printer"/>
    <s v="Printer - Technology"/>
    <n v="2271.2800000000002"/>
    <n v="2"/>
    <n v="13"/>
    <n v="376.88"/>
    <x v="0"/>
    <x v="1"/>
    <x v="1"/>
    <x v="1"/>
    <n v="0.16593286604910004"/>
    <s v="Profit"/>
    <s v="Mid (11-20%)"/>
  </r>
  <r>
    <x v="184"/>
    <x v="50"/>
    <s v="Riya Kapoor"/>
    <x v="3"/>
    <s v="Indore"/>
    <x v="2"/>
    <s v="Notebook"/>
    <s v="Notebook - Office Supplies"/>
    <n v="3736.77"/>
    <n v="3"/>
    <n v="3"/>
    <n v="520.99"/>
    <x v="0"/>
    <x v="3"/>
    <x v="7"/>
    <x v="1"/>
    <n v="0.13942254942102406"/>
    <s v="Profit"/>
    <s v="Low (1-10%)"/>
  </r>
  <r>
    <x v="185"/>
    <x v="148"/>
    <s v="Vivaan Shah"/>
    <x v="0"/>
    <s v="Kolkata"/>
    <x v="2"/>
    <s v="Pen"/>
    <s v="Pen - Office Supplies"/>
    <n v="1517"/>
    <n v="5"/>
    <n v="19"/>
    <n v="124.92"/>
    <x v="2"/>
    <x v="1"/>
    <x v="3"/>
    <x v="1"/>
    <n v="8.2346736980883323E-2"/>
    <s v="Profit"/>
    <s v="Mid (11-20%)"/>
  </r>
  <r>
    <x v="186"/>
    <x v="134"/>
    <s v="Anaya Singh"/>
    <x v="0"/>
    <s v="Bhubaneswar"/>
    <x v="1"/>
    <s v="Table"/>
    <s v="Table - Furniture"/>
    <n v="17223.3"/>
    <n v="9"/>
    <n v="6"/>
    <n v="2658.31"/>
    <x v="1"/>
    <x v="1"/>
    <x v="1"/>
    <x v="1"/>
    <n v="0.15434382493482665"/>
    <s v="Profit"/>
    <s v="Low (1-10%)"/>
  </r>
  <r>
    <x v="187"/>
    <x v="75"/>
    <s v="Anaya Singh"/>
    <x v="0"/>
    <s v="Kolkata"/>
    <x v="2"/>
    <s v="Envelope"/>
    <s v="Envelope - Office Supplies"/>
    <n v="10844.9"/>
    <n v="10"/>
    <n v="2"/>
    <n v="2260.62"/>
    <x v="0"/>
    <x v="1"/>
    <x v="11"/>
    <x v="1"/>
    <n v="0.20845005486449852"/>
    <s v="Profit"/>
    <s v="Low (1-10%)"/>
  </r>
  <r>
    <x v="188"/>
    <x v="144"/>
    <s v="Tanishq Ghosh"/>
    <x v="1"/>
    <s v="Jaipur"/>
    <x v="2"/>
    <s v="Pen"/>
    <s v="Pen - Office Supplies"/>
    <n v="9623.16"/>
    <n v="9"/>
    <n v="12"/>
    <n v="1197.52"/>
    <x v="2"/>
    <x v="2"/>
    <x v="3"/>
    <x v="1"/>
    <n v="0.124441451664526"/>
    <s v="Profit"/>
    <s v="Mid (11-20%)"/>
  </r>
  <r>
    <x v="189"/>
    <x v="149"/>
    <s v="Saanvi Iyer"/>
    <x v="2"/>
    <s v="Hyderabad"/>
    <x v="1"/>
    <s v="Table"/>
    <s v="Table - Furniture"/>
    <n v="3266.86"/>
    <n v="2"/>
    <n v="3"/>
    <n v="415.14"/>
    <x v="0"/>
    <x v="0"/>
    <x v="2"/>
    <x v="0"/>
    <n v="0.12707615263586439"/>
    <s v="Profit"/>
    <s v="Low (1-10%)"/>
  </r>
  <r>
    <x v="190"/>
    <x v="149"/>
    <s v="Aarav Patel"/>
    <x v="0"/>
    <s v="Patna"/>
    <x v="1"/>
    <s v="Table"/>
    <s v="Table - Furniture"/>
    <n v="4641.6499999999996"/>
    <n v="5"/>
    <n v="3"/>
    <n v="662.36"/>
    <x v="0"/>
    <x v="0"/>
    <x v="2"/>
    <x v="0"/>
    <n v="0.14269925565262354"/>
    <s v="Profit"/>
    <s v="Low (1-10%)"/>
  </r>
  <r>
    <x v="191"/>
    <x v="10"/>
    <s v="Tanishq Ghosh"/>
    <x v="1"/>
    <s v="Jaipur"/>
    <x v="1"/>
    <s v="Cupboard"/>
    <s v="Cupboard - Furniture"/>
    <n v="11174.49"/>
    <n v="9"/>
    <n v="23"/>
    <n v="2088.23"/>
    <x v="2"/>
    <x v="3"/>
    <x v="7"/>
    <x v="1"/>
    <n v="0.18687474775135152"/>
    <s v="Profit"/>
    <s v="High (&gt;20%)"/>
  </r>
  <r>
    <x v="192"/>
    <x v="150"/>
    <s v="Arjun Verma"/>
    <x v="2"/>
    <s v="Chennai"/>
    <x v="1"/>
    <s v="Table"/>
    <s v="Table - Furniture"/>
    <n v="2500.3200000000002"/>
    <n v="8"/>
    <n v="14"/>
    <n v="273.24"/>
    <x v="1"/>
    <x v="1"/>
    <x v="5"/>
    <x v="1"/>
    <n v="0.10928201190247648"/>
    <s v="Profit"/>
    <s v="Mid (11-20%)"/>
  </r>
  <r>
    <x v="193"/>
    <x v="151"/>
    <s v="Yuvraj Chauhan"/>
    <x v="3"/>
    <s v="Nagpur"/>
    <x v="0"/>
    <s v="Tablet"/>
    <s v="Tablet - Technology"/>
    <n v="2427.1999999999998"/>
    <n v="4"/>
    <n v="9"/>
    <n v="335.5"/>
    <x v="2"/>
    <x v="3"/>
    <x v="6"/>
    <x v="0"/>
    <n v="0.13822511535926171"/>
    <s v="Profit"/>
    <s v="Low (1-10%)"/>
  </r>
  <r>
    <x v="194"/>
    <x v="152"/>
    <s v="Kabir Nair"/>
    <x v="3"/>
    <s v="Nagpur"/>
    <x v="2"/>
    <s v="Envelope"/>
    <s v="Envelope - Office Supplies"/>
    <n v="19110"/>
    <n v="10"/>
    <n v="22"/>
    <n v="1844.09"/>
    <x v="0"/>
    <x v="0"/>
    <x v="7"/>
    <x v="1"/>
    <n v="9.6498691784406065E-2"/>
    <s v="Profit"/>
    <s v="High (&gt;20%)"/>
  </r>
  <r>
    <x v="195"/>
    <x v="153"/>
    <s v="Yuvraj Chauhan"/>
    <x v="2"/>
    <s v="Hyderabad"/>
    <x v="0"/>
    <s v="Printer"/>
    <s v="Printer - Technology"/>
    <n v="3605.9"/>
    <n v="2"/>
    <n v="1"/>
    <n v="544.07000000000005"/>
    <x v="0"/>
    <x v="1"/>
    <x v="5"/>
    <x v="1"/>
    <n v="0.15088327463323997"/>
    <s v="Profit"/>
    <s v="Low (1-10%)"/>
  </r>
  <r>
    <x v="196"/>
    <x v="36"/>
    <s v="Vivaan Shah"/>
    <x v="3"/>
    <s v="Pune"/>
    <x v="1"/>
    <s v="Table"/>
    <s v="Table - Furniture"/>
    <n v="12837.7"/>
    <n v="10"/>
    <n v="3"/>
    <n v="2477.79"/>
    <x v="2"/>
    <x v="3"/>
    <x v="1"/>
    <x v="1"/>
    <n v="0.19300887230578684"/>
    <s v="Profit"/>
    <s v="Low (1-10%)"/>
  </r>
  <r>
    <x v="197"/>
    <x v="154"/>
    <s v="Sneha Reddy"/>
    <x v="0"/>
    <s v="Kolkata"/>
    <x v="0"/>
    <s v="Printer"/>
    <s v="Printer - Technology"/>
    <n v="4183.8999999999996"/>
    <n v="7"/>
    <n v="16"/>
    <n v="700.63"/>
    <x v="1"/>
    <x v="3"/>
    <x v="4"/>
    <x v="0"/>
    <n v="0.16745859126652168"/>
    <s v="Profit"/>
    <s v="Mid (11-20%)"/>
  </r>
  <r>
    <x v="198"/>
    <x v="125"/>
    <s v="Anaya Singh"/>
    <x v="2"/>
    <s v="Hyderabad"/>
    <x v="1"/>
    <s v="Chair"/>
    <s v="Chair - Furniture"/>
    <n v="6681.15"/>
    <n v="9"/>
    <n v="21"/>
    <n v="1222.27"/>
    <x v="0"/>
    <x v="1"/>
    <x v="12"/>
    <x v="1"/>
    <n v="0.18294305621038295"/>
    <s v="Profit"/>
    <s v="High (&gt;20%)"/>
  </r>
  <r>
    <x v="199"/>
    <x v="155"/>
    <s v="Krishna Das"/>
    <x v="2"/>
    <s v="Bangalore"/>
    <x v="1"/>
    <s v="Cupboard"/>
    <s v="Cupboard - Furniture"/>
    <n v="2800.82"/>
    <n v="2"/>
    <n v="2"/>
    <n v="675.93"/>
    <x v="0"/>
    <x v="1"/>
    <x v="0"/>
    <x v="0"/>
    <n v="0.24133289536635696"/>
    <s v="Profit"/>
    <s v="Low (1-10%)"/>
  </r>
  <r>
    <x v="200"/>
    <x v="156"/>
    <s v="Kriti Desai"/>
    <x v="1"/>
    <s v="Delhi"/>
    <x v="2"/>
    <s v="Pen"/>
    <s v="Pen - Office Supplies"/>
    <n v="7698.16"/>
    <n v="4"/>
    <n v="8"/>
    <n v="570.99"/>
    <x v="0"/>
    <x v="0"/>
    <x v="1"/>
    <x v="1"/>
    <n v="7.4172269737183952E-2"/>
    <s v="Profit"/>
    <s v="Low (1-10%)"/>
  </r>
  <r>
    <x v="201"/>
    <x v="157"/>
    <s v="Aarav Patel"/>
    <x v="0"/>
    <s v="Bhubaneswar"/>
    <x v="1"/>
    <s v="Chair"/>
    <s v="Chair - Furniture"/>
    <n v="10236.299999999999"/>
    <n v="10"/>
    <n v="11"/>
    <n v="1226.0899999999999"/>
    <x v="0"/>
    <x v="1"/>
    <x v="7"/>
    <x v="1"/>
    <n v="0.11977863095063646"/>
    <s v="Profit"/>
    <s v="Mid (11-20%)"/>
  </r>
  <r>
    <x v="202"/>
    <x v="158"/>
    <s v="Kabir Nair"/>
    <x v="3"/>
    <s v="Ahmedabad"/>
    <x v="1"/>
    <s v="Table"/>
    <s v="Table - Furniture"/>
    <n v="11839.1"/>
    <n v="7"/>
    <n v="19"/>
    <n v="1919.48"/>
    <x v="2"/>
    <x v="2"/>
    <x v="0"/>
    <x v="0"/>
    <n v="0.16213056735731601"/>
    <s v="Profit"/>
    <s v="Mid (11-20%)"/>
  </r>
  <r>
    <x v="203"/>
    <x v="159"/>
    <s v="Saanvi Iyer"/>
    <x v="2"/>
    <s v="Chennai"/>
    <x v="0"/>
    <s v="Mobile"/>
    <s v="Mobile - Technology"/>
    <n v="5352.92"/>
    <n v="4"/>
    <n v="7.0000000000000009"/>
    <n v="839.31"/>
    <x v="1"/>
    <x v="3"/>
    <x v="6"/>
    <x v="0"/>
    <n v="0.1567947961112813"/>
    <s v="Profit"/>
    <s v="Low (1-10%)"/>
  </r>
  <r>
    <x v="204"/>
    <x v="160"/>
    <s v="Meera Joshi"/>
    <x v="0"/>
    <s v="Bhubaneswar"/>
    <x v="0"/>
    <s v="Printer"/>
    <s v="Printer - Technology"/>
    <n v="18896.599999999999"/>
    <n v="10"/>
    <n v="7.0000000000000009"/>
    <n v="1483.08"/>
    <x v="1"/>
    <x v="0"/>
    <x v="0"/>
    <x v="0"/>
    <n v="7.8483960077474255E-2"/>
    <s v="Profit"/>
    <s v="Low (1-10%)"/>
  </r>
  <r>
    <x v="205"/>
    <x v="161"/>
    <s v="Vivaan Shah"/>
    <x v="3"/>
    <s v="Ahmedabad"/>
    <x v="2"/>
    <s v="Pen"/>
    <s v="Pen - Office Supplies"/>
    <n v="1281.1500000000001"/>
    <n v="1"/>
    <n v="13"/>
    <n v="269.27"/>
    <x v="0"/>
    <x v="1"/>
    <x v="5"/>
    <x v="1"/>
    <n v="0.21017835538383481"/>
    <s v="Profit"/>
    <s v="Mid (11-20%)"/>
  </r>
  <r>
    <x v="206"/>
    <x v="162"/>
    <s v="Aarav Patel"/>
    <x v="1"/>
    <s v="Chandigarh"/>
    <x v="1"/>
    <s v="Table"/>
    <s v="Table - Furniture"/>
    <n v="1060.56"/>
    <n v="8"/>
    <n v="23"/>
    <n v="46.17"/>
    <x v="2"/>
    <x v="2"/>
    <x v="6"/>
    <x v="0"/>
    <n v="4.3533604887983711E-2"/>
    <s v="Profit"/>
    <s v="High (&gt;20%)"/>
  </r>
  <r>
    <x v="207"/>
    <x v="163"/>
    <s v="Tanishq Ghosh"/>
    <x v="0"/>
    <s v="Bhubaneswar"/>
    <x v="1"/>
    <s v="Table"/>
    <s v="Table - Furniture"/>
    <n v="17271.36"/>
    <n v="9"/>
    <n v="19"/>
    <n v="1929.15"/>
    <x v="1"/>
    <x v="0"/>
    <x v="9"/>
    <x v="1"/>
    <n v="0.11169647323661831"/>
    <s v="Profit"/>
    <s v="Mid (11-20%)"/>
  </r>
  <r>
    <x v="208"/>
    <x v="164"/>
    <s v="Krishna Das"/>
    <x v="2"/>
    <s v="Hyderabad"/>
    <x v="2"/>
    <s v="Stapler"/>
    <s v="Stapler - Office Supplies"/>
    <n v="4685.04"/>
    <n v="8"/>
    <n v="7.0000000000000009"/>
    <n v="271.33"/>
    <x v="1"/>
    <x v="1"/>
    <x v="4"/>
    <x v="0"/>
    <n v="5.7914126667008174E-2"/>
    <s v="Profit"/>
    <s v="Low (1-10%)"/>
  </r>
  <r>
    <x v="209"/>
    <x v="133"/>
    <s v="Diya Sharma"/>
    <x v="0"/>
    <s v="Kolkata"/>
    <x v="2"/>
    <s v="Pen"/>
    <s v="Pen - Office Supplies"/>
    <n v="6836.25"/>
    <n v="5"/>
    <n v="23"/>
    <n v="577.97"/>
    <x v="0"/>
    <x v="0"/>
    <x v="11"/>
    <x v="1"/>
    <n v="8.4544889376485646E-2"/>
    <s v="Profit"/>
    <s v="High (&gt;20%)"/>
  </r>
  <r>
    <x v="210"/>
    <x v="165"/>
    <s v="Diya Sharma"/>
    <x v="1"/>
    <s v="Lucknow"/>
    <x v="0"/>
    <s v="Laptop"/>
    <s v="Laptop - Technology"/>
    <n v="215.93"/>
    <n v="1"/>
    <n v="3"/>
    <n v="49.7"/>
    <x v="0"/>
    <x v="2"/>
    <x v="7"/>
    <x v="1"/>
    <n v="0.23016718380956791"/>
    <s v="Profit"/>
    <s v="Low (1-10%)"/>
  </r>
  <r>
    <x v="211"/>
    <x v="166"/>
    <s v="Yuvraj Chauhan"/>
    <x v="3"/>
    <s v="Ahmedabad"/>
    <x v="1"/>
    <s v="Cupboard"/>
    <s v="Cupboard - Furniture"/>
    <n v="14407.38"/>
    <n v="9"/>
    <n v="22"/>
    <n v="1182.69"/>
    <x v="1"/>
    <x v="0"/>
    <x v="6"/>
    <x v="0"/>
    <n v="8.2089179295611006E-2"/>
    <s v="Profit"/>
    <s v="High (&gt;20%)"/>
  </r>
  <r>
    <x v="212"/>
    <x v="167"/>
    <s v="Sneha Reddy"/>
    <x v="1"/>
    <s v="Delhi"/>
    <x v="2"/>
    <s v="Stapler"/>
    <s v="Stapler - Office Supplies"/>
    <n v="10486.8"/>
    <n v="6"/>
    <n v="23"/>
    <n v="1813.34"/>
    <x v="1"/>
    <x v="3"/>
    <x v="12"/>
    <x v="1"/>
    <n v="0.17291642827173209"/>
    <s v="Profit"/>
    <s v="High (&gt;20%)"/>
  </r>
  <r>
    <x v="213"/>
    <x v="168"/>
    <s v="Riya Kapoor"/>
    <x v="0"/>
    <s v="Patna"/>
    <x v="0"/>
    <s v="Laptop"/>
    <s v="Laptop - Technology"/>
    <n v="4445.3500000000004"/>
    <n v="7"/>
    <n v="16"/>
    <n v="877.73"/>
    <x v="2"/>
    <x v="3"/>
    <x v="11"/>
    <x v="1"/>
    <n v="0.19744901976222343"/>
    <s v="Profit"/>
    <s v="Mid (11-20%)"/>
  </r>
  <r>
    <x v="214"/>
    <x v="73"/>
    <s v="Krishna Das"/>
    <x v="1"/>
    <s v="Jaipur"/>
    <x v="2"/>
    <s v="Notebook"/>
    <s v="Notebook - Office Supplies"/>
    <n v="7692.25"/>
    <n v="5"/>
    <n v="16"/>
    <n v="1235.53"/>
    <x v="1"/>
    <x v="1"/>
    <x v="12"/>
    <x v="1"/>
    <n v="0.16062010465078488"/>
    <s v="Profit"/>
    <s v="Mid (11-20%)"/>
  </r>
  <r>
    <x v="215"/>
    <x v="169"/>
    <s v="Saanvi Iyer"/>
    <x v="2"/>
    <s v="Chennai"/>
    <x v="0"/>
    <s v="Tablet"/>
    <s v="Tablet - Technology"/>
    <n v="3414.66"/>
    <n v="2"/>
    <n v="18"/>
    <n v="328.18"/>
    <x v="2"/>
    <x v="2"/>
    <x v="11"/>
    <x v="1"/>
    <n v="9.6109129459448384E-2"/>
    <s v="Profit"/>
    <s v="Mid (11-20%)"/>
  </r>
  <r>
    <x v="216"/>
    <x v="76"/>
    <s v="Kabir Nair"/>
    <x v="0"/>
    <s v="Patna"/>
    <x v="0"/>
    <s v="Laptop"/>
    <s v="Laptop - Technology"/>
    <n v="2605.9499999999998"/>
    <n v="3"/>
    <n v="18"/>
    <n v="301.38"/>
    <x v="1"/>
    <x v="2"/>
    <x v="3"/>
    <x v="1"/>
    <n v="0.11565072238531054"/>
    <s v="Profit"/>
    <s v="Mid (11-20%)"/>
  </r>
  <r>
    <x v="217"/>
    <x v="32"/>
    <s v="Arjun Verma"/>
    <x v="1"/>
    <s v="Chandigarh"/>
    <x v="2"/>
    <s v="Notebook"/>
    <s v="Notebook - Office Supplies"/>
    <n v="17874.900000000001"/>
    <n v="10"/>
    <n v="27"/>
    <n v="1396.63"/>
    <x v="0"/>
    <x v="3"/>
    <x v="1"/>
    <x v="1"/>
    <n v="7.8133583964106093E-2"/>
    <s v="Profit"/>
    <s v="High (&gt;20%)"/>
  </r>
  <r>
    <x v="218"/>
    <x v="170"/>
    <s v="Krishna Das"/>
    <x v="0"/>
    <s v="Kolkata"/>
    <x v="1"/>
    <s v="Sofa"/>
    <s v="Sofa - Furniture"/>
    <n v="5003.25"/>
    <n v="3"/>
    <n v="27"/>
    <n v="750.73"/>
    <x v="2"/>
    <x v="3"/>
    <x v="5"/>
    <x v="1"/>
    <n v="0.15004846849547795"/>
    <s v="Profit"/>
    <s v="High (&gt;20%)"/>
  </r>
  <r>
    <x v="219"/>
    <x v="171"/>
    <s v="Kriti Desai"/>
    <x v="0"/>
    <s v="Bhubaneswar"/>
    <x v="1"/>
    <s v="Cupboard"/>
    <s v="Cupboard - Furniture"/>
    <n v="8370.8799999999992"/>
    <n v="8"/>
    <n v="23"/>
    <n v="1136.53"/>
    <x v="1"/>
    <x v="1"/>
    <x v="12"/>
    <x v="1"/>
    <n v="0.13577186627929203"/>
    <s v="Profit"/>
    <s v="High (&gt;20%)"/>
  </r>
  <r>
    <x v="220"/>
    <x v="172"/>
    <s v="Meera Joshi"/>
    <x v="3"/>
    <s v="Ahmedabad"/>
    <x v="1"/>
    <s v="Sofa"/>
    <s v="Sofa - Furniture"/>
    <n v="9669.65"/>
    <n v="5"/>
    <n v="3"/>
    <n v="1033.82"/>
    <x v="1"/>
    <x v="0"/>
    <x v="10"/>
    <x v="1"/>
    <n v="0.10691390070995331"/>
    <s v="Profit"/>
    <s v="Low (1-10%)"/>
  </r>
  <r>
    <x v="221"/>
    <x v="71"/>
    <s v="Meera Joshi"/>
    <x v="3"/>
    <s v="Nagpur"/>
    <x v="1"/>
    <s v="Sofa"/>
    <s v="Sofa - Furniture"/>
    <n v="9181.92"/>
    <n v="8"/>
    <n v="10"/>
    <n v="979.43"/>
    <x v="1"/>
    <x v="2"/>
    <x v="6"/>
    <x v="0"/>
    <n v="0.10666941119068778"/>
    <s v="Profit"/>
    <s v="Low (1-10%)"/>
  </r>
  <r>
    <x v="222"/>
    <x v="151"/>
    <s v="Ishaan Mehta"/>
    <x v="3"/>
    <s v="Mumbai"/>
    <x v="2"/>
    <s v="Envelope"/>
    <s v="Envelope - Office Supplies"/>
    <n v="3552.7"/>
    <n v="10"/>
    <n v="18"/>
    <n v="249.77"/>
    <x v="0"/>
    <x v="2"/>
    <x v="6"/>
    <x v="0"/>
    <n v="7.0304275621358409E-2"/>
    <s v="Profit"/>
    <s v="Mid (11-20%)"/>
  </r>
  <r>
    <x v="223"/>
    <x v="0"/>
    <s v="Tanishq Ghosh"/>
    <x v="1"/>
    <s v="Chandigarh"/>
    <x v="1"/>
    <s v="Chair"/>
    <s v="Chair - Furniture"/>
    <n v="1928.3"/>
    <n v="10"/>
    <n v="12"/>
    <n v="278.29000000000002"/>
    <x v="1"/>
    <x v="0"/>
    <x v="0"/>
    <x v="0"/>
    <n v="0.14431883005756366"/>
    <s v="Profit"/>
    <s v="Mid (11-20%)"/>
  </r>
  <r>
    <x v="224"/>
    <x v="173"/>
    <s v="Anaya Singh"/>
    <x v="3"/>
    <s v="Indore"/>
    <x v="2"/>
    <s v="Pen"/>
    <s v="Pen - Office Supplies"/>
    <n v="343.38"/>
    <n v="2"/>
    <n v="24"/>
    <n v="23.8"/>
    <x v="1"/>
    <x v="1"/>
    <x v="2"/>
    <x v="0"/>
    <n v="6.9310967441318663E-2"/>
    <s v="Profit"/>
    <s v="High (&gt;20%)"/>
  </r>
  <r>
    <x v="225"/>
    <x v="174"/>
    <s v="Kabir Nair"/>
    <x v="1"/>
    <s v="Lucknow"/>
    <x v="0"/>
    <s v="Printer"/>
    <s v="Printer - Technology"/>
    <n v="9572.48"/>
    <n v="8"/>
    <n v="23"/>
    <n v="1171.74"/>
    <x v="0"/>
    <x v="3"/>
    <x v="6"/>
    <x v="0"/>
    <n v="0.12240715049809454"/>
    <s v="Profit"/>
    <s v="High (&gt;20%)"/>
  </r>
  <r>
    <x v="226"/>
    <x v="175"/>
    <s v="Saanvi Iyer"/>
    <x v="3"/>
    <s v="Pune"/>
    <x v="1"/>
    <s v="Table"/>
    <s v="Table - Furniture"/>
    <n v="739.16"/>
    <n v="4"/>
    <n v="13"/>
    <n v="127.81"/>
    <x v="0"/>
    <x v="2"/>
    <x v="1"/>
    <x v="1"/>
    <n v="0.1729124952648953"/>
    <s v="Profit"/>
    <s v="Mid (11-20%)"/>
  </r>
  <r>
    <x v="227"/>
    <x v="176"/>
    <s v="Aarav Patel"/>
    <x v="2"/>
    <s v="Chennai"/>
    <x v="0"/>
    <s v="Mobile"/>
    <s v="Mobile - Technology"/>
    <n v="2875.23"/>
    <n v="3"/>
    <n v="30"/>
    <n v="360.89"/>
    <x v="2"/>
    <x v="2"/>
    <x v="9"/>
    <x v="1"/>
    <n v="0.12551691516852564"/>
    <s v="Profit"/>
    <s v="High (&gt;20%)"/>
  </r>
  <r>
    <x v="228"/>
    <x v="169"/>
    <s v="Riya Kapoor"/>
    <x v="3"/>
    <s v="Indore"/>
    <x v="1"/>
    <s v="Table"/>
    <s v="Table - Furniture"/>
    <n v="7136.99"/>
    <n v="7"/>
    <n v="20"/>
    <n v="641.97"/>
    <x v="2"/>
    <x v="1"/>
    <x v="11"/>
    <x v="1"/>
    <n v="8.9949684670988753E-2"/>
    <s v="Profit"/>
    <s v="Mid (11-20%)"/>
  </r>
  <r>
    <x v="229"/>
    <x v="177"/>
    <s v="Aarav Patel"/>
    <x v="2"/>
    <s v="Bangalore"/>
    <x v="2"/>
    <s v="Stapler"/>
    <s v="Stapler - Office Supplies"/>
    <n v="1971.63"/>
    <n v="9"/>
    <n v="20"/>
    <n v="288.76"/>
    <x v="0"/>
    <x v="0"/>
    <x v="2"/>
    <x v="0"/>
    <n v="0.14645749963228394"/>
    <s v="Profit"/>
    <s v="Mid (11-20%)"/>
  </r>
  <r>
    <x v="230"/>
    <x v="23"/>
    <s v="Krishna Das"/>
    <x v="0"/>
    <s v="Bhubaneswar"/>
    <x v="2"/>
    <s v="Envelope"/>
    <s v="Envelope - Office Supplies"/>
    <n v="5002.2"/>
    <n v="4"/>
    <n v="25"/>
    <n v="718.97"/>
    <x v="2"/>
    <x v="0"/>
    <x v="0"/>
    <x v="0"/>
    <n v="0.14373075846627484"/>
    <s v="Profit"/>
    <s v="High (&gt;20%)"/>
  </r>
  <r>
    <x v="231"/>
    <x v="136"/>
    <s v="Sneha Reddy"/>
    <x v="1"/>
    <s v="Lucknow"/>
    <x v="0"/>
    <s v="Tablet"/>
    <s v="Tablet - Technology"/>
    <n v="2988.94"/>
    <n v="2"/>
    <n v="20"/>
    <n v="492.27"/>
    <x v="0"/>
    <x v="1"/>
    <x v="3"/>
    <x v="1"/>
    <n v="0.16469718361693442"/>
    <s v="Profit"/>
    <s v="Mid (11-20%)"/>
  </r>
  <r>
    <x v="232"/>
    <x v="178"/>
    <s v="Meera Joshi"/>
    <x v="1"/>
    <s v="Lucknow"/>
    <x v="0"/>
    <s v="Laptop"/>
    <s v="Laptop - Technology"/>
    <n v="6342.48"/>
    <n v="8"/>
    <n v="27"/>
    <n v="249.15"/>
    <x v="2"/>
    <x v="3"/>
    <x v="0"/>
    <x v="0"/>
    <n v="3.9282741135959441E-2"/>
    <s v="Profit"/>
    <s v="High (&gt;20%)"/>
  </r>
  <r>
    <x v="233"/>
    <x v="179"/>
    <s v="Yuvraj Chauhan"/>
    <x v="2"/>
    <s v="Hyderabad"/>
    <x v="0"/>
    <s v="Tablet"/>
    <s v="Tablet - Technology"/>
    <n v="5731.28"/>
    <n v="8"/>
    <n v="2"/>
    <n v="651.47"/>
    <x v="0"/>
    <x v="2"/>
    <x v="10"/>
    <x v="1"/>
    <n v="0.11366919780572578"/>
    <s v="Profit"/>
    <s v="Low (1-10%)"/>
  </r>
  <r>
    <x v="234"/>
    <x v="152"/>
    <s v="Saanvi Iyer"/>
    <x v="3"/>
    <s v="Mumbai"/>
    <x v="2"/>
    <s v="Pen"/>
    <s v="Pen - Office Supplies"/>
    <n v="8702.56"/>
    <n v="8"/>
    <n v="15"/>
    <n v="1031.06"/>
    <x v="2"/>
    <x v="1"/>
    <x v="7"/>
    <x v="1"/>
    <n v="0.11847778125057454"/>
    <s v="Profit"/>
    <s v="Mid (11-20%)"/>
  </r>
  <r>
    <x v="235"/>
    <x v="26"/>
    <s v="Saanvi Iyer"/>
    <x v="2"/>
    <s v="Hyderabad"/>
    <x v="0"/>
    <s v="Mobile"/>
    <s v="Mobile - Technology"/>
    <n v="9942.64"/>
    <n v="8"/>
    <n v="6"/>
    <n v="1874.78"/>
    <x v="2"/>
    <x v="1"/>
    <x v="4"/>
    <x v="0"/>
    <n v="0.18855957773790463"/>
    <s v="Profit"/>
    <s v="Low (1-10%)"/>
  </r>
  <r>
    <x v="236"/>
    <x v="180"/>
    <s v="Ishaan Mehta"/>
    <x v="2"/>
    <s v="Hyderabad"/>
    <x v="1"/>
    <s v="Cupboard"/>
    <s v="Cupboard - Furniture"/>
    <n v="11650.23"/>
    <n v="9"/>
    <n v="19"/>
    <n v="2249.7600000000002"/>
    <x v="1"/>
    <x v="3"/>
    <x v="3"/>
    <x v="1"/>
    <n v="0.19310863390679844"/>
    <s v="Profit"/>
    <s v="Mid (11-20%)"/>
  </r>
  <r>
    <x v="237"/>
    <x v="151"/>
    <s v="Saanvi Iyer"/>
    <x v="2"/>
    <s v="Hyderabad"/>
    <x v="0"/>
    <s v="Printer"/>
    <s v="Printer - Technology"/>
    <n v="5543.2"/>
    <n v="5"/>
    <n v="9"/>
    <n v="1054.68"/>
    <x v="0"/>
    <x v="3"/>
    <x v="6"/>
    <x v="0"/>
    <n v="0.19026555058449995"/>
    <s v="Profit"/>
    <s v="Low (1-10%)"/>
  </r>
  <r>
    <x v="238"/>
    <x v="181"/>
    <s v="Riya Kapoor"/>
    <x v="3"/>
    <s v="Ahmedabad"/>
    <x v="2"/>
    <s v="Notebook"/>
    <s v="Notebook - Office Supplies"/>
    <n v="5827.16"/>
    <n v="4"/>
    <n v="30"/>
    <n v="549.95000000000005"/>
    <x v="0"/>
    <x v="1"/>
    <x v="3"/>
    <x v="1"/>
    <n v="9.437702070991702E-2"/>
    <s v="Profit"/>
    <s v="High (&gt;20%)"/>
  </r>
  <r>
    <x v="239"/>
    <x v="131"/>
    <s v="Krishna Das"/>
    <x v="0"/>
    <s v="Bhubaneswar"/>
    <x v="2"/>
    <s v="Pen"/>
    <s v="Pen - Office Supplies"/>
    <n v="10705.8"/>
    <n v="6"/>
    <n v="15"/>
    <n v="1248.94"/>
    <x v="2"/>
    <x v="0"/>
    <x v="12"/>
    <x v="1"/>
    <n v="0.11666012815483197"/>
    <s v="Profit"/>
    <s v="Mid (11-20%)"/>
  </r>
  <r>
    <x v="240"/>
    <x v="93"/>
    <s v="Diya Sharma"/>
    <x v="1"/>
    <s v="Lucknow"/>
    <x v="1"/>
    <s v="Cupboard"/>
    <s v="Cupboard - Furniture"/>
    <n v="7004.7"/>
    <n v="9"/>
    <n v="7.0000000000000009"/>
    <n v="1287.23"/>
    <x v="0"/>
    <x v="1"/>
    <x v="2"/>
    <x v="0"/>
    <n v="0.1837666138449898"/>
    <s v="Profit"/>
    <s v="Low (1-10%)"/>
  </r>
  <r>
    <x v="241"/>
    <x v="182"/>
    <s v="Arjun Verma"/>
    <x v="2"/>
    <s v="Hyderabad"/>
    <x v="1"/>
    <s v="Table"/>
    <s v="Table - Furniture"/>
    <n v="14542.3"/>
    <n v="10"/>
    <n v="12"/>
    <n v="1404.2"/>
    <x v="1"/>
    <x v="3"/>
    <x v="7"/>
    <x v="1"/>
    <n v="9.6559691383068705E-2"/>
    <s v="Profit"/>
    <s v="Mid (11-20%)"/>
  </r>
  <r>
    <x v="242"/>
    <x v="183"/>
    <s v="Ishaan Mehta"/>
    <x v="0"/>
    <s v="Kolkata"/>
    <x v="1"/>
    <s v="Cupboard"/>
    <s v="Cupboard - Furniture"/>
    <n v="12935.86"/>
    <n v="7"/>
    <n v="27"/>
    <n v="552.78"/>
    <x v="0"/>
    <x v="2"/>
    <x v="6"/>
    <x v="0"/>
    <n v="4.273237341777044E-2"/>
    <s v="Profit"/>
    <s v="High (&gt;20%)"/>
  </r>
  <r>
    <x v="243"/>
    <x v="184"/>
    <s v="Kriti Desai"/>
    <x v="2"/>
    <s v="Bangalore"/>
    <x v="1"/>
    <s v="Cupboard"/>
    <s v="Cupboard - Furniture"/>
    <n v="9876.2000000000007"/>
    <n v="10"/>
    <n v="8"/>
    <n v="810.68"/>
    <x v="0"/>
    <x v="2"/>
    <x v="4"/>
    <x v="0"/>
    <n v="8.20842024260343E-2"/>
    <s v="Profit"/>
    <s v="Low (1-10%)"/>
  </r>
  <r>
    <x v="244"/>
    <x v="185"/>
    <s v="Saanvi Iyer"/>
    <x v="3"/>
    <s v="Mumbai"/>
    <x v="0"/>
    <s v="Laptop"/>
    <s v="Laptop - Technology"/>
    <n v="469.36"/>
    <n v="2"/>
    <n v="2"/>
    <n v="108.43"/>
    <x v="0"/>
    <x v="1"/>
    <x v="8"/>
    <x v="0"/>
    <n v="0.23101670359638657"/>
    <s v="Profit"/>
    <s v="Low (1-10%)"/>
  </r>
  <r>
    <x v="245"/>
    <x v="186"/>
    <s v="Diya Sharma"/>
    <x v="0"/>
    <s v="Kolkata"/>
    <x v="1"/>
    <s v="Chair"/>
    <s v="Chair - Furniture"/>
    <n v="3696.08"/>
    <n v="8"/>
    <n v="22"/>
    <n v="651.95000000000005"/>
    <x v="1"/>
    <x v="3"/>
    <x v="7"/>
    <x v="1"/>
    <n v="0.17638958031211446"/>
    <s v="Profit"/>
    <s v="High (&gt;20%)"/>
  </r>
  <r>
    <x v="246"/>
    <x v="147"/>
    <s v="Yuvraj Chauhan"/>
    <x v="0"/>
    <s v="Patna"/>
    <x v="2"/>
    <s v="Stapler"/>
    <s v="Stapler - Office Supplies"/>
    <n v="9126.6"/>
    <n v="5"/>
    <n v="1"/>
    <n v="965.89"/>
    <x v="1"/>
    <x v="3"/>
    <x v="5"/>
    <x v="1"/>
    <n v="0.10583240198978809"/>
    <s v="Profit"/>
    <s v="Low (1-10%)"/>
  </r>
  <r>
    <x v="247"/>
    <x v="119"/>
    <s v="Kriti Desai"/>
    <x v="1"/>
    <s v="Jaipur"/>
    <x v="1"/>
    <s v="Cupboard"/>
    <s v="Cupboard - Furniture"/>
    <n v="2047.2"/>
    <n v="3"/>
    <n v="21"/>
    <n v="397.8"/>
    <x v="1"/>
    <x v="2"/>
    <x v="6"/>
    <x v="0"/>
    <n v="0.19431418522860491"/>
    <s v="Profit"/>
    <s v="High (&gt;20%)"/>
  </r>
  <r>
    <x v="248"/>
    <x v="92"/>
    <s v="Tanishq Ghosh"/>
    <x v="3"/>
    <s v="Ahmedabad"/>
    <x v="2"/>
    <s v="Notebook"/>
    <s v="Notebook - Office Supplies"/>
    <n v="10615.38"/>
    <n v="6"/>
    <n v="28"/>
    <n v="781.74"/>
    <x v="0"/>
    <x v="2"/>
    <x v="4"/>
    <x v="0"/>
    <n v="7.3642205931393895E-2"/>
    <s v="Profit"/>
    <s v="High (&gt;20%)"/>
  </r>
  <r>
    <x v="249"/>
    <x v="187"/>
    <s v="Arjun Verma"/>
    <x v="2"/>
    <s v="Hyderabad"/>
    <x v="2"/>
    <s v="Envelope"/>
    <s v="Envelope - Office Supplies"/>
    <n v="18725.2"/>
    <n v="10"/>
    <n v="15"/>
    <n v="2590.7800000000002"/>
    <x v="2"/>
    <x v="2"/>
    <x v="5"/>
    <x v="1"/>
    <n v="0.13835793476171149"/>
    <s v="Profit"/>
    <s v="Mid (11-20%)"/>
  </r>
  <r>
    <x v="250"/>
    <x v="188"/>
    <s v="Saanvi Iyer"/>
    <x v="2"/>
    <s v="Hyderabad"/>
    <x v="0"/>
    <s v="Mobile"/>
    <s v="Mobile - Technology"/>
    <n v="8717.0499999999993"/>
    <n v="5"/>
    <n v="19"/>
    <n v="1195.8499999999999"/>
    <x v="1"/>
    <x v="2"/>
    <x v="6"/>
    <x v="0"/>
    <n v="0.13718517158901233"/>
    <s v="Profit"/>
    <s v="Mid (11-20%)"/>
  </r>
  <r>
    <x v="251"/>
    <x v="189"/>
    <s v="Yuvraj Chauhan"/>
    <x v="1"/>
    <s v="Delhi"/>
    <x v="1"/>
    <s v="Table"/>
    <s v="Table - Furniture"/>
    <n v="10953.44"/>
    <n v="8"/>
    <n v="28"/>
    <n v="572.64"/>
    <x v="0"/>
    <x v="3"/>
    <x v="10"/>
    <x v="1"/>
    <n v="5.2279466542017844E-2"/>
    <s v="Profit"/>
    <s v="High (&gt;20%)"/>
  </r>
  <r>
    <x v="252"/>
    <x v="43"/>
    <s v="Riya Kapoor"/>
    <x v="3"/>
    <s v="Nagpur"/>
    <x v="2"/>
    <s v="Stapler"/>
    <s v="Stapler - Office Supplies"/>
    <n v="5761.32"/>
    <n v="6"/>
    <n v="1"/>
    <n v="1180.47"/>
    <x v="1"/>
    <x v="2"/>
    <x v="9"/>
    <x v="1"/>
    <n v="0.20489575305659122"/>
    <s v="Profit"/>
    <s v="Low (1-10%)"/>
  </r>
  <r>
    <x v="253"/>
    <x v="116"/>
    <s v="Yuvraj Chauhan"/>
    <x v="2"/>
    <s v="Hyderabad"/>
    <x v="1"/>
    <s v="Sofa"/>
    <s v="Sofa - Furniture"/>
    <n v="2648.88"/>
    <n v="3"/>
    <n v="14"/>
    <n v="439.61"/>
    <x v="0"/>
    <x v="2"/>
    <x v="11"/>
    <x v="1"/>
    <n v="0.16596070792183867"/>
    <s v="Profit"/>
    <s v="Mid (11-20%)"/>
  </r>
  <r>
    <x v="254"/>
    <x v="190"/>
    <s v="Anaya Singh"/>
    <x v="2"/>
    <s v="Bangalore"/>
    <x v="1"/>
    <s v="Sofa"/>
    <s v="Sofa - Furniture"/>
    <n v="13710.6"/>
    <n v="9"/>
    <n v="6"/>
    <n v="1371.34"/>
    <x v="1"/>
    <x v="2"/>
    <x v="2"/>
    <x v="0"/>
    <n v="0.10002042215512084"/>
    <s v="Profit"/>
    <s v="Low (1-10%)"/>
  </r>
  <r>
    <x v="255"/>
    <x v="146"/>
    <s v="Ishaan Mehta"/>
    <x v="2"/>
    <s v="Chennai"/>
    <x v="1"/>
    <s v="Table"/>
    <s v="Table - Furniture"/>
    <n v="1834.04"/>
    <n v="2"/>
    <n v="24"/>
    <n v="189.55"/>
    <x v="0"/>
    <x v="3"/>
    <x v="7"/>
    <x v="1"/>
    <n v="0.1033510719504482"/>
    <s v="Profit"/>
    <s v="High (&gt;20%)"/>
  </r>
  <r>
    <x v="256"/>
    <x v="185"/>
    <s v="Anaya Singh"/>
    <x v="2"/>
    <s v="Bangalore"/>
    <x v="1"/>
    <s v="Table"/>
    <s v="Table - Furniture"/>
    <n v="3243.4"/>
    <n v="10"/>
    <n v="2"/>
    <n v="344.83"/>
    <x v="0"/>
    <x v="2"/>
    <x v="8"/>
    <x v="0"/>
    <n v="0.10631744465684158"/>
    <s v="Profit"/>
    <s v="Low (1-10%)"/>
  </r>
  <r>
    <x v="257"/>
    <x v="2"/>
    <s v="Diya Sharma"/>
    <x v="2"/>
    <s v="Hyderabad"/>
    <x v="2"/>
    <s v="Pen"/>
    <s v="Pen - Office Supplies"/>
    <n v="9303.68"/>
    <n v="8"/>
    <n v="28"/>
    <n v="818.19"/>
    <x v="2"/>
    <x v="2"/>
    <x v="2"/>
    <x v="0"/>
    <n v="8.7942620554447279E-2"/>
    <s v="Profit"/>
    <s v="High (&gt;20%)"/>
  </r>
  <r>
    <x v="258"/>
    <x v="191"/>
    <s v="Sneha Reddy"/>
    <x v="1"/>
    <s v="Jaipur"/>
    <x v="1"/>
    <s v="Sofa"/>
    <s v="Sofa - Furniture"/>
    <n v="961.04"/>
    <n v="4"/>
    <n v="1"/>
    <n v="52.23"/>
    <x v="1"/>
    <x v="0"/>
    <x v="5"/>
    <x v="1"/>
    <n v="5.4347373678514943E-2"/>
    <s v="Profit"/>
    <s v="Low (1-10%)"/>
  </r>
  <r>
    <x v="259"/>
    <x v="192"/>
    <s v="Diya Sharma"/>
    <x v="0"/>
    <s v="Bhubaneswar"/>
    <x v="0"/>
    <s v="Mobile"/>
    <s v="Mobile - Technology"/>
    <n v="6185.4"/>
    <n v="4"/>
    <n v="27"/>
    <n v="755.07"/>
    <x v="1"/>
    <x v="0"/>
    <x v="9"/>
    <x v="1"/>
    <n v="0.1220729459695412"/>
    <s v="Profit"/>
    <s v="High (&gt;20%)"/>
  </r>
  <r>
    <x v="260"/>
    <x v="44"/>
    <s v="Kriti Desai"/>
    <x v="0"/>
    <s v="Patna"/>
    <x v="0"/>
    <s v="Mobile"/>
    <s v="Mobile - Technology"/>
    <n v="890.76"/>
    <n v="1"/>
    <n v="15"/>
    <n v="127.15"/>
    <x v="2"/>
    <x v="0"/>
    <x v="0"/>
    <x v="0"/>
    <n v="0.1427432754052719"/>
    <s v="Profit"/>
    <s v="Mid (11-20%)"/>
  </r>
  <r>
    <x v="261"/>
    <x v="79"/>
    <s v="Diya Sharma"/>
    <x v="3"/>
    <s v="Indore"/>
    <x v="1"/>
    <s v="Table"/>
    <s v="Table - Furniture"/>
    <n v="17465"/>
    <n v="10"/>
    <n v="5"/>
    <n v="2087.16"/>
    <x v="1"/>
    <x v="0"/>
    <x v="9"/>
    <x v="1"/>
    <n v="0.1195052963068995"/>
    <s v="Profit"/>
    <s v="Low (1-10%)"/>
  </r>
  <r>
    <x v="262"/>
    <x v="193"/>
    <s v="Yuvraj Chauhan"/>
    <x v="2"/>
    <s v="Chennai"/>
    <x v="1"/>
    <s v="Chair"/>
    <s v="Chair - Furniture"/>
    <n v="5031.55"/>
    <n v="5"/>
    <n v="29"/>
    <n v="332.29"/>
    <x v="2"/>
    <x v="1"/>
    <x v="7"/>
    <x v="1"/>
    <n v="6.6041279526189739E-2"/>
    <s v="Profit"/>
    <s v="High (&gt;20%)"/>
  </r>
  <r>
    <x v="263"/>
    <x v="194"/>
    <s v="Aarav Patel"/>
    <x v="1"/>
    <s v="Jaipur"/>
    <x v="0"/>
    <s v="Tablet"/>
    <s v="Tablet - Technology"/>
    <n v="1916.2"/>
    <n v="4"/>
    <n v="15"/>
    <n v="298.97000000000003"/>
    <x v="0"/>
    <x v="3"/>
    <x v="1"/>
    <x v="1"/>
    <n v="0.15602233587308215"/>
    <s v="Profit"/>
    <s v="Mid (11-20%)"/>
  </r>
  <r>
    <x v="264"/>
    <x v="195"/>
    <s v="Vivaan Shah"/>
    <x v="1"/>
    <s v="Chandigarh"/>
    <x v="2"/>
    <s v="Pen"/>
    <s v="Pen - Office Supplies"/>
    <n v="9407.4"/>
    <n v="10"/>
    <n v="2"/>
    <n v="1067.6199999999999"/>
    <x v="2"/>
    <x v="1"/>
    <x v="4"/>
    <x v="0"/>
    <n v="0.11348725471437378"/>
    <s v="Profit"/>
    <s v="Low (1-10%)"/>
  </r>
  <r>
    <x v="265"/>
    <x v="156"/>
    <s v="Riya Kapoor"/>
    <x v="1"/>
    <s v="Delhi"/>
    <x v="2"/>
    <s v="Pen"/>
    <s v="Pen - Office Supplies"/>
    <n v="1808.13"/>
    <n v="1"/>
    <n v="9"/>
    <n v="156.77000000000001"/>
    <x v="2"/>
    <x v="0"/>
    <x v="1"/>
    <x v="1"/>
    <n v="8.6702836632321797E-2"/>
    <s v="Profit"/>
    <s v="Low (1-10%)"/>
  </r>
  <r>
    <x v="266"/>
    <x v="196"/>
    <s v="Krishna Das"/>
    <x v="1"/>
    <s v="Lucknow"/>
    <x v="0"/>
    <s v="Printer"/>
    <s v="Printer - Technology"/>
    <n v="2468.46"/>
    <n v="3"/>
    <n v="24"/>
    <n v="108.13"/>
    <x v="1"/>
    <x v="3"/>
    <x v="8"/>
    <x v="0"/>
    <n v="4.380463932978456E-2"/>
    <s v="Profit"/>
    <s v="High (&gt;20%)"/>
  </r>
  <r>
    <x v="267"/>
    <x v="197"/>
    <s v="Arjun Verma"/>
    <x v="3"/>
    <s v="Nagpur"/>
    <x v="1"/>
    <s v="Cupboard"/>
    <s v="Cupboard - Furniture"/>
    <n v="2580"/>
    <n v="10"/>
    <n v="10"/>
    <n v="203.39"/>
    <x v="1"/>
    <x v="1"/>
    <x v="4"/>
    <x v="0"/>
    <n v="7.8833333333333325E-2"/>
    <s v="Profit"/>
    <s v="Low (1-10%)"/>
  </r>
  <r>
    <x v="268"/>
    <x v="198"/>
    <s v="Meera Joshi"/>
    <x v="2"/>
    <s v="Hyderabad"/>
    <x v="0"/>
    <s v="Mobile"/>
    <s v="Mobile - Technology"/>
    <n v="13564.8"/>
    <n v="8"/>
    <n v="7.0000000000000009"/>
    <n v="3074.62"/>
    <x v="1"/>
    <x v="2"/>
    <x v="4"/>
    <x v="0"/>
    <n v="0.22666165369190847"/>
    <s v="Profit"/>
    <s v="Low (1-10%)"/>
  </r>
  <r>
    <x v="269"/>
    <x v="123"/>
    <s v="Saanvi Iyer"/>
    <x v="3"/>
    <s v="Indore"/>
    <x v="2"/>
    <s v="Stapler"/>
    <s v="Stapler - Office Supplies"/>
    <n v="641.17999999999995"/>
    <n v="2"/>
    <n v="24"/>
    <n v="98.47"/>
    <x v="1"/>
    <x v="2"/>
    <x v="0"/>
    <x v="0"/>
    <n v="0.15357621884650177"/>
    <s v="Profit"/>
    <s v="High (&gt;20%)"/>
  </r>
  <r>
    <x v="270"/>
    <x v="9"/>
    <s v="Saanvi Iyer"/>
    <x v="3"/>
    <s v="Indore"/>
    <x v="1"/>
    <s v="Table"/>
    <s v="Table - Furniture"/>
    <n v="12137.3"/>
    <n v="10"/>
    <n v="12"/>
    <n v="1336.04"/>
    <x v="2"/>
    <x v="2"/>
    <x v="6"/>
    <x v="0"/>
    <n v="0.11007720003625189"/>
    <s v="Profit"/>
    <s v="Mid (11-20%)"/>
  </r>
  <r>
    <x v="271"/>
    <x v="153"/>
    <s v="Kabir Nair"/>
    <x v="3"/>
    <s v="Indore"/>
    <x v="0"/>
    <s v="Laptop"/>
    <s v="Laptop - Technology"/>
    <n v="5395.14"/>
    <n v="9"/>
    <n v="30"/>
    <n v="803.26"/>
    <x v="1"/>
    <x v="3"/>
    <x v="5"/>
    <x v="1"/>
    <n v="0.14888584911605629"/>
    <s v="Profit"/>
    <s v="High (&gt;20%)"/>
  </r>
  <r>
    <x v="272"/>
    <x v="199"/>
    <s v="Vivaan Shah"/>
    <x v="1"/>
    <s v="Chandigarh"/>
    <x v="2"/>
    <s v="Pen"/>
    <s v="Pen - Office Supplies"/>
    <n v="1286.3"/>
    <n v="10"/>
    <n v="24"/>
    <n v="128.87"/>
    <x v="0"/>
    <x v="3"/>
    <x v="3"/>
    <x v="1"/>
    <n v="0.10018658166835109"/>
    <s v="Profit"/>
    <s v="High (&gt;20%)"/>
  </r>
  <r>
    <x v="273"/>
    <x v="169"/>
    <s v="Ishaan Mehta"/>
    <x v="0"/>
    <s v="Patna"/>
    <x v="1"/>
    <s v="Table"/>
    <s v="Table - Furniture"/>
    <n v="4079.6"/>
    <n v="4"/>
    <n v="2"/>
    <n v="908.73"/>
    <x v="1"/>
    <x v="0"/>
    <x v="11"/>
    <x v="1"/>
    <n v="0.22274977939013629"/>
    <s v="Profit"/>
    <s v="Low (1-10%)"/>
  </r>
  <r>
    <x v="274"/>
    <x v="104"/>
    <s v="Tanishq Ghosh"/>
    <x v="0"/>
    <s v="Kolkata"/>
    <x v="0"/>
    <s v="Tablet"/>
    <s v="Tablet - Technology"/>
    <n v="2245.86"/>
    <n v="6"/>
    <n v="27"/>
    <n v="361.41"/>
    <x v="2"/>
    <x v="3"/>
    <x v="1"/>
    <x v="1"/>
    <n v="0.16092276455344501"/>
    <s v="Profit"/>
    <s v="High (&gt;20%)"/>
  </r>
  <r>
    <x v="275"/>
    <x v="200"/>
    <s v="Kriti Desai"/>
    <x v="2"/>
    <s v="Chennai"/>
    <x v="1"/>
    <s v="Sofa"/>
    <s v="Sofa - Furniture"/>
    <n v="12438.86"/>
    <n v="7"/>
    <n v="9"/>
    <n v="2097.65"/>
    <x v="0"/>
    <x v="0"/>
    <x v="10"/>
    <x v="1"/>
    <n v="0.16863683649466268"/>
    <s v="Profit"/>
    <s v="Low (1-10%)"/>
  </r>
  <r>
    <x v="276"/>
    <x v="201"/>
    <s v="Kriti Desai"/>
    <x v="1"/>
    <s v="Chandigarh"/>
    <x v="1"/>
    <s v="Sofa"/>
    <s v="Sofa - Furniture"/>
    <n v="5064.3599999999997"/>
    <n v="4"/>
    <n v="19"/>
    <n v="507.66"/>
    <x v="1"/>
    <x v="2"/>
    <x v="9"/>
    <x v="1"/>
    <n v="0.10024168897945644"/>
    <s v="Profit"/>
    <s v="Mid (11-20%)"/>
  </r>
  <r>
    <x v="277"/>
    <x v="152"/>
    <s v="Ishaan Mehta"/>
    <x v="1"/>
    <s v="Jaipur"/>
    <x v="1"/>
    <s v="Table"/>
    <s v="Table - Furniture"/>
    <n v="472.86"/>
    <n v="2"/>
    <n v="0"/>
    <n v="94.75"/>
    <x v="1"/>
    <x v="1"/>
    <x v="7"/>
    <x v="1"/>
    <n v="0.20037643277079897"/>
    <s v="Profit"/>
    <s v="No Discount"/>
  </r>
  <r>
    <x v="278"/>
    <x v="202"/>
    <s v="Riya Kapoor"/>
    <x v="1"/>
    <s v="Chandigarh"/>
    <x v="2"/>
    <s v="Notebook"/>
    <s v="Notebook - Office Supplies"/>
    <n v="1478.69"/>
    <n v="1"/>
    <n v="12"/>
    <n v="275.02999999999997"/>
    <x v="0"/>
    <x v="0"/>
    <x v="4"/>
    <x v="0"/>
    <n v="0.1859957124211295"/>
    <s v="Profit"/>
    <s v="Mid (11-20%)"/>
  </r>
  <r>
    <x v="279"/>
    <x v="203"/>
    <s v="Vivaan Shah"/>
    <x v="2"/>
    <s v="Bangalore"/>
    <x v="2"/>
    <s v="Envelope"/>
    <s v="Envelope - Office Supplies"/>
    <n v="18644.2"/>
    <n v="10"/>
    <n v="19"/>
    <n v="2363.31"/>
    <x v="0"/>
    <x v="2"/>
    <x v="2"/>
    <x v="0"/>
    <n v="0.12675845571276859"/>
    <s v="Profit"/>
    <s v="Mid (11-20%)"/>
  </r>
  <r>
    <x v="280"/>
    <x v="134"/>
    <s v="Yuvraj Chauhan"/>
    <x v="2"/>
    <s v="Hyderabad"/>
    <x v="0"/>
    <s v="Mobile"/>
    <s v="Mobile - Technology"/>
    <n v="4942.0200000000004"/>
    <n v="6"/>
    <n v="22"/>
    <n v="631.66"/>
    <x v="0"/>
    <x v="2"/>
    <x v="1"/>
    <x v="1"/>
    <n v="0.12781413268258726"/>
    <s v="Profit"/>
    <s v="High (&gt;20%)"/>
  </r>
  <r>
    <x v="281"/>
    <x v="45"/>
    <s v="Arjun Verma"/>
    <x v="0"/>
    <s v="Bhubaneswar"/>
    <x v="2"/>
    <s v="Pen"/>
    <s v="Pen - Office Supplies"/>
    <n v="5029.0200000000004"/>
    <n v="6"/>
    <n v="19"/>
    <n v="486.97"/>
    <x v="1"/>
    <x v="0"/>
    <x v="12"/>
    <x v="1"/>
    <n v="9.6831987146601128E-2"/>
    <s v="Profit"/>
    <s v="Mid (11-20%)"/>
  </r>
  <r>
    <x v="282"/>
    <x v="115"/>
    <s v="Anaya Singh"/>
    <x v="2"/>
    <s v="Chennai"/>
    <x v="0"/>
    <s v="Mobile"/>
    <s v="Mobile - Technology"/>
    <n v="2464.6799999999998"/>
    <n v="2"/>
    <n v="13"/>
    <n v="438.25"/>
    <x v="2"/>
    <x v="2"/>
    <x v="9"/>
    <x v="1"/>
    <n v="0.17781212976938185"/>
    <s v="Profit"/>
    <s v="Mid (11-20%)"/>
  </r>
  <r>
    <x v="283"/>
    <x v="172"/>
    <s v="Krishna Das"/>
    <x v="0"/>
    <s v="Kolkata"/>
    <x v="0"/>
    <s v="Tablet"/>
    <s v="Tablet - Technology"/>
    <n v="3877.72"/>
    <n v="2"/>
    <n v="12"/>
    <n v="722.87"/>
    <x v="2"/>
    <x v="0"/>
    <x v="10"/>
    <x v="1"/>
    <n v="0.18641624459734071"/>
    <s v="Profit"/>
    <s v="Mid (11-20%)"/>
  </r>
  <r>
    <x v="284"/>
    <x v="204"/>
    <s v="Diya Sharma"/>
    <x v="0"/>
    <s v="Kolkata"/>
    <x v="1"/>
    <s v="Table"/>
    <s v="Table - Furniture"/>
    <n v="6679.44"/>
    <n v="9"/>
    <n v="1"/>
    <n v="807.7"/>
    <x v="0"/>
    <x v="1"/>
    <x v="5"/>
    <x v="1"/>
    <n v="0.12092331093624617"/>
    <s v="Profit"/>
    <s v="Low (1-10%)"/>
  </r>
  <r>
    <x v="285"/>
    <x v="205"/>
    <s v="Arjun Verma"/>
    <x v="1"/>
    <s v="Lucknow"/>
    <x v="2"/>
    <s v="Notebook"/>
    <s v="Notebook - Office Supplies"/>
    <n v="4123.8"/>
    <n v="4"/>
    <n v="8"/>
    <n v="593.76"/>
    <x v="0"/>
    <x v="3"/>
    <x v="6"/>
    <x v="0"/>
    <n v="0.14398370435035646"/>
    <s v="Profit"/>
    <s v="Low (1-10%)"/>
  </r>
  <r>
    <x v="286"/>
    <x v="48"/>
    <s v="Diya Sharma"/>
    <x v="2"/>
    <s v="Bangalore"/>
    <x v="1"/>
    <s v="Chair"/>
    <s v="Chair - Furniture"/>
    <n v="2261.34"/>
    <n v="9"/>
    <n v="8"/>
    <n v="509.97"/>
    <x v="0"/>
    <x v="1"/>
    <x v="11"/>
    <x v="1"/>
    <n v="0.22551672901907718"/>
    <s v="Profit"/>
    <s v="Low (1-10%)"/>
  </r>
  <r>
    <x v="287"/>
    <x v="206"/>
    <s v="Kriti Desai"/>
    <x v="3"/>
    <s v="Ahmedabad"/>
    <x v="2"/>
    <s v="Notebook"/>
    <s v="Notebook - Office Supplies"/>
    <n v="3802.44"/>
    <n v="3"/>
    <n v="5"/>
    <n v="845.87"/>
    <x v="0"/>
    <x v="1"/>
    <x v="4"/>
    <x v="0"/>
    <n v="0.22245452919704189"/>
    <s v="Profit"/>
    <s v="Low (1-10%)"/>
  </r>
  <r>
    <x v="288"/>
    <x v="207"/>
    <s v="Kriti Desai"/>
    <x v="0"/>
    <s v="Bhubaneswar"/>
    <x v="0"/>
    <s v="Printer"/>
    <s v="Printer - Technology"/>
    <n v="4210.0200000000004"/>
    <n v="9"/>
    <n v="12"/>
    <n v="273.68"/>
    <x v="0"/>
    <x v="2"/>
    <x v="2"/>
    <x v="0"/>
    <n v="6.5006817069752629E-2"/>
    <s v="Profit"/>
    <s v="Mid (11-20%)"/>
  </r>
  <r>
    <x v="289"/>
    <x v="86"/>
    <s v="Diya Sharma"/>
    <x v="1"/>
    <s v="Jaipur"/>
    <x v="2"/>
    <s v="Notebook"/>
    <s v="Notebook - Office Supplies"/>
    <n v="2581.6"/>
    <n v="2"/>
    <n v="5"/>
    <n v="417.01"/>
    <x v="0"/>
    <x v="2"/>
    <x v="4"/>
    <x v="0"/>
    <n v="0.16153160830492719"/>
    <s v="Profit"/>
    <s v="Low (1-10%)"/>
  </r>
  <r>
    <x v="290"/>
    <x v="149"/>
    <s v="Kabir Nair"/>
    <x v="1"/>
    <s v="Chandigarh"/>
    <x v="1"/>
    <s v="Sofa"/>
    <s v="Sofa - Furniture"/>
    <n v="7488.6"/>
    <n v="7"/>
    <n v="17"/>
    <n v="1006.99"/>
    <x v="2"/>
    <x v="3"/>
    <x v="2"/>
    <x v="0"/>
    <n v="0.13446972731885798"/>
    <s v="Profit"/>
    <s v="Mid (11-20%)"/>
  </r>
  <r>
    <x v="291"/>
    <x v="208"/>
    <s v="Saanvi Iyer"/>
    <x v="1"/>
    <s v="Delhi"/>
    <x v="1"/>
    <s v="Sofa"/>
    <s v="Sofa - Furniture"/>
    <n v="14933.12"/>
    <n v="8"/>
    <n v="5"/>
    <n v="1934.32"/>
    <x v="2"/>
    <x v="2"/>
    <x v="4"/>
    <x v="0"/>
    <n v="0.12953220760296574"/>
    <s v="Profit"/>
    <s v="Low (1-10%)"/>
  </r>
  <r>
    <x v="292"/>
    <x v="6"/>
    <s v="Krishna Das"/>
    <x v="3"/>
    <s v="Mumbai"/>
    <x v="2"/>
    <s v="Pen"/>
    <s v="Pen - Office Supplies"/>
    <n v="5846.7"/>
    <n v="6"/>
    <n v="27"/>
    <n v="295.01"/>
    <x v="0"/>
    <x v="1"/>
    <x v="5"/>
    <x v="1"/>
    <n v="5.0457523047189014E-2"/>
    <s v="Profit"/>
    <s v="High (&gt;20%)"/>
  </r>
  <r>
    <x v="293"/>
    <x v="209"/>
    <s v="Anaya Singh"/>
    <x v="2"/>
    <s v="Chennai"/>
    <x v="2"/>
    <s v="Pen"/>
    <s v="Pen - Office Supplies"/>
    <n v="13209.21"/>
    <n v="7"/>
    <n v="27"/>
    <n v="968.94"/>
    <x v="2"/>
    <x v="1"/>
    <x v="3"/>
    <x v="1"/>
    <n v="7.3353364811370253E-2"/>
    <s v="Profit"/>
    <s v="High (&gt;20%)"/>
  </r>
  <r>
    <x v="294"/>
    <x v="104"/>
    <s v="Diya Sharma"/>
    <x v="1"/>
    <s v="Delhi"/>
    <x v="1"/>
    <s v="Sofa"/>
    <s v="Sofa - Furniture"/>
    <n v="1213.32"/>
    <n v="1"/>
    <n v="2"/>
    <n v="265.82"/>
    <x v="2"/>
    <x v="2"/>
    <x v="1"/>
    <x v="1"/>
    <n v="0.21908482510796823"/>
    <s v="Profit"/>
    <s v="Low (1-10%)"/>
  </r>
  <r>
    <x v="295"/>
    <x v="164"/>
    <s v="Vivaan Shah"/>
    <x v="3"/>
    <s v="Ahmedabad"/>
    <x v="1"/>
    <s v="Cupboard"/>
    <s v="Cupboard - Furniture"/>
    <n v="2540.7600000000002"/>
    <n v="6"/>
    <n v="2"/>
    <n v="289.39"/>
    <x v="0"/>
    <x v="3"/>
    <x v="4"/>
    <x v="0"/>
    <n v="0.11389899085313054"/>
    <s v="Profit"/>
    <s v="Low (1-10%)"/>
  </r>
  <r>
    <x v="296"/>
    <x v="106"/>
    <s v="Kriti Desai"/>
    <x v="1"/>
    <s v="Lucknow"/>
    <x v="0"/>
    <s v="Laptop"/>
    <s v="Laptop - Technology"/>
    <n v="6833.76"/>
    <n v="8"/>
    <n v="5"/>
    <n v="899.79"/>
    <x v="1"/>
    <x v="1"/>
    <x v="3"/>
    <x v="1"/>
    <n v="0.13166836412165484"/>
    <s v="Profit"/>
    <s v="Low (1-10%)"/>
  </r>
  <r>
    <x v="297"/>
    <x v="210"/>
    <s v="Kabir Nair"/>
    <x v="3"/>
    <s v="Ahmedabad"/>
    <x v="1"/>
    <s v="Cupboard"/>
    <s v="Cupboard - Furniture"/>
    <n v="13150.88"/>
    <n v="8"/>
    <n v="1"/>
    <n v="1750.48"/>
    <x v="0"/>
    <x v="2"/>
    <x v="3"/>
    <x v="1"/>
    <n v="0.1331074422396068"/>
    <s v="Profit"/>
    <s v="Low (1-10%)"/>
  </r>
  <r>
    <x v="298"/>
    <x v="35"/>
    <s v="Anaya Singh"/>
    <x v="3"/>
    <s v="Mumbai"/>
    <x v="1"/>
    <s v="Sofa"/>
    <s v="Sofa - Furniture"/>
    <n v="6603"/>
    <n v="10"/>
    <n v="27"/>
    <n v="922.36"/>
    <x v="1"/>
    <x v="0"/>
    <x v="1"/>
    <x v="1"/>
    <n v="0.13968802059669846"/>
    <s v="Profit"/>
    <s v="High (&gt;20%)"/>
  </r>
  <r>
    <x v="299"/>
    <x v="211"/>
    <s v="Krishna Das"/>
    <x v="3"/>
    <s v="Mumbai"/>
    <x v="2"/>
    <s v="Pen"/>
    <s v="Pen - Office Supplies"/>
    <n v="7474.92"/>
    <n v="6"/>
    <n v="21"/>
    <n v="981.6"/>
    <x v="0"/>
    <x v="0"/>
    <x v="1"/>
    <x v="1"/>
    <n v="0.13131913117464802"/>
    <s v="Profit"/>
    <s v="High (&gt;20%)"/>
  </r>
  <r>
    <x v="300"/>
    <x v="1"/>
    <s v="Vivaan Shah"/>
    <x v="2"/>
    <s v="Hyderabad"/>
    <x v="2"/>
    <s v="Stapler"/>
    <s v="Stapler - Office Supplies"/>
    <n v="7753.2"/>
    <n v="7"/>
    <n v="8"/>
    <n v="1136.17"/>
    <x v="2"/>
    <x v="2"/>
    <x v="1"/>
    <x v="1"/>
    <n v="0.14654207295052366"/>
    <s v="Profit"/>
    <s v="Low (1-10%)"/>
  </r>
  <r>
    <x v="301"/>
    <x v="212"/>
    <s v="Yuvraj Chauhan"/>
    <x v="2"/>
    <s v="Hyderabad"/>
    <x v="1"/>
    <s v="Cupboard"/>
    <s v="Cupboard - Furniture"/>
    <n v="4486.2"/>
    <n v="4"/>
    <n v="22"/>
    <n v="450.58"/>
    <x v="0"/>
    <x v="1"/>
    <x v="4"/>
    <x v="0"/>
    <n v="0.10043689536801748"/>
    <s v="Profit"/>
    <s v="High (&gt;20%)"/>
  </r>
  <r>
    <x v="302"/>
    <x v="213"/>
    <s v="Sneha Reddy"/>
    <x v="2"/>
    <s v="Bangalore"/>
    <x v="2"/>
    <s v="Stapler"/>
    <s v="Stapler - Office Supplies"/>
    <n v="3678.36"/>
    <n v="4"/>
    <n v="26"/>
    <n v="174.5"/>
    <x v="0"/>
    <x v="2"/>
    <x v="2"/>
    <x v="0"/>
    <n v="4.7439619830576665E-2"/>
    <s v="Profit"/>
    <s v="High (&gt;20%)"/>
  </r>
  <r>
    <x v="303"/>
    <x v="214"/>
    <s v="Sneha Reddy"/>
    <x v="1"/>
    <s v="Jaipur"/>
    <x v="2"/>
    <s v="Stapler"/>
    <s v="Stapler - Office Supplies"/>
    <n v="1635.62"/>
    <n v="2"/>
    <n v="16"/>
    <n v="165.3"/>
    <x v="2"/>
    <x v="3"/>
    <x v="5"/>
    <x v="1"/>
    <n v="0.10106259400105161"/>
    <s v="Profit"/>
    <s v="Mid (11-20%)"/>
  </r>
  <r>
    <x v="304"/>
    <x v="215"/>
    <s v="Vivaan Shah"/>
    <x v="2"/>
    <s v="Chennai"/>
    <x v="1"/>
    <s v="Chair"/>
    <s v="Chair - Furniture"/>
    <n v="5816.9"/>
    <n v="10"/>
    <n v="13"/>
    <n v="955.4"/>
    <x v="0"/>
    <x v="0"/>
    <x v="11"/>
    <x v="1"/>
    <n v="0.16424556035001461"/>
    <s v="Profit"/>
    <s v="Mid (11-20%)"/>
  </r>
  <r>
    <x v="305"/>
    <x v="105"/>
    <s v="Vivaan Shah"/>
    <x v="3"/>
    <s v="Nagpur"/>
    <x v="2"/>
    <s v="Envelope"/>
    <s v="Envelope - Office Supplies"/>
    <n v="2113.75"/>
    <n v="5"/>
    <n v="29"/>
    <n v="285.45"/>
    <x v="2"/>
    <x v="1"/>
    <x v="11"/>
    <x v="1"/>
    <n v="0.13504435245416913"/>
    <s v="Profit"/>
    <s v="High (&gt;20%)"/>
  </r>
  <r>
    <x v="306"/>
    <x v="206"/>
    <s v="Ishaan Mehta"/>
    <x v="2"/>
    <s v="Bangalore"/>
    <x v="0"/>
    <s v="Printer"/>
    <s v="Printer - Technology"/>
    <n v="5635.68"/>
    <n v="3"/>
    <n v="8"/>
    <n v="804.34"/>
    <x v="2"/>
    <x v="1"/>
    <x v="4"/>
    <x v="0"/>
    <n v="0.14272279476478436"/>
    <s v="Profit"/>
    <s v="Low (1-10%)"/>
  </r>
  <r>
    <x v="307"/>
    <x v="216"/>
    <s v="Sneha Reddy"/>
    <x v="1"/>
    <s v="Jaipur"/>
    <x v="1"/>
    <s v="Table"/>
    <s v="Table - Furniture"/>
    <n v="1873.53"/>
    <n v="9"/>
    <n v="4"/>
    <n v="365.97"/>
    <x v="2"/>
    <x v="0"/>
    <x v="11"/>
    <x v="1"/>
    <n v="0.19533714432114779"/>
    <s v="Profit"/>
    <s v="Low (1-10%)"/>
  </r>
  <r>
    <x v="308"/>
    <x v="155"/>
    <s v="Arjun Verma"/>
    <x v="0"/>
    <s v="Kolkata"/>
    <x v="1"/>
    <s v="Sofa"/>
    <s v="Sofa - Furniture"/>
    <n v="3115.26"/>
    <n v="6"/>
    <n v="30"/>
    <n v="345.2"/>
    <x v="1"/>
    <x v="3"/>
    <x v="0"/>
    <x v="0"/>
    <n v="0.11080937064643079"/>
    <s v="Profit"/>
    <s v="High (&gt;20%)"/>
  </r>
  <r>
    <x v="309"/>
    <x v="217"/>
    <s v="Aarav Patel"/>
    <x v="0"/>
    <s v="Kolkata"/>
    <x v="0"/>
    <s v="Mobile"/>
    <s v="Mobile - Technology"/>
    <n v="5687"/>
    <n v="5"/>
    <n v="28"/>
    <n v="574.04999999999995"/>
    <x v="1"/>
    <x v="3"/>
    <x v="3"/>
    <x v="1"/>
    <n v="0.10094074204325654"/>
    <s v="Profit"/>
    <s v="High (&gt;20%)"/>
  </r>
  <r>
    <x v="310"/>
    <x v="103"/>
    <s v="Saanvi Iyer"/>
    <x v="1"/>
    <s v="Jaipur"/>
    <x v="0"/>
    <s v="Laptop"/>
    <s v="Laptop - Technology"/>
    <n v="7704.48"/>
    <n v="8"/>
    <n v="15"/>
    <n v="405.89"/>
    <x v="2"/>
    <x v="3"/>
    <x v="4"/>
    <x v="0"/>
    <n v="5.268233547234856E-2"/>
    <s v="Profit"/>
    <s v="Mid (11-20%)"/>
  </r>
  <r>
    <x v="311"/>
    <x v="162"/>
    <s v="Tanishq Ghosh"/>
    <x v="0"/>
    <s v="Kolkata"/>
    <x v="0"/>
    <s v="Tablet"/>
    <s v="Tablet - Technology"/>
    <n v="8439.6"/>
    <n v="10"/>
    <n v="27"/>
    <n v="907.33"/>
    <x v="1"/>
    <x v="3"/>
    <x v="6"/>
    <x v="0"/>
    <n v="0.10750864969903787"/>
    <s v="Profit"/>
    <s v="High (&gt;20%)"/>
  </r>
  <r>
    <x v="312"/>
    <x v="218"/>
    <s v="Diya Sharma"/>
    <x v="2"/>
    <s v="Chennai"/>
    <x v="0"/>
    <s v="Laptop"/>
    <s v="Laptop - Technology"/>
    <n v="3395.94"/>
    <n v="3"/>
    <n v="7.0000000000000009"/>
    <n v="634.03"/>
    <x v="2"/>
    <x v="0"/>
    <x v="12"/>
    <x v="1"/>
    <n v="0.18670235634316271"/>
    <s v="Profit"/>
    <s v="Low (1-10%)"/>
  </r>
  <r>
    <x v="313"/>
    <x v="203"/>
    <s v="Diya Sharma"/>
    <x v="2"/>
    <s v="Bangalore"/>
    <x v="0"/>
    <s v="Tablet"/>
    <s v="Tablet - Technology"/>
    <n v="3477.48"/>
    <n v="4"/>
    <n v="8"/>
    <n v="249.99"/>
    <x v="1"/>
    <x v="0"/>
    <x v="2"/>
    <x v="0"/>
    <n v="7.1888263915248982E-2"/>
    <s v="Profit"/>
    <s v="Low (1-10%)"/>
  </r>
  <r>
    <x v="314"/>
    <x v="26"/>
    <s v="Yuvraj Chauhan"/>
    <x v="0"/>
    <s v="Bhubaneswar"/>
    <x v="2"/>
    <s v="Pen"/>
    <s v="Pen - Office Supplies"/>
    <n v="415.86"/>
    <n v="3"/>
    <n v="25"/>
    <n v="56.97"/>
    <x v="2"/>
    <x v="1"/>
    <x v="4"/>
    <x v="0"/>
    <n v="0.13699321887173568"/>
    <s v="Profit"/>
    <s v="High (&gt;20%)"/>
  </r>
  <r>
    <x v="315"/>
    <x v="219"/>
    <s v="Meera Joshi"/>
    <x v="0"/>
    <s v="Bhubaneswar"/>
    <x v="2"/>
    <s v="Envelope"/>
    <s v="Envelope - Office Supplies"/>
    <n v="8754.5400000000009"/>
    <n v="6"/>
    <n v="1"/>
    <n v="1955.03"/>
    <x v="2"/>
    <x v="0"/>
    <x v="4"/>
    <x v="0"/>
    <n v="0.22331613083040339"/>
    <s v="Profit"/>
    <s v="Low (1-10%)"/>
  </r>
  <r>
    <x v="316"/>
    <x v="59"/>
    <s v="Sneha Reddy"/>
    <x v="2"/>
    <s v="Hyderabad"/>
    <x v="1"/>
    <s v="Chair"/>
    <s v="Chair - Furniture"/>
    <n v="1419.44"/>
    <n v="1"/>
    <n v="14"/>
    <n v="304.38"/>
    <x v="0"/>
    <x v="1"/>
    <x v="9"/>
    <x v="1"/>
    <n v="0.2144366792537902"/>
    <s v="Profit"/>
    <s v="Mid (11-20%)"/>
  </r>
  <r>
    <x v="317"/>
    <x v="220"/>
    <s v="Kabir Nair"/>
    <x v="2"/>
    <s v="Hyderabad"/>
    <x v="1"/>
    <s v="Sofa"/>
    <s v="Sofa - Furniture"/>
    <n v="3688.48"/>
    <n v="2"/>
    <n v="25"/>
    <n v="216.22"/>
    <x v="2"/>
    <x v="0"/>
    <x v="12"/>
    <x v="1"/>
    <n v="5.8620353099379692E-2"/>
    <s v="Profit"/>
    <s v="High (&gt;20%)"/>
  </r>
  <r>
    <x v="318"/>
    <x v="89"/>
    <s v="Ishaan Mehta"/>
    <x v="2"/>
    <s v="Chennai"/>
    <x v="0"/>
    <s v="Printer"/>
    <s v="Printer - Technology"/>
    <n v="532.09"/>
    <n v="1"/>
    <n v="21"/>
    <n v="63.65"/>
    <x v="1"/>
    <x v="1"/>
    <x v="10"/>
    <x v="1"/>
    <n v="0.11962262023341914"/>
    <s v="Profit"/>
    <s v="High (&gt;20%)"/>
  </r>
  <r>
    <x v="319"/>
    <x v="221"/>
    <s v="Krishna Das"/>
    <x v="1"/>
    <s v="Delhi"/>
    <x v="0"/>
    <s v="Laptop"/>
    <s v="Laptop - Technology"/>
    <n v="358.86"/>
    <n v="2"/>
    <n v="1"/>
    <n v="66.47"/>
    <x v="0"/>
    <x v="2"/>
    <x v="2"/>
    <x v="0"/>
    <n v="0.18522543610321573"/>
    <s v="Profit"/>
    <s v="Low (1-10%)"/>
  </r>
  <r>
    <x v="320"/>
    <x v="78"/>
    <s v="Ishaan Mehta"/>
    <x v="1"/>
    <s v="Delhi"/>
    <x v="2"/>
    <s v="Envelope"/>
    <s v="Envelope - Office Supplies"/>
    <n v="3260.24"/>
    <n v="4"/>
    <n v="24"/>
    <n v="249.27"/>
    <x v="0"/>
    <x v="1"/>
    <x v="6"/>
    <x v="0"/>
    <n v="7.6457561406522226E-2"/>
    <s v="Profit"/>
    <s v="High (&gt;20%)"/>
  </r>
  <r>
    <x v="321"/>
    <x v="222"/>
    <s v="Ishaan Mehta"/>
    <x v="0"/>
    <s v="Patna"/>
    <x v="1"/>
    <s v="Table"/>
    <s v="Table - Furniture"/>
    <n v="1331.07"/>
    <n v="3"/>
    <n v="12"/>
    <n v="165.94"/>
    <x v="1"/>
    <x v="0"/>
    <x v="9"/>
    <x v="1"/>
    <n v="0.12466662159014928"/>
    <s v="Profit"/>
    <s v="Mid (11-20%)"/>
  </r>
  <r>
    <x v="322"/>
    <x v="134"/>
    <s v="Tanishq Ghosh"/>
    <x v="3"/>
    <s v="Ahmedabad"/>
    <x v="1"/>
    <s v="Sofa"/>
    <s v="Sofa - Furniture"/>
    <n v="3054.02"/>
    <n v="2"/>
    <n v="16"/>
    <n v="614.72"/>
    <x v="0"/>
    <x v="2"/>
    <x v="1"/>
    <x v="1"/>
    <n v="0.20128224438608786"/>
    <s v="Profit"/>
    <s v="Mid (11-20%)"/>
  </r>
  <r>
    <x v="323"/>
    <x v="58"/>
    <s v="Ishaan Mehta"/>
    <x v="3"/>
    <s v="Nagpur"/>
    <x v="1"/>
    <s v="Cupboard"/>
    <s v="Cupboard - Furniture"/>
    <n v="804.38"/>
    <n v="2"/>
    <n v="14"/>
    <n v="157.79"/>
    <x v="2"/>
    <x v="1"/>
    <x v="0"/>
    <x v="0"/>
    <n v="0.19616350481115891"/>
    <s v="Profit"/>
    <s v="Mid (11-20%)"/>
  </r>
  <r>
    <x v="324"/>
    <x v="170"/>
    <s v="Kabir Nair"/>
    <x v="1"/>
    <s v="Lucknow"/>
    <x v="0"/>
    <s v="Printer"/>
    <s v="Printer - Technology"/>
    <n v="2328"/>
    <n v="2"/>
    <n v="8"/>
    <n v="435.9"/>
    <x v="2"/>
    <x v="2"/>
    <x v="5"/>
    <x v="1"/>
    <n v="0.18724226804123711"/>
    <s v="Profit"/>
    <s v="Low (1-10%)"/>
  </r>
  <r>
    <x v="325"/>
    <x v="223"/>
    <s v="Tanishq Ghosh"/>
    <x v="3"/>
    <s v="Indore"/>
    <x v="1"/>
    <s v="Sofa"/>
    <s v="Sofa - Furniture"/>
    <n v="12077.12"/>
    <n v="8"/>
    <n v="0"/>
    <n v="1936.97"/>
    <x v="1"/>
    <x v="0"/>
    <x v="7"/>
    <x v="1"/>
    <n v="0.16038343578601519"/>
    <s v="Profit"/>
    <s v="No Discount"/>
  </r>
  <r>
    <x v="326"/>
    <x v="99"/>
    <s v="Meera Joshi"/>
    <x v="3"/>
    <s v="Indore"/>
    <x v="0"/>
    <s v="Laptop"/>
    <s v="Laptop - Technology"/>
    <n v="8844.7999999999993"/>
    <n v="5"/>
    <n v="5"/>
    <n v="1924.11"/>
    <x v="1"/>
    <x v="3"/>
    <x v="7"/>
    <x v="1"/>
    <n v="0.21754138024602027"/>
    <s v="Profit"/>
    <s v="Low (1-10%)"/>
  </r>
  <r>
    <x v="327"/>
    <x v="211"/>
    <s v="Saanvi Iyer"/>
    <x v="1"/>
    <s v="Lucknow"/>
    <x v="0"/>
    <s v="Laptop"/>
    <s v="Laptop - Technology"/>
    <n v="9259.2999999999993"/>
    <n v="10"/>
    <n v="18"/>
    <n v="706.01"/>
    <x v="1"/>
    <x v="2"/>
    <x v="1"/>
    <x v="1"/>
    <n v="7.6248744505524185E-2"/>
    <s v="Profit"/>
    <s v="Mid (11-20%)"/>
  </r>
  <r>
    <x v="328"/>
    <x v="224"/>
    <s v="Ishaan Mehta"/>
    <x v="3"/>
    <s v="Nagpur"/>
    <x v="1"/>
    <s v="Sofa"/>
    <s v="Sofa - Furniture"/>
    <n v="2628.6"/>
    <n v="4"/>
    <n v="20"/>
    <n v="375.05"/>
    <x v="1"/>
    <x v="2"/>
    <x v="2"/>
    <x v="0"/>
    <n v="0.14268051434223541"/>
    <s v="Profit"/>
    <s v="Mid (11-20%)"/>
  </r>
  <r>
    <x v="329"/>
    <x v="17"/>
    <s v="Yuvraj Chauhan"/>
    <x v="1"/>
    <s v="Lucknow"/>
    <x v="1"/>
    <s v="Chair"/>
    <s v="Chair - Furniture"/>
    <n v="1033.49"/>
    <n v="1"/>
    <n v="1"/>
    <n v="212.27"/>
    <x v="1"/>
    <x v="2"/>
    <x v="5"/>
    <x v="1"/>
    <n v="0.20539144065254625"/>
    <s v="Profit"/>
    <s v="Low (1-10%)"/>
  </r>
  <r>
    <x v="330"/>
    <x v="225"/>
    <s v="Riya Kapoor"/>
    <x v="0"/>
    <s v="Bhubaneswar"/>
    <x v="0"/>
    <s v="Tablet"/>
    <s v="Tablet - Technology"/>
    <n v="2148.36"/>
    <n v="2"/>
    <n v="13"/>
    <n v="360.59"/>
    <x v="1"/>
    <x v="1"/>
    <x v="3"/>
    <x v="1"/>
    <n v="0.16784430914744267"/>
    <s v="Profit"/>
    <s v="Mid (11-20%)"/>
  </r>
  <r>
    <x v="331"/>
    <x v="226"/>
    <s v="Vivaan Shah"/>
    <x v="2"/>
    <s v="Bangalore"/>
    <x v="2"/>
    <s v="Notebook"/>
    <s v="Notebook - Office Supplies"/>
    <n v="7124.11"/>
    <n v="7"/>
    <n v="5"/>
    <n v="1534.65"/>
    <x v="2"/>
    <x v="3"/>
    <x v="7"/>
    <x v="1"/>
    <n v="0.21541638183576617"/>
    <s v="Profit"/>
    <s v="Low (1-10%)"/>
  </r>
  <r>
    <x v="332"/>
    <x v="57"/>
    <s v="Diya Sharma"/>
    <x v="0"/>
    <s v="Bhubaneswar"/>
    <x v="1"/>
    <s v="Cupboard"/>
    <s v="Cupboard - Furniture"/>
    <n v="1482.28"/>
    <n v="2"/>
    <n v="0"/>
    <n v="208.11"/>
    <x v="2"/>
    <x v="0"/>
    <x v="8"/>
    <x v="0"/>
    <n v="0.14039857516798446"/>
    <s v="Profit"/>
    <s v="No Discount"/>
  </r>
  <r>
    <x v="333"/>
    <x v="194"/>
    <s v="Kabir Nair"/>
    <x v="1"/>
    <s v="Chandigarh"/>
    <x v="0"/>
    <s v="Mobile"/>
    <s v="Mobile - Technology"/>
    <n v="2994.2"/>
    <n v="5"/>
    <n v="5"/>
    <n v="669.55"/>
    <x v="2"/>
    <x v="0"/>
    <x v="1"/>
    <x v="1"/>
    <n v="0.22361565693674437"/>
    <s v="Profit"/>
    <s v="Low (1-10%)"/>
  </r>
  <r>
    <x v="334"/>
    <x v="38"/>
    <s v="Diya Sharma"/>
    <x v="2"/>
    <s v="Hyderabad"/>
    <x v="0"/>
    <s v="Laptop"/>
    <s v="Laptop - Technology"/>
    <n v="3711.04"/>
    <n v="8"/>
    <n v="17"/>
    <n v="516.16999999999996"/>
    <x v="0"/>
    <x v="3"/>
    <x v="10"/>
    <x v="1"/>
    <n v="0.13909038975597135"/>
    <s v="Profit"/>
    <s v="Mid (11-20%)"/>
  </r>
  <r>
    <x v="335"/>
    <x v="133"/>
    <s v="Vivaan Shah"/>
    <x v="1"/>
    <s v="Lucknow"/>
    <x v="2"/>
    <s v="Envelope"/>
    <s v="Envelope - Office Supplies"/>
    <n v="3015.84"/>
    <n v="4"/>
    <n v="10"/>
    <n v="148.22999999999999"/>
    <x v="0"/>
    <x v="1"/>
    <x v="11"/>
    <x v="1"/>
    <n v="4.9150485436893196E-2"/>
    <s v="Profit"/>
    <s v="Low (1-10%)"/>
  </r>
  <r>
    <x v="336"/>
    <x v="205"/>
    <s v="Tanishq Ghosh"/>
    <x v="3"/>
    <s v="Pune"/>
    <x v="2"/>
    <s v="Stapler"/>
    <s v="Stapler - Office Supplies"/>
    <n v="5041.8"/>
    <n v="10"/>
    <n v="17"/>
    <n v="832.98"/>
    <x v="2"/>
    <x v="1"/>
    <x v="6"/>
    <x v="0"/>
    <n v="0.16521480423658216"/>
    <s v="Profit"/>
    <s v="Mid (11-20%)"/>
  </r>
  <r>
    <x v="337"/>
    <x v="5"/>
    <s v="Saanvi Iyer"/>
    <x v="0"/>
    <s v="Kolkata"/>
    <x v="0"/>
    <s v="Printer"/>
    <s v="Printer - Technology"/>
    <n v="6595.6"/>
    <n v="5"/>
    <n v="10"/>
    <n v="1450.17"/>
    <x v="1"/>
    <x v="3"/>
    <x v="4"/>
    <x v="0"/>
    <n v="0.21986930681060102"/>
    <s v="Profit"/>
    <s v="Low (1-10%)"/>
  </r>
  <r>
    <x v="338"/>
    <x v="197"/>
    <s v="Diya Sharma"/>
    <x v="3"/>
    <s v="Nagpur"/>
    <x v="2"/>
    <s v="Envelope"/>
    <s v="Envelope - Office Supplies"/>
    <n v="1803.52"/>
    <n v="8"/>
    <n v="25"/>
    <n v="146.33000000000001"/>
    <x v="1"/>
    <x v="2"/>
    <x v="4"/>
    <x v="0"/>
    <n v="8.113577892122073E-2"/>
    <s v="Profit"/>
    <s v="High (&gt;20%)"/>
  </r>
  <r>
    <x v="339"/>
    <x v="227"/>
    <s v="Diya Sharma"/>
    <x v="3"/>
    <s v="Indore"/>
    <x v="2"/>
    <s v="Stapler"/>
    <s v="Stapler - Office Supplies"/>
    <n v="1528.38"/>
    <n v="6"/>
    <n v="8"/>
    <n v="257.32"/>
    <x v="2"/>
    <x v="3"/>
    <x v="5"/>
    <x v="1"/>
    <n v="0.16836127141155993"/>
    <s v="Profit"/>
    <s v="Low (1-10%)"/>
  </r>
  <r>
    <x v="340"/>
    <x v="196"/>
    <s v="Anaya Singh"/>
    <x v="0"/>
    <s v="Bhubaneswar"/>
    <x v="0"/>
    <s v="Laptop"/>
    <s v="Laptop - Technology"/>
    <n v="3866.16"/>
    <n v="3"/>
    <n v="16"/>
    <n v="454.36"/>
    <x v="2"/>
    <x v="1"/>
    <x v="8"/>
    <x v="0"/>
    <n v="0.11752229602499639"/>
    <s v="Profit"/>
    <s v="Mid (11-20%)"/>
  </r>
  <r>
    <x v="341"/>
    <x v="69"/>
    <s v="Vivaan Shah"/>
    <x v="2"/>
    <s v="Chennai"/>
    <x v="2"/>
    <s v="Notebook"/>
    <s v="Notebook - Office Supplies"/>
    <n v="1992.24"/>
    <n v="4"/>
    <n v="9"/>
    <n v="317.91000000000003"/>
    <x v="1"/>
    <x v="1"/>
    <x v="7"/>
    <x v="1"/>
    <n v="0.15957414769304903"/>
    <s v="Profit"/>
    <s v="Low (1-10%)"/>
  </r>
  <r>
    <x v="342"/>
    <x v="201"/>
    <s v="Vivaan Shah"/>
    <x v="1"/>
    <s v="Jaipur"/>
    <x v="1"/>
    <s v="Sofa"/>
    <s v="Sofa - Furniture"/>
    <n v="1066.3499999999999"/>
    <n v="1"/>
    <n v="19"/>
    <n v="203.27"/>
    <x v="1"/>
    <x v="0"/>
    <x v="9"/>
    <x v="1"/>
    <n v="0.19062221597036622"/>
    <s v="Profit"/>
    <s v="Mid (11-20%)"/>
  </r>
  <r>
    <x v="343"/>
    <x v="16"/>
    <s v="Ishaan Mehta"/>
    <x v="0"/>
    <s v="Patna"/>
    <x v="2"/>
    <s v="Stapler"/>
    <s v="Stapler - Office Supplies"/>
    <n v="3256.5"/>
    <n v="6"/>
    <n v="3"/>
    <n v="430.26"/>
    <x v="2"/>
    <x v="3"/>
    <x v="1"/>
    <x v="1"/>
    <n v="0.13212344541685858"/>
    <s v="Profit"/>
    <s v="Low (1-10%)"/>
  </r>
  <r>
    <x v="344"/>
    <x v="228"/>
    <s v="Diya Sharma"/>
    <x v="1"/>
    <s v="Jaipur"/>
    <x v="1"/>
    <s v="Sofa"/>
    <s v="Sofa - Furniture"/>
    <n v="3086.4"/>
    <n v="8"/>
    <n v="7.0000000000000009"/>
    <n v="541.91"/>
    <x v="2"/>
    <x v="3"/>
    <x v="11"/>
    <x v="1"/>
    <n v="0.17557996371176773"/>
    <s v="Profit"/>
    <s v="Low (1-10%)"/>
  </r>
  <r>
    <x v="345"/>
    <x v="199"/>
    <s v="Kriti Desai"/>
    <x v="1"/>
    <s v="Lucknow"/>
    <x v="0"/>
    <s v="Tablet"/>
    <s v="Tablet - Technology"/>
    <n v="3828.66"/>
    <n v="3"/>
    <n v="25"/>
    <n v="572.72"/>
    <x v="0"/>
    <x v="1"/>
    <x v="3"/>
    <x v="1"/>
    <n v="0.14958758416782897"/>
    <s v="Profit"/>
    <s v="High (&gt;20%)"/>
  </r>
  <r>
    <x v="346"/>
    <x v="229"/>
    <s v="Aarav Patel"/>
    <x v="0"/>
    <s v="Patna"/>
    <x v="0"/>
    <s v="Printer"/>
    <s v="Printer - Technology"/>
    <n v="1490.85"/>
    <n v="5"/>
    <n v="8"/>
    <n v="243.51"/>
    <x v="0"/>
    <x v="2"/>
    <x v="9"/>
    <x v="1"/>
    <n v="0.16333635174564845"/>
    <s v="Profit"/>
    <s v="Low (1-10%)"/>
  </r>
  <r>
    <x v="347"/>
    <x v="11"/>
    <s v="Kriti Desai"/>
    <x v="1"/>
    <s v="Lucknow"/>
    <x v="2"/>
    <s v="Envelope"/>
    <s v="Envelope - Office Supplies"/>
    <n v="7593.6"/>
    <n v="4"/>
    <n v="0"/>
    <n v="686.94"/>
    <x v="0"/>
    <x v="0"/>
    <x v="8"/>
    <x v="0"/>
    <n v="9.046302149178255E-2"/>
    <s v="Profit"/>
    <s v="No Discount"/>
  </r>
  <r>
    <x v="348"/>
    <x v="230"/>
    <s v="Diya Sharma"/>
    <x v="2"/>
    <s v="Hyderabad"/>
    <x v="0"/>
    <s v="Mobile"/>
    <s v="Mobile - Technology"/>
    <n v="10440.08"/>
    <n v="8"/>
    <n v="3"/>
    <n v="2315.37"/>
    <x v="1"/>
    <x v="1"/>
    <x v="7"/>
    <x v="1"/>
    <n v="0.22177703619129355"/>
    <s v="Profit"/>
    <s v="Low (1-10%)"/>
  </r>
  <r>
    <x v="349"/>
    <x v="4"/>
    <s v="Aarav Patel"/>
    <x v="1"/>
    <s v="Delhi"/>
    <x v="2"/>
    <s v="Notebook"/>
    <s v="Notebook - Office Supplies"/>
    <n v="1530.21"/>
    <n v="1"/>
    <n v="4"/>
    <n v="358.53"/>
    <x v="1"/>
    <x v="1"/>
    <x v="3"/>
    <x v="1"/>
    <n v="0.2343011743486188"/>
    <s v="Profit"/>
    <s v="Low (1-10%)"/>
  </r>
  <r>
    <x v="350"/>
    <x v="219"/>
    <s v="Riya Kapoor"/>
    <x v="1"/>
    <s v="Delhi"/>
    <x v="0"/>
    <s v="Tablet"/>
    <s v="Tablet - Technology"/>
    <n v="4381.8"/>
    <n v="3"/>
    <n v="2"/>
    <n v="346.29"/>
    <x v="0"/>
    <x v="0"/>
    <x v="4"/>
    <x v="0"/>
    <n v="7.9029166096124884E-2"/>
    <s v="Profit"/>
    <s v="Low (1-10%)"/>
  </r>
  <r>
    <x v="351"/>
    <x v="231"/>
    <s v="Anaya Singh"/>
    <x v="3"/>
    <s v="Mumbai"/>
    <x v="1"/>
    <s v="Cupboard"/>
    <s v="Cupboard - Furniture"/>
    <n v="12574.98"/>
    <n v="9"/>
    <n v="26"/>
    <n v="2293.2800000000002"/>
    <x v="0"/>
    <x v="3"/>
    <x v="12"/>
    <x v="1"/>
    <n v="0.18236848090414459"/>
    <s v="Profit"/>
    <s v="High (&gt;20%)"/>
  </r>
  <r>
    <x v="352"/>
    <x v="57"/>
    <s v="Tanishq Ghosh"/>
    <x v="2"/>
    <s v="Hyderabad"/>
    <x v="1"/>
    <s v="Cupboard"/>
    <s v="Cupboard - Furniture"/>
    <n v="2649.95"/>
    <n v="5"/>
    <n v="11"/>
    <n v="241.79"/>
    <x v="2"/>
    <x v="3"/>
    <x v="8"/>
    <x v="0"/>
    <n v="9.1243231004358577E-2"/>
    <s v="Profit"/>
    <s v="Mid (11-20%)"/>
  </r>
  <r>
    <x v="353"/>
    <x v="232"/>
    <s v="Saanvi Iyer"/>
    <x v="2"/>
    <s v="Bangalore"/>
    <x v="1"/>
    <s v="Sofa"/>
    <s v="Sofa - Furniture"/>
    <n v="1186.8599999999999"/>
    <n v="3"/>
    <n v="19"/>
    <n v="81.53"/>
    <x v="2"/>
    <x v="3"/>
    <x v="7"/>
    <x v="1"/>
    <n v="6.8693864482752817E-2"/>
    <s v="Profit"/>
    <s v="Mid (11-20%)"/>
  </r>
  <r>
    <x v="354"/>
    <x v="28"/>
    <s v="Tanishq Ghosh"/>
    <x v="3"/>
    <s v="Indore"/>
    <x v="2"/>
    <s v="Notebook"/>
    <s v="Notebook - Office Supplies"/>
    <n v="649.16"/>
    <n v="2"/>
    <n v="5"/>
    <n v="95.89"/>
    <x v="1"/>
    <x v="1"/>
    <x v="5"/>
    <x v="1"/>
    <n v="0.14771396882124593"/>
    <s v="Profit"/>
    <s v="Low (1-10%)"/>
  </r>
  <r>
    <x v="355"/>
    <x v="223"/>
    <s v="Kabir Nair"/>
    <x v="3"/>
    <s v="Ahmedabad"/>
    <x v="0"/>
    <s v="Mobile"/>
    <s v="Mobile - Technology"/>
    <n v="607.6"/>
    <n v="2"/>
    <n v="2"/>
    <n v="82.34"/>
    <x v="0"/>
    <x v="1"/>
    <x v="7"/>
    <x v="1"/>
    <n v="0.13551678736010533"/>
    <s v="Profit"/>
    <s v="Low (1-10%)"/>
  </r>
  <r>
    <x v="356"/>
    <x v="233"/>
    <s v="Anaya Singh"/>
    <x v="2"/>
    <s v="Hyderabad"/>
    <x v="2"/>
    <s v="Notebook"/>
    <s v="Notebook - Office Supplies"/>
    <n v="125.5"/>
    <n v="1"/>
    <n v="15"/>
    <n v="25.78"/>
    <x v="2"/>
    <x v="2"/>
    <x v="1"/>
    <x v="1"/>
    <n v="0.2054183266932271"/>
    <s v="Profit"/>
    <s v="Mid (11-20%)"/>
  </r>
  <r>
    <x v="357"/>
    <x v="234"/>
    <s v="Diya Sharma"/>
    <x v="1"/>
    <s v="Jaipur"/>
    <x v="1"/>
    <s v="Cupboard"/>
    <s v="Cupboard - Furniture"/>
    <n v="4103.13"/>
    <n v="3"/>
    <n v="6"/>
    <n v="612.36"/>
    <x v="1"/>
    <x v="1"/>
    <x v="5"/>
    <x v="1"/>
    <n v="0.14924216390901579"/>
    <s v="Profit"/>
    <s v="Low (1-10%)"/>
  </r>
  <r>
    <x v="358"/>
    <x v="235"/>
    <s v="Sneha Reddy"/>
    <x v="3"/>
    <s v="Pune"/>
    <x v="2"/>
    <s v="Notebook"/>
    <s v="Notebook - Office Supplies"/>
    <n v="638.14"/>
    <n v="1"/>
    <n v="23"/>
    <n v="75.63"/>
    <x v="2"/>
    <x v="1"/>
    <x v="1"/>
    <x v="1"/>
    <n v="0.11851631303475726"/>
    <s v="Profit"/>
    <s v="High (&gt;20%)"/>
  </r>
  <r>
    <x v="359"/>
    <x v="217"/>
    <s v="Arjun Verma"/>
    <x v="1"/>
    <s v="Lucknow"/>
    <x v="0"/>
    <s v="Printer"/>
    <s v="Printer - Technology"/>
    <n v="2355.9"/>
    <n v="5"/>
    <n v="22"/>
    <n v="94.95"/>
    <x v="0"/>
    <x v="0"/>
    <x v="3"/>
    <x v="1"/>
    <n v="4.030306889086973E-2"/>
    <s v="Profit"/>
    <s v="High (&gt;20%)"/>
  </r>
  <r>
    <x v="360"/>
    <x v="236"/>
    <s v="Aarav Patel"/>
    <x v="0"/>
    <s v="Kolkata"/>
    <x v="0"/>
    <s v="Laptop"/>
    <s v="Laptop - Technology"/>
    <n v="6929.82"/>
    <n v="9"/>
    <n v="13"/>
    <n v="970.58"/>
    <x v="1"/>
    <x v="2"/>
    <x v="9"/>
    <x v="1"/>
    <n v="0.14005847193722204"/>
    <s v="Profit"/>
    <s v="Mid (11-20%)"/>
  </r>
  <r>
    <x v="361"/>
    <x v="143"/>
    <s v="Ishaan Mehta"/>
    <x v="0"/>
    <s v="Patna"/>
    <x v="1"/>
    <s v="Table"/>
    <s v="Table - Furniture"/>
    <n v="1120.5"/>
    <n v="2"/>
    <n v="13"/>
    <n v="130.99"/>
    <x v="0"/>
    <x v="1"/>
    <x v="2"/>
    <x v="0"/>
    <n v="0.11690316822846944"/>
    <s v="Profit"/>
    <s v="Mid (11-20%)"/>
  </r>
  <r>
    <x v="362"/>
    <x v="139"/>
    <s v="Aarav Patel"/>
    <x v="1"/>
    <s v="Chandigarh"/>
    <x v="1"/>
    <s v="Chair"/>
    <s v="Chair - Furniture"/>
    <n v="10397.700000000001"/>
    <n v="9"/>
    <n v="14"/>
    <n v="1979.25"/>
    <x v="0"/>
    <x v="3"/>
    <x v="3"/>
    <x v="1"/>
    <n v="0.19035459765140367"/>
    <s v="Profit"/>
    <s v="Mid (11-20%)"/>
  </r>
  <r>
    <x v="363"/>
    <x v="25"/>
    <s v="Aarav Patel"/>
    <x v="2"/>
    <s v="Bangalore"/>
    <x v="0"/>
    <s v="Tablet"/>
    <s v="Tablet - Technology"/>
    <n v="2427.3000000000002"/>
    <n v="2"/>
    <n v="23"/>
    <n v="229.71"/>
    <x v="2"/>
    <x v="3"/>
    <x v="9"/>
    <x v="1"/>
    <n v="9.4636015325670494E-2"/>
    <s v="Profit"/>
    <s v="High (&gt;20%)"/>
  </r>
  <r>
    <x v="364"/>
    <x v="76"/>
    <s v="Kriti Desai"/>
    <x v="1"/>
    <s v="Jaipur"/>
    <x v="0"/>
    <s v="Tablet"/>
    <s v="Tablet - Technology"/>
    <n v="1987.68"/>
    <n v="1"/>
    <n v="14"/>
    <n v="201.27"/>
    <x v="0"/>
    <x v="0"/>
    <x v="3"/>
    <x v="1"/>
    <n v="0.10125875392417291"/>
    <s v="Profit"/>
    <s v="Mid (11-20%)"/>
  </r>
  <r>
    <x v="365"/>
    <x v="53"/>
    <s v="Vivaan Shah"/>
    <x v="1"/>
    <s v="Chandigarh"/>
    <x v="2"/>
    <s v="Stapler"/>
    <s v="Stapler - Office Supplies"/>
    <n v="5859.12"/>
    <n v="4"/>
    <n v="7.0000000000000009"/>
    <n v="537.89"/>
    <x v="0"/>
    <x v="3"/>
    <x v="11"/>
    <x v="1"/>
    <n v="9.180388863856688E-2"/>
    <s v="Profit"/>
    <s v="Low (1-10%)"/>
  </r>
  <r>
    <x v="366"/>
    <x v="83"/>
    <s v="Sneha Reddy"/>
    <x v="0"/>
    <s v="Bhubaneswar"/>
    <x v="0"/>
    <s v="Tablet"/>
    <s v="Tablet - Technology"/>
    <n v="3915.3"/>
    <n v="5"/>
    <n v="7.0000000000000009"/>
    <n v="264.56"/>
    <x v="1"/>
    <x v="1"/>
    <x v="12"/>
    <x v="1"/>
    <n v="6.7570811942890704E-2"/>
    <s v="Profit"/>
    <s v="Low (1-10%)"/>
  </r>
  <r>
    <x v="367"/>
    <x v="69"/>
    <s v="Anaya Singh"/>
    <x v="3"/>
    <s v="Indore"/>
    <x v="0"/>
    <s v="Laptop"/>
    <s v="Laptop - Technology"/>
    <n v="3355.4"/>
    <n v="4"/>
    <n v="9"/>
    <n v="243.86"/>
    <x v="0"/>
    <x v="0"/>
    <x v="7"/>
    <x v="1"/>
    <n v="7.2676879060618704E-2"/>
    <s v="Profit"/>
    <s v="Low (1-10%)"/>
  </r>
  <r>
    <x v="368"/>
    <x v="23"/>
    <s v="Sneha Reddy"/>
    <x v="0"/>
    <s v="Kolkata"/>
    <x v="2"/>
    <s v="Pen"/>
    <s v="Pen - Office Supplies"/>
    <n v="6153.66"/>
    <n v="6"/>
    <n v="8"/>
    <n v="1157.21"/>
    <x v="0"/>
    <x v="1"/>
    <x v="0"/>
    <x v="0"/>
    <n v="0.18805231358248589"/>
    <s v="Profit"/>
    <s v="Low (1-10%)"/>
  </r>
  <r>
    <x v="369"/>
    <x v="32"/>
    <s v="Krishna Das"/>
    <x v="2"/>
    <s v="Bangalore"/>
    <x v="2"/>
    <s v="Pen"/>
    <s v="Pen - Office Supplies"/>
    <n v="18243.5"/>
    <n v="10"/>
    <n v="13"/>
    <n v="2512.92"/>
    <x v="1"/>
    <x v="2"/>
    <x v="1"/>
    <x v="1"/>
    <n v="0.13774330583495492"/>
    <s v="Profit"/>
    <s v="Mid (11-20%)"/>
  </r>
  <r>
    <x v="370"/>
    <x v="228"/>
    <s v="Kriti Desai"/>
    <x v="1"/>
    <s v="Delhi"/>
    <x v="2"/>
    <s v="Stapler"/>
    <s v="Stapler - Office Supplies"/>
    <n v="3586.23"/>
    <n v="3"/>
    <n v="5"/>
    <n v="412.87"/>
    <x v="1"/>
    <x v="3"/>
    <x v="11"/>
    <x v="1"/>
    <n v="0.11512646985831919"/>
    <s v="Profit"/>
    <s v="Low (1-10%)"/>
  </r>
  <r>
    <x v="371"/>
    <x v="237"/>
    <s v="Krishna Das"/>
    <x v="3"/>
    <s v="Indore"/>
    <x v="2"/>
    <s v="Notebook"/>
    <s v="Notebook - Office Supplies"/>
    <n v="14273.52"/>
    <n v="8"/>
    <n v="18"/>
    <n v="2538.7800000000002"/>
    <x v="2"/>
    <x v="0"/>
    <x v="3"/>
    <x v="1"/>
    <n v="0.17786642678190104"/>
    <s v="Profit"/>
    <s v="Mid (11-20%)"/>
  </r>
  <r>
    <x v="372"/>
    <x v="117"/>
    <s v="Sneha Reddy"/>
    <x v="2"/>
    <s v="Bangalore"/>
    <x v="1"/>
    <s v="Table"/>
    <s v="Table - Furniture"/>
    <n v="2922.58"/>
    <n v="2"/>
    <n v="22"/>
    <n v="150.24"/>
    <x v="2"/>
    <x v="1"/>
    <x v="7"/>
    <x v="1"/>
    <n v="5.1406633864599094E-2"/>
    <s v="Profit"/>
    <s v="High (&gt;20%)"/>
  </r>
  <r>
    <x v="373"/>
    <x v="184"/>
    <s v="Saanvi Iyer"/>
    <x v="1"/>
    <s v="Chandigarh"/>
    <x v="2"/>
    <s v="Notebook"/>
    <s v="Notebook - Office Supplies"/>
    <n v="848.16"/>
    <n v="8"/>
    <n v="16"/>
    <n v="103.34"/>
    <x v="1"/>
    <x v="2"/>
    <x v="4"/>
    <x v="0"/>
    <n v="0.1218402188266365"/>
    <s v="Profit"/>
    <s v="Mid (11-20%)"/>
  </r>
  <r>
    <x v="374"/>
    <x v="238"/>
    <s v="Saanvi Iyer"/>
    <x v="1"/>
    <s v="Lucknow"/>
    <x v="1"/>
    <s v="Chair"/>
    <s v="Chair - Furniture"/>
    <n v="7435.68"/>
    <n v="7"/>
    <n v="7.0000000000000009"/>
    <n v="1366.4"/>
    <x v="2"/>
    <x v="2"/>
    <x v="2"/>
    <x v="0"/>
    <n v="0.18376261485163428"/>
    <s v="Profit"/>
    <s v="Low (1-10%)"/>
  </r>
  <r>
    <x v="375"/>
    <x v="136"/>
    <s v="Anaya Singh"/>
    <x v="1"/>
    <s v="Jaipur"/>
    <x v="2"/>
    <s v="Envelope"/>
    <s v="Envelope - Office Supplies"/>
    <n v="4694.08"/>
    <n v="4"/>
    <n v="25"/>
    <n v="279.85000000000002"/>
    <x v="1"/>
    <x v="2"/>
    <x v="3"/>
    <x v="1"/>
    <n v="5.9617646056309231E-2"/>
    <s v="Profit"/>
    <s v="High (&gt;20%)"/>
  </r>
  <r>
    <x v="376"/>
    <x v="159"/>
    <s v="Sneha Reddy"/>
    <x v="1"/>
    <s v="Lucknow"/>
    <x v="1"/>
    <s v="Chair"/>
    <s v="Chair - Furniture"/>
    <n v="3252.08"/>
    <n v="2"/>
    <n v="21"/>
    <n v="623.16999999999996"/>
    <x v="2"/>
    <x v="0"/>
    <x v="6"/>
    <x v="0"/>
    <n v="0.19162197731913114"/>
    <s v="Profit"/>
    <s v="High (&gt;20%)"/>
  </r>
  <r>
    <x v="377"/>
    <x v="239"/>
    <s v="Ishaan Mehta"/>
    <x v="1"/>
    <s v="Chandigarh"/>
    <x v="0"/>
    <s v="Mobile"/>
    <s v="Mobile - Technology"/>
    <n v="7742.07"/>
    <n v="9"/>
    <n v="1"/>
    <n v="794.37"/>
    <x v="0"/>
    <x v="1"/>
    <x v="0"/>
    <x v="0"/>
    <n v="0.10260434224955342"/>
    <s v="Profit"/>
    <s v="Low (1-10%)"/>
  </r>
  <r>
    <x v="378"/>
    <x v="240"/>
    <s v="Yuvraj Chauhan"/>
    <x v="0"/>
    <s v="Kolkata"/>
    <x v="2"/>
    <s v="Pen"/>
    <s v="Pen - Office Supplies"/>
    <n v="9138.5"/>
    <n v="10"/>
    <n v="7.0000000000000009"/>
    <n v="1421.7"/>
    <x v="2"/>
    <x v="0"/>
    <x v="12"/>
    <x v="1"/>
    <n v="0.15557257755649176"/>
    <s v="Profit"/>
    <s v="Low (1-10%)"/>
  </r>
  <r>
    <x v="379"/>
    <x v="80"/>
    <s v="Saanvi Iyer"/>
    <x v="1"/>
    <s v="Delhi"/>
    <x v="1"/>
    <s v="Cupboard"/>
    <s v="Cupboard - Furniture"/>
    <n v="7986.75"/>
    <n v="5"/>
    <n v="16"/>
    <n v="812.1"/>
    <x v="2"/>
    <x v="3"/>
    <x v="1"/>
    <x v="1"/>
    <n v="0.10168090900554043"/>
    <s v="Profit"/>
    <s v="Mid (11-20%)"/>
  </r>
  <r>
    <x v="380"/>
    <x v="241"/>
    <s v="Kriti Desai"/>
    <x v="1"/>
    <s v="Delhi"/>
    <x v="2"/>
    <s v="Notebook"/>
    <s v="Notebook - Office Supplies"/>
    <n v="266.87"/>
    <n v="1"/>
    <n v="0"/>
    <n v="40.72"/>
    <x v="1"/>
    <x v="1"/>
    <x v="6"/>
    <x v="0"/>
    <n v="0.15258365496309065"/>
    <s v="Profit"/>
    <s v="No Discount"/>
  </r>
  <r>
    <x v="381"/>
    <x v="163"/>
    <s v="Saanvi Iyer"/>
    <x v="3"/>
    <s v="Pune"/>
    <x v="1"/>
    <s v="Table"/>
    <s v="Table - Furniture"/>
    <n v="2537.46"/>
    <n v="9"/>
    <n v="17"/>
    <n v="501.71"/>
    <x v="0"/>
    <x v="3"/>
    <x v="9"/>
    <x v="1"/>
    <n v="0.19772134339063471"/>
    <s v="Profit"/>
    <s v="Mid (11-20%)"/>
  </r>
  <r>
    <x v="382"/>
    <x v="172"/>
    <s v="Aarav Patel"/>
    <x v="3"/>
    <s v="Ahmedabad"/>
    <x v="0"/>
    <s v="Printer"/>
    <s v="Printer - Technology"/>
    <n v="7377.39"/>
    <n v="9"/>
    <n v="2"/>
    <n v="908.57"/>
    <x v="0"/>
    <x v="3"/>
    <x v="10"/>
    <x v="1"/>
    <n v="0.12315602130292692"/>
    <s v="Profit"/>
    <s v="Low (1-10%)"/>
  </r>
  <r>
    <x v="383"/>
    <x v="215"/>
    <s v="Sneha Reddy"/>
    <x v="3"/>
    <s v="Nagpur"/>
    <x v="0"/>
    <s v="Printer"/>
    <s v="Printer - Technology"/>
    <n v="4547.34"/>
    <n v="6"/>
    <n v="29"/>
    <n v="392.98"/>
    <x v="0"/>
    <x v="0"/>
    <x v="11"/>
    <x v="1"/>
    <n v="8.6419753086419748E-2"/>
    <s v="Profit"/>
    <s v="High (&gt;20%)"/>
  </r>
  <r>
    <x v="384"/>
    <x v="49"/>
    <s v="Vivaan Shah"/>
    <x v="3"/>
    <s v="Nagpur"/>
    <x v="2"/>
    <s v="Pen"/>
    <s v="Pen - Office Supplies"/>
    <n v="1055.52"/>
    <n v="1"/>
    <n v="1"/>
    <n v="187"/>
    <x v="2"/>
    <x v="0"/>
    <x v="0"/>
    <x v="0"/>
    <n v="0.17716386236167955"/>
    <s v="Profit"/>
    <s v="Low (1-10%)"/>
  </r>
  <r>
    <x v="385"/>
    <x v="197"/>
    <s v="Ishaan Mehta"/>
    <x v="3"/>
    <s v="Indore"/>
    <x v="2"/>
    <s v="Pen"/>
    <s v="Pen - Office Supplies"/>
    <n v="4521.84"/>
    <n v="6"/>
    <n v="29"/>
    <n v="516.24"/>
    <x v="1"/>
    <x v="2"/>
    <x v="4"/>
    <x v="0"/>
    <n v="0.11416591476036303"/>
    <s v="Profit"/>
    <s v="High (&gt;20%)"/>
  </r>
  <r>
    <x v="386"/>
    <x v="144"/>
    <s v="Vivaan Shah"/>
    <x v="0"/>
    <s v="Patna"/>
    <x v="1"/>
    <s v="Cupboard"/>
    <s v="Cupboard - Furniture"/>
    <n v="10116.81"/>
    <n v="9"/>
    <n v="19"/>
    <n v="586.13"/>
    <x v="1"/>
    <x v="3"/>
    <x v="3"/>
    <x v="1"/>
    <n v="5.793624670227078E-2"/>
    <s v="Profit"/>
    <s v="Mid (11-20%)"/>
  </r>
  <r>
    <x v="387"/>
    <x v="127"/>
    <s v="Ishaan Mehta"/>
    <x v="0"/>
    <s v="Bhubaneswar"/>
    <x v="0"/>
    <s v="Tablet"/>
    <s v="Tablet - Technology"/>
    <n v="2999.14"/>
    <n v="2"/>
    <n v="28"/>
    <n v="505.06"/>
    <x v="1"/>
    <x v="2"/>
    <x v="5"/>
    <x v="1"/>
    <n v="0.1684016084610922"/>
    <s v="Profit"/>
    <s v="High (&gt;20%)"/>
  </r>
  <r>
    <x v="388"/>
    <x v="197"/>
    <s v="Meera Joshi"/>
    <x v="1"/>
    <s v="Jaipur"/>
    <x v="0"/>
    <s v="Tablet"/>
    <s v="Tablet - Technology"/>
    <n v="1576.13"/>
    <n v="1"/>
    <n v="16"/>
    <n v="288.45999999999998"/>
    <x v="0"/>
    <x v="3"/>
    <x v="4"/>
    <x v="0"/>
    <n v="0.18301789826981274"/>
    <s v="Profit"/>
    <s v="Mid (11-20%)"/>
  </r>
  <r>
    <x v="389"/>
    <x v="20"/>
    <s v="Saanvi Iyer"/>
    <x v="1"/>
    <s v="Chandigarh"/>
    <x v="0"/>
    <s v="Mobile"/>
    <s v="Mobile - Technology"/>
    <n v="869.13"/>
    <n v="1"/>
    <n v="3"/>
    <n v="150.25"/>
    <x v="2"/>
    <x v="3"/>
    <x v="0"/>
    <x v="0"/>
    <n v="0.17287402344873609"/>
    <s v="Profit"/>
    <s v="Low (1-10%)"/>
  </r>
  <r>
    <x v="390"/>
    <x v="242"/>
    <s v="Aarav Patel"/>
    <x v="2"/>
    <s v="Hyderabad"/>
    <x v="0"/>
    <s v="Mobile"/>
    <s v="Mobile - Technology"/>
    <n v="8414.4"/>
    <n v="8"/>
    <n v="20"/>
    <n v="430.15"/>
    <x v="0"/>
    <x v="0"/>
    <x v="4"/>
    <x v="0"/>
    <n v="5.1120697851302528E-2"/>
    <s v="Profit"/>
    <s v="Mid (11-20%)"/>
  </r>
  <r>
    <x v="391"/>
    <x v="225"/>
    <s v="Saanvi Iyer"/>
    <x v="0"/>
    <s v="Bhubaneswar"/>
    <x v="1"/>
    <s v="Chair"/>
    <s v="Chair - Furniture"/>
    <n v="5007.7"/>
    <n v="10"/>
    <n v="25"/>
    <n v="498"/>
    <x v="1"/>
    <x v="1"/>
    <x v="3"/>
    <x v="1"/>
    <n v="9.9446851848153842E-2"/>
    <s v="Profit"/>
    <s v="High (&gt;20%)"/>
  </r>
  <r>
    <x v="392"/>
    <x v="130"/>
    <s v="Anaya Singh"/>
    <x v="1"/>
    <s v="Lucknow"/>
    <x v="2"/>
    <s v="Stapler"/>
    <s v="Stapler - Office Supplies"/>
    <n v="3023.52"/>
    <n v="3"/>
    <n v="21"/>
    <n v="140.82"/>
    <x v="1"/>
    <x v="1"/>
    <x v="12"/>
    <x v="1"/>
    <n v="4.6574853151293852E-2"/>
    <s v="Profit"/>
    <s v="High (&gt;20%)"/>
  </r>
  <r>
    <x v="393"/>
    <x v="42"/>
    <s v="Aarav Patel"/>
    <x v="2"/>
    <s v="Bangalore"/>
    <x v="1"/>
    <s v="Chair"/>
    <s v="Chair - Furniture"/>
    <n v="1089.1199999999999"/>
    <n v="6"/>
    <n v="1"/>
    <n v="260.64999999999998"/>
    <x v="2"/>
    <x v="1"/>
    <x v="3"/>
    <x v="1"/>
    <n v="0.23932165417952109"/>
    <s v="Profit"/>
    <s v="Low (1-10%)"/>
  </r>
  <r>
    <x v="394"/>
    <x v="164"/>
    <s v="Vivaan Shah"/>
    <x v="0"/>
    <s v="Kolkata"/>
    <x v="1"/>
    <s v="Table"/>
    <s v="Table - Furniture"/>
    <n v="5421.92"/>
    <n v="7"/>
    <n v="16"/>
    <n v="895.38"/>
    <x v="2"/>
    <x v="2"/>
    <x v="4"/>
    <x v="0"/>
    <n v="0.16514076194410834"/>
    <s v="Profit"/>
    <s v="Mid (11-20%)"/>
  </r>
  <r>
    <x v="395"/>
    <x v="78"/>
    <s v="Riya Kapoor"/>
    <x v="3"/>
    <s v="Pune"/>
    <x v="1"/>
    <s v="Sofa"/>
    <s v="Sofa - Furniture"/>
    <n v="19339.5"/>
    <n v="10"/>
    <n v="6"/>
    <n v="4044.33"/>
    <x v="0"/>
    <x v="0"/>
    <x v="6"/>
    <x v="0"/>
    <n v="0.20912277980299387"/>
    <s v="Profit"/>
    <s v="Low (1-10%)"/>
  </r>
  <r>
    <x v="396"/>
    <x v="25"/>
    <s v="Kriti Desai"/>
    <x v="0"/>
    <s v="Patna"/>
    <x v="1"/>
    <s v="Sofa"/>
    <s v="Sofa - Furniture"/>
    <n v="2727.08"/>
    <n v="4"/>
    <n v="29"/>
    <n v="337.83"/>
    <x v="0"/>
    <x v="1"/>
    <x v="9"/>
    <x v="1"/>
    <n v="0.12387975416929463"/>
    <s v="Profit"/>
    <s v="High (&gt;20%)"/>
  </r>
  <r>
    <x v="397"/>
    <x v="243"/>
    <s v="Anaya Singh"/>
    <x v="2"/>
    <s v="Chennai"/>
    <x v="2"/>
    <s v="Stapler"/>
    <s v="Stapler - Office Supplies"/>
    <n v="2193.7600000000002"/>
    <n v="2"/>
    <n v="9"/>
    <n v="142.44999999999999"/>
    <x v="2"/>
    <x v="3"/>
    <x v="2"/>
    <x v="0"/>
    <n v="6.4934176938224772E-2"/>
    <s v="Profit"/>
    <s v="Low (1-10%)"/>
  </r>
  <r>
    <x v="398"/>
    <x v="244"/>
    <s v="Sneha Reddy"/>
    <x v="1"/>
    <s v="Chandigarh"/>
    <x v="1"/>
    <s v="Table"/>
    <s v="Table - Furniture"/>
    <n v="5009.6000000000004"/>
    <n v="8"/>
    <n v="29"/>
    <n v="515.53"/>
    <x v="2"/>
    <x v="1"/>
    <x v="9"/>
    <x v="1"/>
    <n v="0.10290841584158414"/>
    <s v="Profit"/>
    <s v="High (&gt;20%)"/>
  </r>
  <r>
    <x v="399"/>
    <x v="102"/>
    <s v="Kabir Nair"/>
    <x v="1"/>
    <s v="Delhi"/>
    <x v="0"/>
    <s v="Printer"/>
    <s v="Printer - Technology"/>
    <n v="658.31"/>
    <n v="1"/>
    <n v="1"/>
    <n v="99.43"/>
    <x v="1"/>
    <x v="0"/>
    <x v="2"/>
    <x v="0"/>
    <n v="0.15103826464735462"/>
    <s v="Profit"/>
    <s v="Low (1-10%)"/>
  </r>
  <r>
    <x v="400"/>
    <x v="208"/>
    <s v="Ishaan Mehta"/>
    <x v="3"/>
    <s v="Indore"/>
    <x v="2"/>
    <s v="Envelope"/>
    <s v="Envelope - Office Supplies"/>
    <n v="659.76"/>
    <n v="2"/>
    <n v="8"/>
    <n v="85.88"/>
    <x v="2"/>
    <x v="2"/>
    <x v="4"/>
    <x v="0"/>
    <n v="0.13016854613798956"/>
    <s v="Profit"/>
    <s v="Low (1-10%)"/>
  </r>
  <r>
    <x v="401"/>
    <x v="245"/>
    <s v="Riya Kapoor"/>
    <x v="3"/>
    <s v="Nagpur"/>
    <x v="1"/>
    <s v="Sofa"/>
    <s v="Sofa - Furniture"/>
    <n v="2151.0300000000002"/>
    <n v="7"/>
    <n v="27"/>
    <n v="378.63"/>
    <x v="1"/>
    <x v="1"/>
    <x v="1"/>
    <x v="1"/>
    <n v="0.17602264961437078"/>
    <s v="Profit"/>
    <s v="High (&gt;20%)"/>
  </r>
  <r>
    <x v="402"/>
    <x v="246"/>
    <s v="Vivaan Shah"/>
    <x v="0"/>
    <s v="Patna"/>
    <x v="1"/>
    <s v="Sofa"/>
    <s v="Sofa - Furniture"/>
    <n v="809.87"/>
    <n v="1"/>
    <n v="30"/>
    <n v="70.05"/>
    <x v="1"/>
    <x v="1"/>
    <x v="11"/>
    <x v="1"/>
    <n v="8.6495363453393745E-2"/>
    <s v="Profit"/>
    <s v="High (&gt;20%)"/>
  </r>
  <r>
    <x v="403"/>
    <x v="157"/>
    <s v="Tanishq Ghosh"/>
    <x v="3"/>
    <s v="Mumbai"/>
    <x v="2"/>
    <s v="Envelope"/>
    <s v="Envelope - Office Supplies"/>
    <n v="1478.61"/>
    <n v="3"/>
    <n v="27"/>
    <n v="178.68"/>
    <x v="1"/>
    <x v="3"/>
    <x v="7"/>
    <x v="1"/>
    <n v="0.12084322437965388"/>
    <s v="Profit"/>
    <s v="High (&gt;20%)"/>
  </r>
  <r>
    <x v="404"/>
    <x v="73"/>
    <s v="Saanvi Iyer"/>
    <x v="2"/>
    <s v="Bangalore"/>
    <x v="2"/>
    <s v="Notebook"/>
    <s v="Notebook - Office Supplies"/>
    <n v="1823.5"/>
    <n v="5"/>
    <n v="16"/>
    <n v="347.94"/>
    <x v="1"/>
    <x v="1"/>
    <x v="12"/>
    <x v="1"/>
    <n v="0.1908088840142583"/>
    <s v="Profit"/>
    <s v="Mid (11-20%)"/>
  </r>
  <r>
    <x v="405"/>
    <x v="44"/>
    <s v="Arjun Verma"/>
    <x v="1"/>
    <s v="Jaipur"/>
    <x v="0"/>
    <s v="Mobile"/>
    <s v="Mobile - Technology"/>
    <n v="15487.1"/>
    <n v="10"/>
    <n v="5"/>
    <n v="3530.67"/>
    <x v="2"/>
    <x v="0"/>
    <x v="0"/>
    <x v="0"/>
    <n v="0.22797489523538944"/>
    <s v="Profit"/>
    <s v="Low (1-10%)"/>
  </r>
  <r>
    <x v="406"/>
    <x v="247"/>
    <s v="Diya Sharma"/>
    <x v="0"/>
    <s v="Bhubaneswar"/>
    <x v="0"/>
    <s v="Printer"/>
    <s v="Printer - Technology"/>
    <n v="2943.81"/>
    <n v="3"/>
    <n v="19"/>
    <n v="291.51"/>
    <x v="2"/>
    <x v="1"/>
    <x v="11"/>
    <x v="1"/>
    <n v="9.9024733253844505E-2"/>
    <s v="Profit"/>
    <s v="Mid (11-20%)"/>
  </r>
  <r>
    <x v="407"/>
    <x v="171"/>
    <s v="Sneha Reddy"/>
    <x v="2"/>
    <s v="Bangalore"/>
    <x v="1"/>
    <s v="Sofa"/>
    <s v="Sofa - Furniture"/>
    <n v="884.9"/>
    <n v="2"/>
    <n v="21"/>
    <n v="128.82"/>
    <x v="1"/>
    <x v="3"/>
    <x v="12"/>
    <x v="1"/>
    <n v="0.14557577127359023"/>
    <s v="Profit"/>
    <s v="High (&gt;20%)"/>
  </r>
  <r>
    <x v="408"/>
    <x v="248"/>
    <s v="Vivaan Shah"/>
    <x v="1"/>
    <s v="Lucknow"/>
    <x v="2"/>
    <s v="Notebook"/>
    <s v="Notebook - Office Supplies"/>
    <n v="6923.2"/>
    <n v="8"/>
    <n v="2"/>
    <n v="624.34"/>
    <x v="0"/>
    <x v="3"/>
    <x v="6"/>
    <x v="0"/>
    <n v="9.0180841229489259E-2"/>
    <s v="Profit"/>
    <s v="Low (1-10%)"/>
  </r>
  <r>
    <x v="409"/>
    <x v="249"/>
    <s v="Krishna Das"/>
    <x v="3"/>
    <s v="Mumbai"/>
    <x v="0"/>
    <s v="Tablet"/>
    <s v="Tablet - Technology"/>
    <n v="10001.82"/>
    <n v="6"/>
    <n v="25"/>
    <n v="1262.75"/>
    <x v="2"/>
    <x v="2"/>
    <x v="3"/>
    <x v="1"/>
    <n v="0.12625202213197198"/>
    <s v="Profit"/>
    <s v="High (&gt;20%)"/>
  </r>
  <r>
    <x v="410"/>
    <x v="250"/>
    <s v="Vivaan Shah"/>
    <x v="3"/>
    <s v="Pune"/>
    <x v="0"/>
    <s v="Laptop"/>
    <s v="Laptop - Technology"/>
    <n v="10358.549999999999"/>
    <n v="9"/>
    <n v="5"/>
    <n v="1155.9000000000001"/>
    <x v="0"/>
    <x v="1"/>
    <x v="9"/>
    <x v="1"/>
    <n v="0.11158897722171542"/>
    <s v="Profit"/>
    <s v="Low (1-10%)"/>
  </r>
  <r>
    <x v="411"/>
    <x v="117"/>
    <s v="Diya Sharma"/>
    <x v="2"/>
    <s v="Chennai"/>
    <x v="0"/>
    <s v="Mobile"/>
    <s v="Mobile - Technology"/>
    <n v="7133.31"/>
    <n v="9"/>
    <n v="5"/>
    <n v="461.08"/>
    <x v="2"/>
    <x v="1"/>
    <x v="7"/>
    <x v="1"/>
    <n v="6.4637594608954324E-2"/>
    <s v="Profit"/>
    <s v="Low (1-10%)"/>
  </r>
  <r>
    <x v="412"/>
    <x v="228"/>
    <s v="Krishna Das"/>
    <x v="1"/>
    <s v="Lucknow"/>
    <x v="0"/>
    <s v="Mobile"/>
    <s v="Mobile - Technology"/>
    <n v="402.28"/>
    <n v="1"/>
    <n v="21"/>
    <n v="78.58"/>
    <x v="2"/>
    <x v="1"/>
    <x v="11"/>
    <x v="1"/>
    <n v="0.19533658148553248"/>
    <s v="Profit"/>
    <s v="High (&gt;20%)"/>
  </r>
  <r>
    <x v="413"/>
    <x v="251"/>
    <s v="Saanvi Iyer"/>
    <x v="1"/>
    <s v="Chandigarh"/>
    <x v="1"/>
    <s v="Cupboard"/>
    <s v="Cupboard - Furniture"/>
    <n v="6086.15"/>
    <n v="7"/>
    <n v="6"/>
    <n v="411.71"/>
    <x v="1"/>
    <x v="0"/>
    <x v="4"/>
    <x v="0"/>
    <n v="6.7647034660663963E-2"/>
    <s v="Profit"/>
    <s v="Low (1-10%)"/>
  </r>
  <r>
    <x v="414"/>
    <x v="103"/>
    <s v="Saanvi Iyer"/>
    <x v="3"/>
    <s v="Ahmedabad"/>
    <x v="2"/>
    <s v="Stapler"/>
    <s v="Stapler - Office Supplies"/>
    <n v="4336.4399999999996"/>
    <n v="4"/>
    <n v="2"/>
    <n v="393.77"/>
    <x v="1"/>
    <x v="1"/>
    <x v="4"/>
    <x v="0"/>
    <n v="9.0804899871784236E-2"/>
    <s v="Profit"/>
    <s v="Low (1-10%)"/>
  </r>
  <r>
    <x v="415"/>
    <x v="50"/>
    <s v="Yuvraj Chauhan"/>
    <x v="0"/>
    <s v="Patna"/>
    <x v="1"/>
    <s v="Cupboard"/>
    <s v="Cupboard - Furniture"/>
    <n v="13799.25"/>
    <n v="9"/>
    <n v="9"/>
    <n v="963.98"/>
    <x v="2"/>
    <x v="2"/>
    <x v="7"/>
    <x v="1"/>
    <n v="6.9857419787307279E-2"/>
    <s v="Profit"/>
    <s v="Low (1-10%)"/>
  </r>
  <r>
    <x v="416"/>
    <x v="117"/>
    <s v="Saanvi Iyer"/>
    <x v="1"/>
    <s v="Delhi"/>
    <x v="0"/>
    <s v="Printer"/>
    <s v="Printer - Technology"/>
    <n v="3555.92"/>
    <n v="4"/>
    <n v="28"/>
    <n v="190.25"/>
    <x v="0"/>
    <x v="0"/>
    <x v="7"/>
    <x v="1"/>
    <n v="5.3502328511327586E-2"/>
    <s v="Profit"/>
    <s v="High (&gt;20%)"/>
  </r>
  <r>
    <x v="417"/>
    <x v="248"/>
    <s v="Sneha Reddy"/>
    <x v="3"/>
    <s v="Ahmedabad"/>
    <x v="1"/>
    <s v="Sofa"/>
    <s v="Sofa - Furniture"/>
    <n v="1187.6400000000001"/>
    <n v="3"/>
    <n v="18"/>
    <n v="104.72"/>
    <x v="0"/>
    <x v="1"/>
    <x v="6"/>
    <x v="0"/>
    <n v="8.817486780505876E-2"/>
    <s v="Profit"/>
    <s v="Mid (11-20%)"/>
  </r>
  <r>
    <x v="418"/>
    <x v="244"/>
    <s v="Arjun Verma"/>
    <x v="2"/>
    <s v="Bangalore"/>
    <x v="0"/>
    <s v="Mobile"/>
    <s v="Mobile - Technology"/>
    <n v="1644.98"/>
    <n v="2"/>
    <n v="17"/>
    <n v="73.59"/>
    <x v="2"/>
    <x v="3"/>
    <x v="9"/>
    <x v="1"/>
    <n v="4.4736106214057318E-2"/>
    <s v="Profit"/>
    <s v="Mid (11-20%)"/>
  </r>
  <r>
    <x v="419"/>
    <x v="252"/>
    <s v="Krishna Das"/>
    <x v="2"/>
    <s v="Chennai"/>
    <x v="1"/>
    <s v="Chair"/>
    <s v="Chair - Furniture"/>
    <n v="5907.76"/>
    <n v="8"/>
    <n v="9"/>
    <n v="391.28"/>
    <x v="1"/>
    <x v="0"/>
    <x v="3"/>
    <x v="1"/>
    <n v="6.6231532763687082E-2"/>
    <s v="Profit"/>
    <s v="Low (1-10%)"/>
  </r>
  <r>
    <x v="420"/>
    <x v="8"/>
    <s v="Aarav Patel"/>
    <x v="3"/>
    <s v="Nagpur"/>
    <x v="1"/>
    <s v="Sofa"/>
    <s v="Sofa - Furniture"/>
    <n v="13279.05"/>
    <n v="9"/>
    <n v="19"/>
    <n v="1501.59"/>
    <x v="1"/>
    <x v="0"/>
    <x v="6"/>
    <x v="0"/>
    <n v="0.11307962542501158"/>
    <s v="Profit"/>
    <s v="Mid (11-20%)"/>
  </r>
  <r>
    <x v="421"/>
    <x v="253"/>
    <s v="Krishna Das"/>
    <x v="0"/>
    <s v="Kolkata"/>
    <x v="0"/>
    <s v="Tablet"/>
    <s v="Tablet - Technology"/>
    <n v="799.85"/>
    <n v="5"/>
    <n v="21"/>
    <n v="56.32"/>
    <x v="1"/>
    <x v="2"/>
    <x v="11"/>
    <x v="1"/>
    <n v="7.0413202475464148E-2"/>
    <s v="Profit"/>
    <s v="High (&gt;20%)"/>
  </r>
  <r>
    <x v="422"/>
    <x v="254"/>
    <s v="Krishna Das"/>
    <x v="0"/>
    <s v="Bhubaneswar"/>
    <x v="0"/>
    <s v="Printer"/>
    <s v="Printer - Technology"/>
    <n v="4185.3599999999997"/>
    <n v="9"/>
    <n v="27"/>
    <n v="695.6"/>
    <x v="1"/>
    <x v="3"/>
    <x v="10"/>
    <x v="1"/>
    <n v="0.16619836764340465"/>
    <s v="Profit"/>
    <s v="High (&gt;20%)"/>
  </r>
  <r>
    <x v="423"/>
    <x v="255"/>
    <s v="Ishaan Mehta"/>
    <x v="0"/>
    <s v="Patna"/>
    <x v="1"/>
    <s v="Table"/>
    <s v="Table - Furniture"/>
    <n v="809.01"/>
    <n v="3"/>
    <n v="20"/>
    <n v="107.92"/>
    <x v="1"/>
    <x v="2"/>
    <x v="5"/>
    <x v="1"/>
    <n v="0.13339760942386375"/>
    <s v="Profit"/>
    <s v="Mid (11-20%)"/>
  </r>
  <r>
    <x v="424"/>
    <x v="228"/>
    <s v="Anaya Singh"/>
    <x v="1"/>
    <s v="Chandigarh"/>
    <x v="2"/>
    <s v="Pen"/>
    <s v="Pen - Office Supplies"/>
    <n v="3162.5"/>
    <n v="10"/>
    <n v="9"/>
    <n v="612.22"/>
    <x v="0"/>
    <x v="2"/>
    <x v="11"/>
    <x v="1"/>
    <n v="0.19358735177865613"/>
    <s v="Profit"/>
    <s v="Low (1-10%)"/>
  </r>
  <r>
    <x v="425"/>
    <x v="54"/>
    <s v="Sneha Reddy"/>
    <x v="2"/>
    <s v="Chennai"/>
    <x v="1"/>
    <s v="Cupboard"/>
    <s v="Cupboard - Furniture"/>
    <n v="1839.52"/>
    <n v="8"/>
    <n v="6"/>
    <n v="372.79"/>
    <x v="2"/>
    <x v="3"/>
    <x v="9"/>
    <x v="1"/>
    <n v="0.20265612768548319"/>
    <s v="Profit"/>
    <s v="Low (1-10%)"/>
  </r>
  <r>
    <x v="426"/>
    <x v="205"/>
    <s v="Diya Sharma"/>
    <x v="3"/>
    <s v="Nagpur"/>
    <x v="1"/>
    <s v="Sofa"/>
    <s v="Sofa - Furniture"/>
    <n v="14450.88"/>
    <n v="8"/>
    <n v="23"/>
    <n v="1507.94"/>
    <x v="1"/>
    <x v="3"/>
    <x v="6"/>
    <x v="0"/>
    <n v="0.10434935450297837"/>
    <s v="Profit"/>
    <s v="High (&gt;20%)"/>
  </r>
  <r>
    <x v="427"/>
    <x v="71"/>
    <s v="Diya Sharma"/>
    <x v="3"/>
    <s v="Mumbai"/>
    <x v="2"/>
    <s v="Envelope"/>
    <s v="Envelope - Office Supplies"/>
    <n v="3433.4"/>
    <n v="4"/>
    <n v="27"/>
    <n v="295.5"/>
    <x v="0"/>
    <x v="3"/>
    <x v="6"/>
    <x v="0"/>
    <n v="8.6066289974951943E-2"/>
    <s v="Profit"/>
    <s v="High (&gt;20%)"/>
  </r>
  <r>
    <x v="428"/>
    <x v="39"/>
    <s v="Yuvraj Chauhan"/>
    <x v="2"/>
    <s v="Bangalore"/>
    <x v="0"/>
    <s v="Tablet"/>
    <s v="Tablet - Technology"/>
    <n v="1898.12"/>
    <n v="1"/>
    <n v="26"/>
    <n v="215.71"/>
    <x v="0"/>
    <x v="1"/>
    <x v="9"/>
    <x v="1"/>
    <n v="0.11364402672117675"/>
    <s v="Profit"/>
    <s v="High (&gt;20%)"/>
  </r>
  <r>
    <x v="429"/>
    <x v="1"/>
    <s v="Ishaan Mehta"/>
    <x v="3"/>
    <s v="Ahmedabad"/>
    <x v="2"/>
    <s v="Envelope"/>
    <s v="Envelope - Office Supplies"/>
    <n v="5968.56"/>
    <n v="3"/>
    <n v="10"/>
    <n v="1257.33"/>
    <x v="0"/>
    <x v="1"/>
    <x v="1"/>
    <x v="1"/>
    <n v="0.21065885238650525"/>
    <s v="Profit"/>
    <s v="Low (1-10%)"/>
  </r>
  <r>
    <x v="430"/>
    <x v="256"/>
    <s v="Arjun Verma"/>
    <x v="2"/>
    <s v="Chennai"/>
    <x v="0"/>
    <s v="Laptop"/>
    <s v="Laptop - Technology"/>
    <n v="3195.22"/>
    <n v="7"/>
    <n v="29"/>
    <n v="439.12"/>
    <x v="2"/>
    <x v="3"/>
    <x v="3"/>
    <x v="1"/>
    <n v="0.13743028649044511"/>
    <s v="Profit"/>
    <s v="High (&gt;20%)"/>
  </r>
  <r>
    <x v="431"/>
    <x v="43"/>
    <s v="Kabir Nair"/>
    <x v="3"/>
    <s v="Mumbai"/>
    <x v="0"/>
    <s v="Laptop"/>
    <s v="Laptop - Technology"/>
    <n v="1828.48"/>
    <n v="2"/>
    <n v="15"/>
    <n v="112.01"/>
    <x v="0"/>
    <x v="0"/>
    <x v="9"/>
    <x v="1"/>
    <n v="6.1258531676583829E-2"/>
    <s v="Profit"/>
    <s v="Mid (11-20%)"/>
  </r>
  <r>
    <x v="432"/>
    <x v="172"/>
    <s v="Meera Joshi"/>
    <x v="0"/>
    <s v="Patna"/>
    <x v="0"/>
    <s v="Tablet"/>
    <s v="Tablet - Technology"/>
    <n v="16129"/>
    <n v="10"/>
    <n v="19"/>
    <n v="3056.75"/>
    <x v="2"/>
    <x v="0"/>
    <x v="10"/>
    <x v="1"/>
    <n v="0.18951887903775808"/>
    <s v="Profit"/>
    <s v="Mid (11-20%)"/>
  </r>
  <r>
    <x v="433"/>
    <x v="219"/>
    <s v="Sneha Reddy"/>
    <x v="0"/>
    <s v="Bhubaneswar"/>
    <x v="0"/>
    <s v="Printer"/>
    <s v="Printer - Technology"/>
    <n v="11391.66"/>
    <n v="9"/>
    <n v="26"/>
    <n v="671.2"/>
    <x v="2"/>
    <x v="0"/>
    <x v="4"/>
    <x v="0"/>
    <n v="5.8920297831922659E-2"/>
    <s v="Profit"/>
    <s v="High (&gt;20%)"/>
  </r>
  <r>
    <x v="434"/>
    <x v="195"/>
    <s v="Anaya Singh"/>
    <x v="0"/>
    <s v="Bhubaneswar"/>
    <x v="2"/>
    <s v="Pen"/>
    <s v="Pen - Office Supplies"/>
    <n v="3618.7"/>
    <n v="5"/>
    <n v="16"/>
    <n v="578.73"/>
    <x v="2"/>
    <x v="3"/>
    <x v="4"/>
    <x v="0"/>
    <n v="0.15992759830878495"/>
    <s v="Profit"/>
    <s v="Mid (11-20%)"/>
  </r>
  <r>
    <x v="435"/>
    <x v="125"/>
    <s v="Riya Kapoor"/>
    <x v="3"/>
    <s v="Mumbai"/>
    <x v="1"/>
    <s v="Table"/>
    <s v="Table - Furniture"/>
    <n v="5355.15"/>
    <n v="5"/>
    <n v="14"/>
    <n v="947.2"/>
    <x v="2"/>
    <x v="1"/>
    <x v="12"/>
    <x v="1"/>
    <n v="0.17687646471153937"/>
    <s v="Profit"/>
    <s v="Mid (11-20%)"/>
  </r>
  <r>
    <x v="436"/>
    <x v="197"/>
    <s v="Anaya Singh"/>
    <x v="3"/>
    <s v="Indore"/>
    <x v="1"/>
    <s v="Chair"/>
    <s v="Chair - Furniture"/>
    <n v="3079.56"/>
    <n v="3"/>
    <n v="1"/>
    <n v="437.82"/>
    <x v="2"/>
    <x v="2"/>
    <x v="4"/>
    <x v="0"/>
    <n v="0.14216966060086506"/>
    <s v="Profit"/>
    <s v="Low (1-10%)"/>
  </r>
  <r>
    <x v="437"/>
    <x v="65"/>
    <s v="Aarav Patel"/>
    <x v="1"/>
    <s v="Lucknow"/>
    <x v="2"/>
    <s v="Envelope"/>
    <s v="Envelope - Office Supplies"/>
    <n v="7547.08"/>
    <n v="4"/>
    <n v="30"/>
    <n v="1319.79"/>
    <x v="2"/>
    <x v="0"/>
    <x v="12"/>
    <x v="1"/>
    <n v="0.17487425600364645"/>
    <s v="Profit"/>
    <s v="High (&gt;20%)"/>
  </r>
  <r>
    <x v="438"/>
    <x v="257"/>
    <s v="Diya Sharma"/>
    <x v="2"/>
    <s v="Chennai"/>
    <x v="1"/>
    <s v="Table"/>
    <s v="Table - Furniture"/>
    <n v="15011.52"/>
    <n v="8"/>
    <n v="11"/>
    <n v="905.87"/>
    <x v="1"/>
    <x v="0"/>
    <x v="12"/>
    <x v="1"/>
    <n v="6.0344988382255757E-2"/>
    <s v="Profit"/>
    <s v="Mid (11-20%)"/>
  </r>
  <r>
    <x v="439"/>
    <x v="71"/>
    <s v="Kabir Nair"/>
    <x v="3"/>
    <s v="Pune"/>
    <x v="1"/>
    <s v="Sofa"/>
    <s v="Sofa - Furniture"/>
    <n v="7821.18"/>
    <n v="9"/>
    <n v="11"/>
    <n v="1140.8900000000001"/>
    <x v="2"/>
    <x v="2"/>
    <x v="6"/>
    <x v="0"/>
    <n v="0.14587185053917695"/>
    <s v="Profit"/>
    <s v="Mid (11-20%)"/>
  </r>
  <r>
    <x v="440"/>
    <x v="208"/>
    <s v="Kabir Nair"/>
    <x v="2"/>
    <s v="Bangalore"/>
    <x v="2"/>
    <s v="Pen"/>
    <s v="Pen - Office Supplies"/>
    <n v="9684.2900000000009"/>
    <n v="7"/>
    <n v="13"/>
    <n v="780.24"/>
    <x v="0"/>
    <x v="1"/>
    <x v="4"/>
    <x v="0"/>
    <n v="8.0567599689806882E-2"/>
    <s v="Profit"/>
    <s v="Mid (11-20%)"/>
  </r>
  <r>
    <x v="441"/>
    <x v="97"/>
    <s v="Saanvi Iyer"/>
    <x v="0"/>
    <s v="Bhubaneswar"/>
    <x v="2"/>
    <s v="Envelope"/>
    <s v="Envelope - Office Supplies"/>
    <n v="5386.98"/>
    <n v="3"/>
    <n v="8"/>
    <n v="502.76"/>
    <x v="0"/>
    <x v="3"/>
    <x v="11"/>
    <x v="1"/>
    <n v="9.3328729640726346E-2"/>
    <s v="Profit"/>
    <s v="Low (1-10%)"/>
  </r>
  <r>
    <x v="442"/>
    <x v="65"/>
    <s v="Ishaan Mehta"/>
    <x v="2"/>
    <s v="Chennai"/>
    <x v="2"/>
    <s v="Envelope"/>
    <s v="Envelope - Office Supplies"/>
    <n v="806.29"/>
    <n v="1"/>
    <n v="16"/>
    <n v="53.37"/>
    <x v="0"/>
    <x v="3"/>
    <x v="12"/>
    <x v="1"/>
    <n v="6.619206488980392E-2"/>
    <s v="Profit"/>
    <s v="Mid (11-20%)"/>
  </r>
  <r>
    <x v="443"/>
    <x v="217"/>
    <s v="Tanishq Ghosh"/>
    <x v="1"/>
    <s v="Jaipur"/>
    <x v="1"/>
    <s v="Chair"/>
    <s v="Chair - Furniture"/>
    <n v="1989.9"/>
    <n v="9"/>
    <n v="6"/>
    <n v="261.93"/>
    <x v="0"/>
    <x v="0"/>
    <x v="3"/>
    <x v="1"/>
    <n v="0.13162973013719281"/>
    <s v="Profit"/>
    <s v="Low (1-10%)"/>
  </r>
  <r>
    <x v="444"/>
    <x v="258"/>
    <s v="Saanvi Iyer"/>
    <x v="0"/>
    <s v="Patna"/>
    <x v="2"/>
    <s v="Stapler"/>
    <s v="Stapler - Office Supplies"/>
    <n v="1562.72"/>
    <n v="8"/>
    <n v="22"/>
    <n v="211.59"/>
    <x v="1"/>
    <x v="2"/>
    <x v="4"/>
    <x v="0"/>
    <n v="0.13539853588614723"/>
    <s v="Profit"/>
    <s v="High (&gt;20%)"/>
  </r>
  <r>
    <x v="445"/>
    <x v="259"/>
    <s v="Meera Joshi"/>
    <x v="1"/>
    <s v="Lucknow"/>
    <x v="1"/>
    <s v="Cupboard"/>
    <s v="Cupboard - Furniture"/>
    <n v="7923.72"/>
    <n v="6"/>
    <n v="13"/>
    <n v="458.29"/>
    <x v="1"/>
    <x v="0"/>
    <x v="9"/>
    <x v="1"/>
    <n v="5.7837732782077107E-2"/>
    <s v="Profit"/>
    <s v="Mid (11-20%)"/>
  </r>
  <r>
    <x v="446"/>
    <x v="260"/>
    <s v="Diya Sharma"/>
    <x v="2"/>
    <s v="Hyderabad"/>
    <x v="2"/>
    <s v="Pen"/>
    <s v="Pen - Office Supplies"/>
    <n v="1859.2"/>
    <n v="8"/>
    <n v="3"/>
    <n v="432.33"/>
    <x v="2"/>
    <x v="1"/>
    <x v="5"/>
    <x v="1"/>
    <n v="0.23253549913941479"/>
    <s v="Profit"/>
    <s v="Low (1-10%)"/>
  </r>
  <r>
    <x v="447"/>
    <x v="220"/>
    <s v="Anaya Singh"/>
    <x v="2"/>
    <s v="Chennai"/>
    <x v="1"/>
    <s v="Cupboard"/>
    <s v="Cupboard - Furniture"/>
    <n v="1533.83"/>
    <n v="1"/>
    <n v="17"/>
    <n v="280.70999999999998"/>
    <x v="0"/>
    <x v="1"/>
    <x v="12"/>
    <x v="1"/>
    <n v="0.1830124590078431"/>
    <s v="Profit"/>
    <s v="Mid (11-20%)"/>
  </r>
  <r>
    <x v="448"/>
    <x v="223"/>
    <s v="Arjun Verma"/>
    <x v="1"/>
    <s v="Delhi"/>
    <x v="0"/>
    <s v="Printer"/>
    <s v="Printer - Technology"/>
    <n v="547.46"/>
    <n v="2"/>
    <n v="10"/>
    <n v="107.38"/>
    <x v="0"/>
    <x v="2"/>
    <x v="7"/>
    <x v="1"/>
    <n v="0.19614218390384683"/>
    <s v="Profit"/>
    <s v="Low (1-10%)"/>
  </r>
  <r>
    <x v="449"/>
    <x v="15"/>
    <s v="Anaya Singh"/>
    <x v="2"/>
    <s v="Bangalore"/>
    <x v="1"/>
    <s v="Chair"/>
    <s v="Chair - Furniture"/>
    <n v="6749.25"/>
    <n v="5"/>
    <n v="23"/>
    <n v="824.83"/>
    <x v="0"/>
    <x v="3"/>
    <x v="2"/>
    <x v="0"/>
    <n v="0.12221061599436975"/>
    <s v="Profit"/>
    <s v="High (&gt;20%)"/>
  </r>
  <r>
    <x v="450"/>
    <x v="100"/>
    <s v="Krishna Das"/>
    <x v="3"/>
    <s v="Mumbai"/>
    <x v="1"/>
    <s v="Sofa"/>
    <s v="Sofa - Furniture"/>
    <n v="2614.7199999999998"/>
    <n v="4"/>
    <n v="22"/>
    <n v="410.09"/>
    <x v="0"/>
    <x v="0"/>
    <x v="2"/>
    <x v="0"/>
    <n v="0.156838973197895"/>
    <s v="Profit"/>
    <s v="High (&gt;20%)"/>
  </r>
  <r>
    <x v="451"/>
    <x v="261"/>
    <s v="Yuvraj Chauhan"/>
    <x v="1"/>
    <s v="Jaipur"/>
    <x v="1"/>
    <s v="Sofa"/>
    <s v="Sofa - Furniture"/>
    <n v="6753.56"/>
    <n v="4"/>
    <n v="20"/>
    <n v="472.39"/>
    <x v="1"/>
    <x v="0"/>
    <x v="4"/>
    <x v="0"/>
    <n v="6.9946813236278341E-2"/>
    <s v="Profit"/>
    <s v="Mid (11-20%)"/>
  </r>
  <r>
    <x v="452"/>
    <x v="262"/>
    <s v="Ishaan Mehta"/>
    <x v="1"/>
    <s v="Jaipur"/>
    <x v="0"/>
    <s v="Mobile"/>
    <s v="Mobile - Technology"/>
    <n v="6772.96"/>
    <n v="4"/>
    <n v="16"/>
    <n v="798.98"/>
    <x v="1"/>
    <x v="2"/>
    <x v="11"/>
    <x v="1"/>
    <n v="0.11796614774042664"/>
    <s v="Profit"/>
    <s v="Mid (11-20%)"/>
  </r>
  <r>
    <x v="453"/>
    <x v="191"/>
    <s v="Sneha Reddy"/>
    <x v="2"/>
    <s v="Chennai"/>
    <x v="1"/>
    <s v="Sofa"/>
    <s v="Sofa - Furniture"/>
    <n v="10265.58"/>
    <n v="6"/>
    <n v="29"/>
    <n v="798.1"/>
    <x v="1"/>
    <x v="3"/>
    <x v="5"/>
    <x v="1"/>
    <n v="7.7745241866509246E-2"/>
    <s v="Profit"/>
    <s v="High (&gt;20%)"/>
  </r>
  <r>
    <x v="454"/>
    <x v="78"/>
    <s v="Krishna Das"/>
    <x v="0"/>
    <s v="Patna"/>
    <x v="1"/>
    <s v="Table"/>
    <s v="Table - Furniture"/>
    <n v="11289.6"/>
    <n v="7"/>
    <n v="10"/>
    <n v="2079.86"/>
    <x v="1"/>
    <x v="1"/>
    <x v="6"/>
    <x v="0"/>
    <n v="0.1842279620181406"/>
    <s v="Profit"/>
    <s v="Low (1-10%)"/>
  </r>
  <r>
    <x v="455"/>
    <x v="185"/>
    <s v="Kabir Nair"/>
    <x v="1"/>
    <s v="Chandigarh"/>
    <x v="0"/>
    <s v="Mobile"/>
    <s v="Mobile - Technology"/>
    <n v="3249.63"/>
    <n v="3"/>
    <n v="6"/>
    <n v="499.06"/>
    <x v="2"/>
    <x v="0"/>
    <x v="8"/>
    <x v="0"/>
    <n v="0.15357440693248153"/>
    <s v="Profit"/>
    <s v="Low (1-10%)"/>
  </r>
  <r>
    <x v="456"/>
    <x v="187"/>
    <s v="Ishaan Mehta"/>
    <x v="2"/>
    <s v="Bangalore"/>
    <x v="0"/>
    <s v="Tablet"/>
    <s v="Tablet - Technology"/>
    <n v="1781.29"/>
    <n v="1"/>
    <n v="15"/>
    <n v="185.71"/>
    <x v="0"/>
    <x v="2"/>
    <x v="5"/>
    <x v="1"/>
    <n v="0.10425590442881283"/>
    <s v="Profit"/>
    <s v="Mid (11-20%)"/>
  </r>
  <r>
    <x v="457"/>
    <x v="263"/>
    <s v="Meera Joshi"/>
    <x v="0"/>
    <s v="Bhubaneswar"/>
    <x v="1"/>
    <s v="Sofa"/>
    <s v="Sofa - Furniture"/>
    <n v="6193.14"/>
    <n v="6"/>
    <n v="13"/>
    <n v="809.53"/>
    <x v="0"/>
    <x v="0"/>
    <x v="10"/>
    <x v="1"/>
    <n v="0.13071398353662278"/>
    <s v="Profit"/>
    <s v="Mid (11-20%)"/>
  </r>
  <r>
    <x v="458"/>
    <x v="264"/>
    <s v="Saanvi Iyer"/>
    <x v="1"/>
    <s v="Jaipur"/>
    <x v="1"/>
    <s v="Sofa"/>
    <s v="Sofa - Furniture"/>
    <n v="2979.78"/>
    <n v="3"/>
    <n v="2"/>
    <n v="632.73"/>
    <x v="1"/>
    <x v="2"/>
    <x v="7"/>
    <x v="1"/>
    <n v="0.21234117955016812"/>
    <s v="Profit"/>
    <s v="Low (1-10%)"/>
  </r>
  <r>
    <x v="459"/>
    <x v="265"/>
    <s v="Meera Joshi"/>
    <x v="3"/>
    <s v="Mumbai"/>
    <x v="2"/>
    <s v="Envelope"/>
    <s v="Envelope - Office Supplies"/>
    <n v="1562.9"/>
    <n v="1"/>
    <n v="11"/>
    <n v="226.19"/>
    <x v="0"/>
    <x v="2"/>
    <x v="12"/>
    <x v="1"/>
    <n v="0.14472455051506813"/>
    <s v="Profit"/>
    <s v="Mid (11-20%)"/>
  </r>
  <r>
    <x v="460"/>
    <x v="219"/>
    <s v="Saanvi Iyer"/>
    <x v="3"/>
    <s v="Indore"/>
    <x v="0"/>
    <s v="Tablet"/>
    <s v="Tablet - Technology"/>
    <n v="11724.48"/>
    <n v="8"/>
    <n v="21"/>
    <n v="824.02"/>
    <x v="2"/>
    <x v="1"/>
    <x v="4"/>
    <x v="0"/>
    <n v="7.0282008242583044E-2"/>
    <s v="Profit"/>
    <s v="High (&gt;20%)"/>
  </r>
  <r>
    <x v="461"/>
    <x v="41"/>
    <s v="Riya Kapoor"/>
    <x v="3"/>
    <s v="Nagpur"/>
    <x v="1"/>
    <s v="Chair"/>
    <s v="Chair - Furniture"/>
    <n v="6873.28"/>
    <n v="8"/>
    <n v="5"/>
    <n v="942.15"/>
    <x v="0"/>
    <x v="2"/>
    <x v="4"/>
    <x v="0"/>
    <n v="0.1370742934959728"/>
    <s v="Profit"/>
    <s v="Low (1-10%)"/>
  </r>
  <r>
    <x v="462"/>
    <x v="266"/>
    <s v="Meera Joshi"/>
    <x v="1"/>
    <s v="Lucknow"/>
    <x v="2"/>
    <s v="Stapler"/>
    <s v="Stapler - Office Supplies"/>
    <n v="19101.599999999999"/>
    <n v="10"/>
    <n v="15"/>
    <n v="3452.88"/>
    <x v="2"/>
    <x v="1"/>
    <x v="3"/>
    <x v="1"/>
    <n v="0.18076391506470665"/>
    <s v="Profit"/>
    <s v="Mid (11-20%)"/>
  </r>
  <r>
    <x v="463"/>
    <x v="64"/>
    <s v="Kabir Nair"/>
    <x v="2"/>
    <s v="Hyderabad"/>
    <x v="1"/>
    <s v="Sofa"/>
    <s v="Sofa - Furniture"/>
    <n v="1723.88"/>
    <n v="1"/>
    <n v="12"/>
    <n v="216.23"/>
    <x v="1"/>
    <x v="3"/>
    <x v="2"/>
    <x v="0"/>
    <n v="0.12543216465183191"/>
    <s v="Profit"/>
    <s v="Mid (11-20%)"/>
  </r>
  <r>
    <x v="464"/>
    <x v="72"/>
    <s v="Meera Joshi"/>
    <x v="1"/>
    <s v="Jaipur"/>
    <x v="0"/>
    <s v="Laptop"/>
    <s v="Laptop - Technology"/>
    <n v="4581"/>
    <n v="10"/>
    <n v="28"/>
    <n v="287.27"/>
    <x v="0"/>
    <x v="1"/>
    <x v="4"/>
    <x v="0"/>
    <n v="6.2709015498799384E-2"/>
    <s v="Profit"/>
    <s v="High (&gt;20%)"/>
  </r>
  <r>
    <x v="465"/>
    <x v="267"/>
    <s v="Aarav Patel"/>
    <x v="0"/>
    <s v="Bhubaneswar"/>
    <x v="2"/>
    <s v="Notebook"/>
    <s v="Notebook - Office Supplies"/>
    <n v="3902.22"/>
    <n v="6"/>
    <n v="3"/>
    <n v="863.68"/>
    <x v="0"/>
    <x v="0"/>
    <x v="7"/>
    <x v="1"/>
    <n v="0.22133042216994428"/>
    <s v="Profit"/>
    <s v="Low (1-10%)"/>
  </r>
  <r>
    <x v="466"/>
    <x v="135"/>
    <s v="Meera Joshi"/>
    <x v="1"/>
    <s v="Chandigarh"/>
    <x v="1"/>
    <s v="Chair"/>
    <s v="Chair - Furniture"/>
    <n v="1888.88"/>
    <n v="7"/>
    <n v="0"/>
    <n v="304.52"/>
    <x v="1"/>
    <x v="3"/>
    <x v="0"/>
    <x v="0"/>
    <n v="0.16121722925754942"/>
    <s v="Profit"/>
    <s v="No Discount"/>
  </r>
  <r>
    <x v="467"/>
    <x v="154"/>
    <s v="Kriti Desai"/>
    <x v="0"/>
    <s v="Patna"/>
    <x v="0"/>
    <s v="Laptop"/>
    <s v="Laptop - Technology"/>
    <n v="1120.5899999999999"/>
    <n v="9"/>
    <n v="16"/>
    <n v="102.41"/>
    <x v="1"/>
    <x v="0"/>
    <x v="4"/>
    <x v="0"/>
    <n v="9.1389357392088102E-2"/>
    <s v="Profit"/>
    <s v="Mid (11-20%)"/>
  </r>
  <r>
    <x v="468"/>
    <x v="61"/>
    <s v="Riya Kapoor"/>
    <x v="2"/>
    <s v="Hyderabad"/>
    <x v="1"/>
    <s v="Sofa"/>
    <s v="Sofa - Furniture"/>
    <n v="3132.08"/>
    <n v="7"/>
    <n v="7.0000000000000009"/>
    <n v="669.01"/>
    <x v="2"/>
    <x v="3"/>
    <x v="12"/>
    <x v="1"/>
    <n v="0.21359926949503205"/>
    <s v="Profit"/>
    <s v="Low (1-10%)"/>
  </r>
  <r>
    <x v="469"/>
    <x v="268"/>
    <s v="Saanvi Iyer"/>
    <x v="2"/>
    <s v="Chennai"/>
    <x v="0"/>
    <s v="Tablet"/>
    <s v="Tablet - Technology"/>
    <n v="2402.8000000000002"/>
    <n v="10"/>
    <n v="19"/>
    <n v="191.63"/>
    <x v="1"/>
    <x v="1"/>
    <x v="1"/>
    <x v="1"/>
    <n v="7.9752788413517559E-2"/>
    <s v="Profit"/>
    <s v="Mid (11-20%)"/>
  </r>
  <r>
    <x v="470"/>
    <x v="195"/>
    <s v="Tanishq Ghosh"/>
    <x v="3"/>
    <s v="Ahmedabad"/>
    <x v="2"/>
    <s v="Notebook"/>
    <s v="Notebook - Office Supplies"/>
    <n v="2426.02"/>
    <n v="2"/>
    <n v="27"/>
    <n v="267.33"/>
    <x v="2"/>
    <x v="0"/>
    <x v="4"/>
    <x v="0"/>
    <n v="0.11019282611025465"/>
    <s v="Profit"/>
    <s v="High (&gt;20%)"/>
  </r>
  <r>
    <x v="471"/>
    <x v="203"/>
    <s v="Sneha Reddy"/>
    <x v="2"/>
    <s v="Bangalore"/>
    <x v="0"/>
    <s v="Printer"/>
    <s v="Printer - Technology"/>
    <n v="2629.72"/>
    <n v="2"/>
    <n v="29"/>
    <n v="430.2"/>
    <x v="1"/>
    <x v="2"/>
    <x v="2"/>
    <x v="0"/>
    <n v="0.16359156107874603"/>
    <s v="Profit"/>
    <s v="High (&gt;20%)"/>
  </r>
  <r>
    <x v="472"/>
    <x v="139"/>
    <s v="Yuvraj Chauhan"/>
    <x v="1"/>
    <s v="Jaipur"/>
    <x v="1"/>
    <s v="Table"/>
    <s v="Table - Furniture"/>
    <n v="3678.78"/>
    <n v="7"/>
    <n v="28"/>
    <n v="625.54999999999995"/>
    <x v="1"/>
    <x v="1"/>
    <x v="3"/>
    <x v="1"/>
    <n v="0.1700427859235942"/>
    <s v="Profit"/>
    <s v="High (&gt;20%)"/>
  </r>
  <r>
    <x v="473"/>
    <x v="252"/>
    <s v="Aarav Patel"/>
    <x v="0"/>
    <s v="Bhubaneswar"/>
    <x v="2"/>
    <s v="Stapler"/>
    <s v="Stapler - Office Supplies"/>
    <n v="6706"/>
    <n v="7"/>
    <n v="16"/>
    <n v="1322.59"/>
    <x v="1"/>
    <x v="0"/>
    <x v="3"/>
    <x v="1"/>
    <n v="0.19722487324783775"/>
    <s v="Profit"/>
    <s v="Mid (11-20%)"/>
  </r>
  <r>
    <x v="474"/>
    <x v="78"/>
    <s v="Meera Joshi"/>
    <x v="2"/>
    <s v="Bangalore"/>
    <x v="1"/>
    <s v="Cupboard"/>
    <s v="Cupboard - Furniture"/>
    <n v="11771.37"/>
    <n v="9"/>
    <n v="8"/>
    <n v="554.23"/>
    <x v="0"/>
    <x v="2"/>
    <x v="6"/>
    <x v="0"/>
    <n v="4.7082879902679127E-2"/>
    <s v="Profit"/>
    <s v="Low (1-10%)"/>
  </r>
  <r>
    <x v="475"/>
    <x v="75"/>
    <s v="Arjun Verma"/>
    <x v="2"/>
    <s v="Bangalore"/>
    <x v="0"/>
    <s v="Printer"/>
    <s v="Printer - Technology"/>
    <n v="12484.64"/>
    <n v="8"/>
    <n v="23"/>
    <n v="1533.35"/>
    <x v="2"/>
    <x v="3"/>
    <x v="11"/>
    <x v="1"/>
    <n v="0.1228189198887593"/>
    <s v="Profit"/>
    <s v="High (&gt;20%)"/>
  </r>
  <r>
    <x v="476"/>
    <x v="244"/>
    <s v="Aarav Patel"/>
    <x v="3"/>
    <s v="Ahmedabad"/>
    <x v="1"/>
    <s v="Table"/>
    <s v="Table - Furniture"/>
    <n v="11969.04"/>
    <n v="8"/>
    <n v="21"/>
    <n v="1715.91"/>
    <x v="0"/>
    <x v="1"/>
    <x v="9"/>
    <x v="1"/>
    <n v="0.14336237492731246"/>
    <s v="Profit"/>
    <s v="High (&gt;20%)"/>
  </r>
  <r>
    <x v="477"/>
    <x v="68"/>
    <s v="Vivaan Shah"/>
    <x v="3"/>
    <s v="Ahmedabad"/>
    <x v="1"/>
    <s v="Table"/>
    <s v="Table - Furniture"/>
    <n v="15043.5"/>
    <n v="9"/>
    <n v="26"/>
    <n v="1197.47"/>
    <x v="0"/>
    <x v="1"/>
    <x v="5"/>
    <x v="1"/>
    <n v="7.96004919068036E-2"/>
    <s v="Profit"/>
    <s v="High (&gt;20%)"/>
  </r>
  <r>
    <x v="478"/>
    <x v="42"/>
    <s v="Anaya Singh"/>
    <x v="1"/>
    <s v="Delhi"/>
    <x v="2"/>
    <s v="Notebook"/>
    <s v="Notebook - Office Supplies"/>
    <n v="1383.89"/>
    <n v="1"/>
    <n v="29"/>
    <n v="200.29"/>
    <x v="2"/>
    <x v="3"/>
    <x v="3"/>
    <x v="1"/>
    <n v="0.14472971117646632"/>
    <s v="Profit"/>
    <s v="High (&gt;20%)"/>
  </r>
  <r>
    <x v="479"/>
    <x v="161"/>
    <s v="Anaya Singh"/>
    <x v="1"/>
    <s v="Jaipur"/>
    <x v="1"/>
    <s v="Chair"/>
    <s v="Chair - Furniture"/>
    <n v="3145.7"/>
    <n v="2"/>
    <n v="27"/>
    <n v="420.84"/>
    <x v="1"/>
    <x v="0"/>
    <x v="5"/>
    <x v="1"/>
    <n v="0.1337826238992911"/>
    <s v="Profit"/>
    <s v="High (&gt;20%)"/>
  </r>
  <r>
    <x v="480"/>
    <x v="269"/>
    <s v="Saanvi Iyer"/>
    <x v="3"/>
    <s v="Ahmedabad"/>
    <x v="2"/>
    <s v="Pen"/>
    <s v="Pen - Office Supplies"/>
    <n v="9973.44"/>
    <n v="9"/>
    <n v="3"/>
    <n v="1481.17"/>
    <x v="2"/>
    <x v="1"/>
    <x v="4"/>
    <x v="0"/>
    <n v="0.14851144640164277"/>
    <s v="Profit"/>
    <s v="Low (1-10%)"/>
  </r>
  <r>
    <x v="481"/>
    <x v="249"/>
    <s v="Kriti Desai"/>
    <x v="1"/>
    <s v="Delhi"/>
    <x v="1"/>
    <s v="Cupboard"/>
    <s v="Cupboard - Furniture"/>
    <n v="761.84"/>
    <n v="1"/>
    <n v="3"/>
    <n v="166.02"/>
    <x v="1"/>
    <x v="0"/>
    <x v="3"/>
    <x v="1"/>
    <n v="0.21791977318072037"/>
    <s v="Profit"/>
    <s v="Low (1-10%)"/>
  </r>
  <r>
    <x v="482"/>
    <x v="91"/>
    <s v="Yuvraj Chauhan"/>
    <x v="2"/>
    <s v="Chennai"/>
    <x v="1"/>
    <s v="Table"/>
    <s v="Table - Furniture"/>
    <n v="8936.15"/>
    <n v="5"/>
    <n v="18"/>
    <n v="1054.9100000000001"/>
    <x v="0"/>
    <x v="3"/>
    <x v="1"/>
    <x v="1"/>
    <n v="0.11804971939817484"/>
    <s v="Profit"/>
    <s v="Mid (11-20%)"/>
  </r>
  <r>
    <x v="483"/>
    <x v="126"/>
    <s v="Saanvi Iyer"/>
    <x v="3"/>
    <s v="Indore"/>
    <x v="0"/>
    <s v="Laptop"/>
    <s v="Laptop - Technology"/>
    <n v="2313.46"/>
    <n v="2"/>
    <n v="11"/>
    <n v="222.39"/>
    <x v="1"/>
    <x v="2"/>
    <x v="11"/>
    <x v="1"/>
    <n v="9.6128742230252515E-2"/>
    <s v="Profit"/>
    <s v="Mid (11-20%)"/>
  </r>
  <r>
    <x v="484"/>
    <x v="156"/>
    <s v="Krishna Das"/>
    <x v="3"/>
    <s v="Pune"/>
    <x v="1"/>
    <s v="Table"/>
    <s v="Table - Furniture"/>
    <n v="1281.55"/>
    <n v="5"/>
    <n v="10"/>
    <n v="222.4"/>
    <x v="0"/>
    <x v="0"/>
    <x v="1"/>
    <x v="1"/>
    <n v="0.17353985408294645"/>
    <s v="Profit"/>
    <s v="Low (1-10%)"/>
  </r>
  <r>
    <x v="485"/>
    <x v="36"/>
    <s v="Aarav Patel"/>
    <x v="2"/>
    <s v="Bangalore"/>
    <x v="0"/>
    <s v="Mobile"/>
    <s v="Mobile - Technology"/>
    <n v="530.74"/>
    <n v="2"/>
    <n v="26"/>
    <n v="28.29"/>
    <x v="2"/>
    <x v="0"/>
    <x v="1"/>
    <x v="1"/>
    <n v="5.3302935523985379E-2"/>
    <s v="Profit"/>
    <s v="High (&gt;20%)"/>
  </r>
  <r>
    <x v="486"/>
    <x v="270"/>
    <s v="Tanishq Ghosh"/>
    <x v="3"/>
    <s v="Pune"/>
    <x v="0"/>
    <s v="Printer"/>
    <s v="Printer - Technology"/>
    <n v="491.79"/>
    <n v="3"/>
    <n v="26"/>
    <n v="87.76"/>
    <x v="0"/>
    <x v="3"/>
    <x v="6"/>
    <x v="0"/>
    <n v="0.17845015148742349"/>
    <s v="Profit"/>
    <s v="High (&gt;20%)"/>
  </r>
  <r>
    <x v="487"/>
    <x v="271"/>
    <s v="Aarav Patel"/>
    <x v="3"/>
    <s v="Pune"/>
    <x v="1"/>
    <s v="Sofa"/>
    <s v="Sofa - Furniture"/>
    <n v="3736.05"/>
    <n v="3"/>
    <n v="18"/>
    <n v="717.16"/>
    <x v="1"/>
    <x v="3"/>
    <x v="1"/>
    <x v="1"/>
    <n v="0.19195674576089719"/>
    <s v="Profit"/>
    <s v="Mid (11-20%)"/>
  </r>
  <r>
    <x v="488"/>
    <x v="195"/>
    <s v="Kriti Desai"/>
    <x v="2"/>
    <s v="Chennai"/>
    <x v="2"/>
    <s v="Envelope"/>
    <s v="Envelope - Office Supplies"/>
    <n v="7353.8"/>
    <n v="10"/>
    <n v="3"/>
    <n v="455.34"/>
    <x v="0"/>
    <x v="0"/>
    <x v="4"/>
    <x v="0"/>
    <n v="6.1919007859881962E-2"/>
    <s v="Profit"/>
    <s v="Low (1-10%)"/>
  </r>
  <r>
    <x v="489"/>
    <x v="89"/>
    <s v="Krishna Das"/>
    <x v="2"/>
    <s v="Bangalore"/>
    <x v="1"/>
    <s v="Cupboard"/>
    <s v="Cupboard - Furniture"/>
    <n v="1414.56"/>
    <n v="4"/>
    <n v="16"/>
    <n v="234.02"/>
    <x v="0"/>
    <x v="3"/>
    <x v="10"/>
    <x v="1"/>
    <n v="0.16543660219432194"/>
    <s v="Profit"/>
    <s v="Mid (11-20%)"/>
  </r>
  <r>
    <x v="490"/>
    <x v="116"/>
    <s v="Kriti Desai"/>
    <x v="1"/>
    <s v="Jaipur"/>
    <x v="2"/>
    <s v="Stapler"/>
    <s v="Stapler - Office Supplies"/>
    <n v="9984.33"/>
    <n v="9"/>
    <n v="21"/>
    <n v="898.2"/>
    <x v="1"/>
    <x v="3"/>
    <x v="11"/>
    <x v="1"/>
    <n v="8.9960968838169411E-2"/>
    <s v="Profit"/>
    <s v="High (&gt;20%)"/>
  </r>
  <r>
    <x v="491"/>
    <x v="234"/>
    <s v="Tanishq Ghosh"/>
    <x v="2"/>
    <s v="Hyderabad"/>
    <x v="2"/>
    <s v="Stapler"/>
    <s v="Stapler - Office Supplies"/>
    <n v="2103.2600000000002"/>
    <n v="2"/>
    <n v="25"/>
    <n v="99.21"/>
    <x v="1"/>
    <x v="2"/>
    <x v="5"/>
    <x v="1"/>
    <n v="4.716963190475737E-2"/>
    <s v="Profit"/>
    <s v="High (&gt;20%)"/>
  </r>
  <r>
    <x v="492"/>
    <x v="272"/>
    <s v="Vivaan Shah"/>
    <x v="0"/>
    <s v="Patna"/>
    <x v="0"/>
    <s v="Mobile"/>
    <s v="Mobile - Technology"/>
    <n v="7538.86"/>
    <n v="7"/>
    <n v="13"/>
    <n v="716.85"/>
    <x v="2"/>
    <x v="2"/>
    <x v="9"/>
    <x v="1"/>
    <n v="9.508732089467109E-2"/>
    <s v="Profit"/>
    <s v="Mid (11-20%)"/>
  </r>
  <r>
    <x v="493"/>
    <x v="59"/>
    <s v="Riya Kapoor"/>
    <x v="2"/>
    <s v="Bangalore"/>
    <x v="0"/>
    <s v="Mobile"/>
    <s v="Mobile - Technology"/>
    <n v="2970.4"/>
    <n v="4"/>
    <n v="6"/>
    <n v="386.71"/>
    <x v="1"/>
    <x v="1"/>
    <x v="9"/>
    <x v="1"/>
    <n v="0.13018785348774575"/>
    <s v="Profit"/>
    <s v="Low (1-10%)"/>
  </r>
  <r>
    <x v="494"/>
    <x v="273"/>
    <s v="Kabir Nair"/>
    <x v="3"/>
    <s v="Ahmedabad"/>
    <x v="0"/>
    <s v="Laptop"/>
    <s v="Laptop - Technology"/>
    <n v="5463.93"/>
    <n v="3"/>
    <n v="7.0000000000000009"/>
    <n v="754.17"/>
    <x v="0"/>
    <x v="3"/>
    <x v="3"/>
    <x v="1"/>
    <n v="0.13802702450434026"/>
    <s v="Profit"/>
    <s v="Low (1-10%)"/>
  </r>
  <r>
    <x v="495"/>
    <x v="4"/>
    <s v="Meera Joshi"/>
    <x v="1"/>
    <s v="Chandigarh"/>
    <x v="2"/>
    <s v="Pen"/>
    <s v="Pen - Office Supplies"/>
    <n v="14389.68"/>
    <n v="8"/>
    <n v="20"/>
    <n v="2077"/>
    <x v="1"/>
    <x v="1"/>
    <x v="3"/>
    <x v="1"/>
    <n v="0.14433955445847302"/>
    <s v="Profit"/>
    <s v="Mid (11-20%)"/>
  </r>
  <r>
    <x v="496"/>
    <x v="274"/>
    <s v="Krishna Das"/>
    <x v="1"/>
    <s v="Jaipur"/>
    <x v="2"/>
    <s v="Stapler"/>
    <s v="Stapler - Office Supplies"/>
    <n v="4511.71"/>
    <n v="7"/>
    <n v="16"/>
    <n v="356.29"/>
    <x v="0"/>
    <x v="3"/>
    <x v="6"/>
    <x v="0"/>
    <n v="7.8970057915956487E-2"/>
    <s v="Profit"/>
    <s v="Mid (11-20%)"/>
  </r>
  <r>
    <x v="497"/>
    <x v="59"/>
    <s v="Krishna Das"/>
    <x v="3"/>
    <s v="Ahmedabad"/>
    <x v="0"/>
    <s v="Laptop"/>
    <s v="Laptop - Technology"/>
    <n v="1581.54"/>
    <n v="6"/>
    <n v="27"/>
    <n v="158.66"/>
    <x v="2"/>
    <x v="3"/>
    <x v="9"/>
    <x v="1"/>
    <n v="0.10031994132301428"/>
    <s v="Profit"/>
    <s v="High (&gt;20%)"/>
  </r>
  <r>
    <x v="498"/>
    <x v="15"/>
    <s v="Tanishq Ghosh"/>
    <x v="1"/>
    <s v="Chandigarh"/>
    <x v="0"/>
    <s v="Printer"/>
    <s v="Printer - Technology"/>
    <n v="4494.21"/>
    <n v="3"/>
    <n v="26"/>
    <n v="653.80999999999995"/>
    <x v="2"/>
    <x v="1"/>
    <x v="2"/>
    <x v="0"/>
    <n v="0.14547829318167152"/>
    <s v="Profit"/>
    <s v="High (&gt;20%)"/>
  </r>
  <r>
    <x v="499"/>
    <x v="32"/>
    <s v="Meera Joshi"/>
    <x v="2"/>
    <s v="Bangalore"/>
    <x v="0"/>
    <s v="Mobile"/>
    <s v="Mobile - Technology"/>
    <n v="6534.72"/>
    <n v="8"/>
    <n v="1"/>
    <n v="1102.28"/>
    <x v="1"/>
    <x v="2"/>
    <x v="1"/>
    <x v="1"/>
    <n v="0.16868052494980657"/>
    <s v="Profit"/>
    <s v="Low (1-10%)"/>
  </r>
  <r>
    <x v="500"/>
    <x v="59"/>
    <s v="Diya Sharma"/>
    <x v="3"/>
    <s v="Ahmedabad"/>
    <x v="1"/>
    <s v="Sofa"/>
    <s v="Sofa - Furniture"/>
    <n v="6106.1"/>
    <n v="7"/>
    <n v="14"/>
    <n v="1300.79"/>
    <x v="0"/>
    <x v="0"/>
    <x v="9"/>
    <x v="1"/>
    <n v="0.21303123106401792"/>
    <s v="Profit"/>
    <s v="Mid (11-20%)"/>
  </r>
  <r>
    <x v="501"/>
    <x v="105"/>
    <s v="Ishaan Mehta"/>
    <x v="1"/>
    <s v="Lucknow"/>
    <x v="0"/>
    <s v="Tablet"/>
    <s v="Tablet - Technology"/>
    <n v="2830.18"/>
    <n v="2"/>
    <n v="10"/>
    <n v="175.67"/>
    <x v="2"/>
    <x v="1"/>
    <x v="11"/>
    <x v="1"/>
    <n v="6.2070257015454849E-2"/>
    <s v="Profit"/>
    <s v="Low (1-10%)"/>
  </r>
  <r>
    <x v="502"/>
    <x v="236"/>
    <s v="Kabir Nair"/>
    <x v="2"/>
    <s v="Bangalore"/>
    <x v="0"/>
    <s v="Mobile"/>
    <s v="Mobile - Technology"/>
    <n v="437.66"/>
    <n v="1"/>
    <n v="19"/>
    <n v="67.23"/>
    <x v="1"/>
    <x v="2"/>
    <x v="9"/>
    <x v="1"/>
    <n v="0.15361239318192205"/>
    <s v="Profit"/>
    <s v="Mid (11-20%)"/>
  </r>
  <r>
    <x v="503"/>
    <x v="52"/>
    <s v="Vivaan Shah"/>
    <x v="0"/>
    <s v="Patna"/>
    <x v="2"/>
    <s v="Envelope"/>
    <s v="Envelope - Office Supplies"/>
    <n v="749.52"/>
    <n v="3"/>
    <n v="29"/>
    <n v="74.08"/>
    <x v="2"/>
    <x v="2"/>
    <x v="0"/>
    <x v="0"/>
    <n v="9.8836588750133417E-2"/>
    <s v="Profit"/>
    <s v="High (&gt;20%)"/>
  </r>
  <r>
    <x v="504"/>
    <x v="219"/>
    <s v="Saanvi Iyer"/>
    <x v="1"/>
    <s v="Chandigarh"/>
    <x v="0"/>
    <s v="Tablet"/>
    <s v="Tablet - Technology"/>
    <n v="8828"/>
    <n v="10"/>
    <n v="13"/>
    <n v="497.23"/>
    <x v="0"/>
    <x v="1"/>
    <x v="4"/>
    <x v="0"/>
    <n v="5.6324195740824652E-2"/>
    <s v="Profit"/>
    <s v="Mid (11-20%)"/>
  </r>
  <r>
    <x v="505"/>
    <x v="117"/>
    <s v="Aarav Patel"/>
    <x v="0"/>
    <s v="Bhubaneswar"/>
    <x v="0"/>
    <s v="Printer"/>
    <s v="Printer - Technology"/>
    <n v="14981.92"/>
    <n v="8"/>
    <n v="7.0000000000000009"/>
    <n v="2340.39"/>
    <x v="0"/>
    <x v="0"/>
    <x v="7"/>
    <x v="1"/>
    <n v="0.15621429029123102"/>
    <s v="Profit"/>
    <s v="Low (1-10%)"/>
  </r>
  <r>
    <x v="506"/>
    <x v="115"/>
    <s v="Arjun Verma"/>
    <x v="1"/>
    <s v="Delhi"/>
    <x v="2"/>
    <s v="Envelope"/>
    <s v="Envelope - Office Supplies"/>
    <n v="11329.52"/>
    <n v="8"/>
    <n v="5"/>
    <n v="2116.16"/>
    <x v="1"/>
    <x v="0"/>
    <x v="9"/>
    <x v="1"/>
    <n v="0.18678284693438024"/>
    <s v="Profit"/>
    <s v="Low (1-10%)"/>
  </r>
  <r>
    <x v="507"/>
    <x v="275"/>
    <s v="Ishaan Mehta"/>
    <x v="2"/>
    <s v="Hyderabad"/>
    <x v="0"/>
    <s v="Laptop"/>
    <s v="Laptop - Technology"/>
    <n v="9266.8799999999992"/>
    <n v="8"/>
    <n v="0"/>
    <n v="1156.0999999999999"/>
    <x v="0"/>
    <x v="0"/>
    <x v="6"/>
    <x v="0"/>
    <n v="0.12475612072240064"/>
    <s v="Profit"/>
    <s v="No Discount"/>
  </r>
  <r>
    <x v="508"/>
    <x v="276"/>
    <s v="Yuvraj Chauhan"/>
    <x v="2"/>
    <s v="Hyderabad"/>
    <x v="1"/>
    <s v="Table"/>
    <s v="Table - Furniture"/>
    <n v="272.92"/>
    <n v="1"/>
    <n v="28"/>
    <n v="10.89"/>
    <x v="0"/>
    <x v="3"/>
    <x v="3"/>
    <x v="1"/>
    <n v="3.9901802726073576E-2"/>
    <s v="Profit"/>
    <s v="High (&gt;20%)"/>
  </r>
  <r>
    <x v="509"/>
    <x v="213"/>
    <s v="Kriti Desai"/>
    <x v="0"/>
    <s v="Kolkata"/>
    <x v="1"/>
    <s v="Sofa"/>
    <s v="Sofa - Furniture"/>
    <n v="4504.24"/>
    <n v="8"/>
    <n v="17"/>
    <n v="247.2"/>
    <x v="1"/>
    <x v="1"/>
    <x v="2"/>
    <x v="0"/>
    <n v="5.4881622648881939E-2"/>
    <s v="Profit"/>
    <s v="Mid (11-20%)"/>
  </r>
  <r>
    <x v="510"/>
    <x v="24"/>
    <s v="Riya Kapoor"/>
    <x v="1"/>
    <s v="Chandigarh"/>
    <x v="0"/>
    <s v="Printer"/>
    <s v="Printer - Technology"/>
    <n v="10977.06"/>
    <n v="6"/>
    <n v="25"/>
    <n v="1104.0899999999999"/>
    <x v="1"/>
    <x v="1"/>
    <x v="8"/>
    <x v="0"/>
    <n v="0.10058157648769342"/>
    <s v="Profit"/>
    <s v="High (&gt;20%)"/>
  </r>
  <r>
    <x v="511"/>
    <x v="58"/>
    <s v="Riya Kapoor"/>
    <x v="3"/>
    <s v="Pune"/>
    <x v="2"/>
    <s v="Pen"/>
    <s v="Pen - Office Supplies"/>
    <n v="2171.56"/>
    <n v="2"/>
    <n v="13"/>
    <n v="280.95999999999998"/>
    <x v="0"/>
    <x v="2"/>
    <x v="0"/>
    <x v="0"/>
    <n v="0.1293816426900477"/>
    <s v="Profit"/>
    <s v="Mid (11-20%)"/>
  </r>
  <r>
    <x v="512"/>
    <x v="149"/>
    <s v="Arjun Verma"/>
    <x v="2"/>
    <s v="Chennai"/>
    <x v="0"/>
    <s v="Laptop"/>
    <s v="Laptop - Technology"/>
    <n v="11193.66"/>
    <n v="6"/>
    <n v="22"/>
    <n v="1395.31"/>
    <x v="2"/>
    <x v="1"/>
    <x v="2"/>
    <x v="0"/>
    <n v="0.12465181182919617"/>
    <s v="Profit"/>
    <s v="High (&gt;20%)"/>
  </r>
  <r>
    <x v="513"/>
    <x v="277"/>
    <s v="Aarav Patel"/>
    <x v="1"/>
    <s v="Jaipur"/>
    <x v="2"/>
    <s v="Envelope"/>
    <s v="Envelope - Office Supplies"/>
    <n v="4010.25"/>
    <n v="3"/>
    <n v="26"/>
    <n v="727.88"/>
    <x v="0"/>
    <x v="0"/>
    <x v="1"/>
    <x v="1"/>
    <n v="0.18150489370986847"/>
    <s v="Profit"/>
    <s v="High (&gt;20%)"/>
  </r>
  <r>
    <x v="514"/>
    <x v="35"/>
    <s v="Ishaan Mehta"/>
    <x v="2"/>
    <s v="Bangalore"/>
    <x v="2"/>
    <s v="Stapler"/>
    <s v="Stapler - Office Supplies"/>
    <n v="4750.32"/>
    <n v="4"/>
    <n v="4"/>
    <n v="734.25"/>
    <x v="1"/>
    <x v="1"/>
    <x v="1"/>
    <x v="1"/>
    <n v="0.15456853433031881"/>
    <s v="Profit"/>
    <s v="Low (1-10%)"/>
  </r>
  <r>
    <x v="515"/>
    <x v="278"/>
    <s v="Saanvi Iyer"/>
    <x v="2"/>
    <s v="Hyderabad"/>
    <x v="0"/>
    <s v="Laptop"/>
    <s v="Laptop - Technology"/>
    <n v="10634.96"/>
    <n v="7"/>
    <n v="26"/>
    <n v="1835.22"/>
    <x v="1"/>
    <x v="1"/>
    <x v="7"/>
    <x v="1"/>
    <n v="0.17256482393915917"/>
    <s v="Profit"/>
    <s v="High (&gt;20%)"/>
  </r>
  <r>
    <x v="516"/>
    <x v="27"/>
    <s v="Kabir Nair"/>
    <x v="2"/>
    <s v="Chennai"/>
    <x v="2"/>
    <s v="Stapler"/>
    <s v="Stapler - Office Supplies"/>
    <n v="8077.59"/>
    <n v="9"/>
    <n v="14"/>
    <n v="1715"/>
    <x v="2"/>
    <x v="2"/>
    <x v="7"/>
    <x v="1"/>
    <n v="0.21231580211424447"/>
    <s v="Profit"/>
    <s v="Mid (11-20%)"/>
  </r>
  <r>
    <x v="517"/>
    <x v="54"/>
    <s v="Kriti Desai"/>
    <x v="2"/>
    <s v="Hyderabad"/>
    <x v="0"/>
    <s v="Mobile"/>
    <s v="Mobile - Technology"/>
    <n v="6500.83"/>
    <n v="7"/>
    <n v="4"/>
    <n v="487.42"/>
    <x v="1"/>
    <x v="1"/>
    <x v="9"/>
    <x v="1"/>
    <n v="7.4978118178755646E-2"/>
    <s v="Profit"/>
    <s v="Low (1-10%)"/>
  </r>
  <r>
    <x v="518"/>
    <x v="26"/>
    <s v="Tanishq Ghosh"/>
    <x v="2"/>
    <s v="Bangalore"/>
    <x v="0"/>
    <s v="Printer"/>
    <s v="Printer - Technology"/>
    <n v="1274.67"/>
    <n v="1"/>
    <n v="29"/>
    <n v="80.58"/>
    <x v="0"/>
    <x v="3"/>
    <x v="4"/>
    <x v="0"/>
    <n v="6.3216361881898844E-2"/>
    <s v="Profit"/>
    <s v="High (&gt;20%)"/>
  </r>
  <r>
    <x v="519"/>
    <x v="172"/>
    <s v="Krishna Das"/>
    <x v="2"/>
    <s v="Chennai"/>
    <x v="0"/>
    <s v="Printer"/>
    <s v="Printer - Technology"/>
    <n v="691.44"/>
    <n v="1"/>
    <n v="7.0000000000000009"/>
    <n v="70.819999999999993"/>
    <x v="0"/>
    <x v="2"/>
    <x v="10"/>
    <x v="1"/>
    <n v="0.10242392687724168"/>
    <s v="Profit"/>
    <s v="Low (1-10%)"/>
  </r>
  <r>
    <x v="520"/>
    <x v="140"/>
    <s v="Aarav Patel"/>
    <x v="2"/>
    <s v="Chennai"/>
    <x v="2"/>
    <s v="Stapler"/>
    <s v="Stapler - Office Supplies"/>
    <n v="4727.04"/>
    <n v="8"/>
    <n v="7.0000000000000009"/>
    <n v="897.77"/>
    <x v="2"/>
    <x v="3"/>
    <x v="9"/>
    <x v="1"/>
    <n v="0.18992223463308963"/>
    <s v="Profit"/>
    <s v="Low (1-10%)"/>
  </r>
  <r>
    <x v="521"/>
    <x v="267"/>
    <s v="Diya Sharma"/>
    <x v="1"/>
    <s v="Chandigarh"/>
    <x v="2"/>
    <s v="Stapler"/>
    <s v="Stapler - Office Supplies"/>
    <n v="1537.62"/>
    <n v="2"/>
    <n v="16"/>
    <n v="200.98"/>
    <x v="2"/>
    <x v="1"/>
    <x v="7"/>
    <x v="1"/>
    <n v="0.13070849754815886"/>
    <s v="Profit"/>
    <s v="Mid (11-20%)"/>
  </r>
  <r>
    <x v="522"/>
    <x v="250"/>
    <s v="Kabir Nair"/>
    <x v="0"/>
    <s v="Bhubaneswar"/>
    <x v="1"/>
    <s v="Table"/>
    <s v="Table - Furniture"/>
    <n v="1810.43"/>
    <n v="1"/>
    <n v="23"/>
    <n v="137.33000000000001"/>
    <x v="2"/>
    <x v="2"/>
    <x v="9"/>
    <x v="1"/>
    <n v="7.5854907397690061E-2"/>
    <s v="Profit"/>
    <s v="High (&gt;20%)"/>
  </r>
  <r>
    <x v="523"/>
    <x v="261"/>
    <s v="Saanvi Iyer"/>
    <x v="3"/>
    <s v="Nagpur"/>
    <x v="1"/>
    <s v="Sofa"/>
    <s v="Sofa - Furniture"/>
    <n v="3655.08"/>
    <n v="6"/>
    <n v="24"/>
    <n v="312.39999999999998"/>
    <x v="2"/>
    <x v="3"/>
    <x v="4"/>
    <x v="0"/>
    <n v="8.5470085470085472E-2"/>
    <s v="Profit"/>
    <s v="High (&gt;20%)"/>
  </r>
  <r>
    <x v="524"/>
    <x v="127"/>
    <s v="Sneha Reddy"/>
    <x v="3"/>
    <s v="Nagpur"/>
    <x v="0"/>
    <s v="Mobile"/>
    <s v="Mobile - Technology"/>
    <n v="13777.2"/>
    <n v="8"/>
    <n v="26"/>
    <n v="1489.44"/>
    <x v="1"/>
    <x v="1"/>
    <x v="5"/>
    <x v="1"/>
    <n v="0.1081090497343437"/>
    <s v="Profit"/>
    <s v="High (&gt;20%)"/>
  </r>
  <r>
    <x v="525"/>
    <x v="7"/>
    <s v="Sneha Reddy"/>
    <x v="3"/>
    <s v="Pune"/>
    <x v="1"/>
    <s v="Sofa"/>
    <s v="Sofa - Furniture"/>
    <n v="885.69"/>
    <n v="3"/>
    <n v="9"/>
    <n v="163.4"/>
    <x v="0"/>
    <x v="1"/>
    <x v="5"/>
    <x v="1"/>
    <n v="0.18448892953516466"/>
    <s v="Profit"/>
    <s v="Low (1-10%)"/>
  </r>
  <r>
    <x v="526"/>
    <x v="147"/>
    <s v="Krishna Das"/>
    <x v="0"/>
    <s v="Kolkata"/>
    <x v="1"/>
    <s v="Table"/>
    <s v="Table - Furniture"/>
    <n v="2487.84"/>
    <n v="3"/>
    <n v="14"/>
    <n v="238.19"/>
    <x v="0"/>
    <x v="1"/>
    <x v="5"/>
    <x v="1"/>
    <n v="9.5741687568332359E-2"/>
    <s v="Profit"/>
    <s v="Mid (11-20%)"/>
  </r>
  <r>
    <x v="527"/>
    <x v="193"/>
    <s v="Ishaan Mehta"/>
    <x v="1"/>
    <s v="Lucknow"/>
    <x v="0"/>
    <s v="Tablet"/>
    <s v="Tablet - Technology"/>
    <n v="5495.37"/>
    <n v="3"/>
    <n v="23"/>
    <n v="446.3"/>
    <x v="2"/>
    <x v="1"/>
    <x v="7"/>
    <x v="1"/>
    <n v="8.1213821817275267E-2"/>
    <s v="Profit"/>
    <s v="High (&gt;20%)"/>
  </r>
  <r>
    <x v="528"/>
    <x v="33"/>
    <s v="Arjun Verma"/>
    <x v="3"/>
    <s v="Nagpur"/>
    <x v="0"/>
    <s v="Tablet"/>
    <s v="Tablet - Technology"/>
    <n v="1442.88"/>
    <n v="4"/>
    <n v="26"/>
    <n v="102.37"/>
    <x v="0"/>
    <x v="1"/>
    <x v="10"/>
    <x v="1"/>
    <n v="7.0948381015746284E-2"/>
    <s v="Profit"/>
    <s v="High (&gt;20%)"/>
  </r>
  <r>
    <x v="529"/>
    <x v="53"/>
    <s v="Kriti Desai"/>
    <x v="0"/>
    <s v="Patna"/>
    <x v="2"/>
    <s v="Pen"/>
    <s v="Pen - Office Supplies"/>
    <n v="2633.13"/>
    <n v="3"/>
    <n v="25"/>
    <n v="115.07"/>
    <x v="0"/>
    <x v="1"/>
    <x v="11"/>
    <x v="1"/>
    <n v="4.3700842723298883E-2"/>
    <s v="Profit"/>
    <s v="High (&gt;20%)"/>
  </r>
  <r>
    <x v="530"/>
    <x v="171"/>
    <s v="Krishna Das"/>
    <x v="1"/>
    <s v="Delhi"/>
    <x v="1"/>
    <s v="Sofa"/>
    <s v="Sofa - Furniture"/>
    <n v="5779.32"/>
    <n v="6"/>
    <n v="22"/>
    <n v="942.97"/>
    <x v="1"/>
    <x v="3"/>
    <x v="12"/>
    <x v="1"/>
    <n v="0.16316279423876859"/>
    <s v="Profit"/>
    <s v="High (&gt;20%)"/>
  </r>
  <r>
    <x v="531"/>
    <x v="184"/>
    <s v="Ishaan Mehta"/>
    <x v="0"/>
    <s v="Kolkata"/>
    <x v="1"/>
    <s v="Chair"/>
    <s v="Chair - Furniture"/>
    <n v="7465.05"/>
    <n v="9"/>
    <n v="7.0000000000000009"/>
    <n v="1321.87"/>
    <x v="1"/>
    <x v="0"/>
    <x v="4"/>
    <x v="0"/>
    <n v="0.17707450050568982"/>
    <s v="Profit"/>
    <s v="Low (1-10%)"/>
  </r>
  <r>
    <x v="532"/>
    <x v="251"/>
    <s v="Kabir Nair"/>
    <x v="3"/>
    <s v="Ahmedabad"/>
    <x v="2"/>
    <s v="Notebook"/>
    <s v="Notebook - Office Supplies"/>
    <n v="6946.32"/>
    <n v="8"/>
    <n v="9"/>
    <n v="1002.14"/>
    <x v="2"/>
    <x v="3"/>
    <x v="4"/>
    <x v="0"/>
    <n v="0.14426919577560493"/>
    <s v="Profit"/>
    <s v="Low (1-10%)"/>
  </r>
  <r>
    <x v="533"/>
    <x v="217"/>
    <s v="Saanvi Iyer"/>
    <x v="0"/>
    <s v="Patna"/>
    <x v="2"/>
    <s v="Stapler"/>
    <s v="Stapler - Office Supplies"/>
    <n v="10411.74"/>
    <n v="9"/>
    <n v="8"/>
    <n v="1770.95"/>
    <x v="2"/>
    <x v="2"/>
    <x v="3"/>
    <x v="1"/>
    <n v="0.17009164654514999"/>
    <s v="Profit"/>
    <s v="Low (1-10%)"/>
  </r>
  <r>
    <x v="534"/>
    <x v="111"/>
    <s v="Saanvi Iyer"/>
    <x v="0"/>
    <s v="Patna"/>
    <x v="2"/>
    <s v="Stapler"/>
    <s v="Stapler - Office Supplies"/>
    <n v="1582.35"/>
    <n v="7"/>
    <n v="23"/>
    <n v="68.91"/>
    <x v="1"/>
    <x v="2"/>
    <x v="3"/>
    <x v="1"/>
    <n v="4.3549151578348662E-2"/>
    <s v="Profit"/>
    <s v="High (&gt;20%)"/>
  </r>
  <r>
    <x v="535"/>
    <x v="131"/>
    <s v="Diya Sharma"/>
    <x v="2"/>
    <s v="Chennai"/>
    <x v="0"/>
    <s v="Printer"/>
    <s v="Printer - Technology"/>
    <n v="1563.73"/>
    <n v="7"/>
    <n v="12"/>
    <n v="222.25"/>
    <x v="0"/>
    <x v="1"/>
    <x v="12"/>
    <x v="1"/>
    <n v="0.14212811674649717"/>
    <s v="Profit"/>
    <s v="Mid (11-20%)"/>
  </r>
  <r>
    <x v="536"/>
    <x v="217"/>
    <s v="Saanvi Iyer"/>
    <x v="3"/>
    <s v="Ahmedabad"/>
    <x v="1"/>
    <s v="Cupboard"/>
    <s v="Cupboard - Furniture"/>
    <n v="1193.28"/>
    <n v="6"/>
    <n v="24"/>
    <n v="136.03"/>
    <x v="1"/>
    <x v="2"/>
    <x v="3"/>
    <x v="1"/>
    <n v="0.11399671493698042"/>
    <s v="Profit"/>
    <s v="High (&gt;20%)"/>
  </r>
  <r>
    <x v="537"/>
    <x v="141"/>
    <s v="Diya Sharma"/>
    <x v="3"/>
    <s v="Indore"/>
    <x v="0"/>
    <s v="Mobile"/>
    <s v="Mobile - Technology"/>
    <n v="7703.04"/>
    <n v="4"/>
    <n v="9"/>
    <n v="723.5"/>
    <x v="0"/>
    <x v="0"/>
    <x v="2"/>
    <x v="0"/>
    <n v="9.3923957294782326E-2"/>
    <s v="Profit"/>
    <s v="Low (1-10%)"/>
  </r>
  <r>
    <x v="538"/>
    <x v="146"/>
    <s v="Tanishq Ghosh"/>
    <x v="1"/>
    <s v="Chandigarh"/>
    <x v="0"/>
    <s v="Mobile"/>
    <s v="Mobile - Technology"/>
    <n v="12330.24"/>
    <n v="8"/>
    <n v="8"/>
    <n v="2302.37"/>
    <x v="1"/>
    <x v="3"/>
    <x v="7"/>
    <x v="1"/>
    <n v="0.18672548141804213"/>
    <s v="Profit"/>
    <s v="Low (1-10%)"/>
  </r>
  <r>
    <x v="539"/>
    <x v="279"/>
    <s v="Meera Joshi"/>
    <x v="1"/>
    <s v="Jaipur"/>
    <x v="1"/>
    <s v="Chair"/>
    <s v="Chair - Furniture"/>
    <n v="11304.72"/>
    <n v="8"/>
    <n v="7.0000000000000009"/>
    <n v="1564.3"/>
    <x v="0"/>
    <x v="3"/>
    <x v="4"/>
    <x v="0"/>
    <n v="0.13837582885732685"/>
    <s v="Profit"/>
    <s v="Low (1-10%)"/>
  </r>
  <r>
    <x v="540"/>
    <x v="78"/>
    <s v="Saanvi Iyer"/>
    <x v="1"/>
    <s v="Jaipur"/>
    <x v="2"/>
    <s v="Pen"/>
    <s v="Pen - Office Supplies"/>
    <n v="3331.86"/>
    <n v="2"/>
    <n v="26"/>
    <n v="357.4"/>
    <x v="1"/>
    <x v="2"/>
    <x v="6"/>
    <x v="0"/>
    <n v="0.10726741219619071"/>
    <s v="Profit"/>
    <s v="High (&gt;20%)"/>
  </r>
  <r>
    <x v="541"/>
    <x v="101"/>
    <s v="Vivaan Shah"/>
    <x v="2"/>
    <s v="Bangalore"/>
    <x v="1"/>
    <s v="Sofa"/>
    <s v="Sofa - Furniture"/>
    <n v="7056.28"/>
    <n v="7"/>
    <n v="28"/>
    <n v="488.69"/>
    <x v="0"/>
    <x v="3"/>
    <x v="12"/>
    <x v="1"/>
    <n v="6.9256038592572858E-2"/>
    <s v="Profit"/>
    <s v="High (&gt;20%)"/>
  </r>
  <r>
    <x v="542"/>
    <x v="109"/>
    <s v="Vivaan Shah"/>
    <x v="3"/>
    <s v="Nagpur"/>
    <x v="0"/>
    <s v="Tablet"/>
    <s v="Tablet - Technology"/>
    <n v="2086.17"/>
    <n v="3"/>
    <n v="3"/>
    <n v="120.58"/>
    <x v="0"/>
    <x v="1"/>
    <x v="6"/>
    <x v="0"/>
    <n v="5.7799699928577246E-2"/>
    <s v="Profit"/>
    <s v="Low (1-10%)"/>
  </r>
  <r>
    <x v="543"/>
    <x v="280"/>
    <s v="Anaya Singh"/>
    <x v="3"/>
    <s v="Ahmedabad"/>
    <x v="0"/>
    <s v="Laptop"/>
    <s v="Laptop - Technology"/>
    <n v="837.46"/>
    <n v="1"/>
    <n v="25"/>
    <n v="95.36"/>
    <x v="2"/>
    <x v="1"/>
    <x v="9"/>
    <x v="1"/>
    <n v="0.11386812504477825"/>
    <s v="Profit"/>
    <s v="High (&gt;20%)"/>
  </r>
  <r>
    <x v="544"/>
    <x v="150"/>
    <s v="Kabir Nair"/>
    <x v="2"/>
    <s v="Chennai"/>
    <x v="0"/>
    <s v="Printer"/>
    <s v="Printer - Technology"/>
    <n v="7676.41"/>
    <n v="7"/>
    <n v="29"/>
    <n v="1189.1099999999999"/>
    <x v="2"/>
    <x v="2"/>
    <x v="5"/>
    <x v="1"/>
    <n v="0.1549044410082317"/>
    <s v="Profit"/>
    <s v="High (&gt;20%)"/>
  </r>
  <r>
    <x v="545"/>
    <x v="154"/>
    <s v="Vivaan Shah"/>
    <x v="1"/>
    <s v="Lucknow"/>
    <x v="1"/>
    <s v="Cupboard"/>
    <s v="Cupboard - Furniture"/>
    <n v="969.92"/>
    <n v="2"/>
    <n v="11"/>
    <n v="173.87"/>
    <x v="0"/>
    <x v="2"/>
    <x v="4"/>
    <x v="0"/>
    <n v="0.17926220719234578"/>
    <s v="Profit"/>
    <s v="Mid (11-20%)"/>
  </r>
  <r>
    <x v="546"/>
    <x v="281"/>
    <s v="Kriti Desai"/>
    <x v="3"/>
    <s v="Nagpur"/>
    <x v="1"/>
    <s v="Chair"/>
    <s v="Chair - Furniture"/>
    <n v="12568.68"/>
    <n v="9"/>
    <n v="1"/>
    <n v="1653.34"/>
    <x v="0"/>
    <x v="2"/>
    <x v="11"/>
    <x v="1"/>
    <n v="0.13154444221668463"/>
    <s v="Profit"/>
    <s v="Low (1-10%)"/>
  </r>
  <r>
    <x v="547"/>
    <x v="44"/>
    <s v="Krishna Das"/>
    <x v="3"/>
    <s v="Ahmedabad"/>
    <x v="0"/>
    <s v="Mobile"/>
    <s v="Mobile - Technology"/>
    <n v="8860.14"/>
    <n v="6"/>
    <n v="4"/>
    <n v="1403.77"/>
    <x v="2"/>
    <x v="3"/>
    <x v="0"/>
    <x v="0"/>
    <n v="0.15843654840668434"/>
    <s v="Profit"/>
    <s v="Low (1-10%)"/>
  </r>
  <r>
    <x v="548"/>
    <x v="282"/>
    <s v="Saanvi Iyer"/>
    <x v="2"/>
    <s v="Chennai"/>
    <x v="1"/>
    <s v="Chair"/>
    <s v="Chair - Furniture"/>
    <n v="2646.76"/>
    <n v="2"/>
    <n v="24"/>
    <n v="180.54"/>
    <x v="1"/>
    <x v="1"/>
    <x v="2"/>
    <x v="0"/>
    <n v="6.8211700343060941E-2"/>
    <s v="Profit"/>
    <s v="High (&gt;20%)"/>
  </r>
  <r>
    <x v="549"/>
    <x v="3"/>
    <s v="Ishaan Mehta"/>
    <x v="1"/>
    <s v="Jaipur"/>
    <x v="0"/>
    <s v="Printer"/>
    <s v="Printer - Technology"/>
    <n v="1081.3"/>
    <n v="5"/>
    <n v="29"/>
    <n v="99.58"/>
    <x v="2"/>
    <x v="0"/>
    <x v="0"/>
    <x v="0"/>
    <n v="9.2092851197632483E-2"/>
    <s v="Profit"/>
    <s v="High (&gt;20%)"/>
  </r>
  <r>
    <x v="550"/>
    <x v="147"/>
    <s v="Meera Joshi"/>
    <x v="3"/>
    <s v="Ahmedabad"/>
    <x v="2"/>
    <s v="Notebook"/>
    <s v="Notebook - Office Supplies"/>
    <n v="17384.400000000001"/>
    <n v="10"/>
    <n v="5"/>
    <n v="1893.67"/>
    <x v="1"/>
    <x v="2"/>
    <x v="5"/>
    <x v="1"/>
    <n v="0.10892926992015829"/>
    <s v="Profit"/>
    <s v="Low (1-10%)"/>
  </r>
  <r>
    <x v="551"/>
    <x v="80"/>
    <s v="Vivaan Shah"/>
    <x v="1"/>
    <s v="Chandigarh"/>
    <x v="2"/>
    <s v="Stapler"/>
    <s v="Stapler - Office Supplies"/>
    <n v="3729.4"/>
    <n v="4"/>
    <n v="17"/>
    <n v="471.29"/>
    <x v="0"/>
    <x v="2"/>
    <x v="1"/>
    <x v="1"/>
    <n v="0.12637153429506087"/>
    <s v="Profit"/>
    <s v="Mid (11-20%)"/>
  </r>
  <r>
    <x v="552"/>
    <x v="204"/>
    <s v="Kabir Nair"/>
    <x v="1"/>
    <s v="Delhi"/>
    <x v="1"/>
    <s v="Cupboard"/>
    <s v="Cupboard - Furniture"/>
    <n v="3866.1"/>
    <n v="5"/>
    <n v="27"/>
    <n v="677.94"/>
    <x v="0"/>
    <x v="1"/>
    <x v="5"/>
    <x v="1"/>
    <n v="0.17535500892372161"/>
    <s v="Profit"/>
    <s v="High (&gt;20%)"/>
  </r>
  <r>
    <x v="553"/>
    <x v="211"/>
    <s v="Aarav Patel"/>
    <x v="1"/>
    <s v="Chandigarh"/>
    <x v="0"/>
    <s v="Mobile"/>
    <s v="Mobile - Technology"/>
    <n v="1176.28"/>
    <n v="7"/>
    <n v="25"/>
    <n v="140.07"/>
    <x v="2"/>
    <x v="3"/>
    <x v="1"/>
    <x v="1"/>
    <n v="0.11907879076410378"/>
    <s v="Profit"/>
    <s v="High (&gt;20%)"/>
  </r>
  <r>
    <x v="554"/>
    <x v="83"/>
    <s v="Arjun Verma"/>
    <x v="1"/>
    <s v="Lucknow"/>
    <x v="2"/>
    <s v="Stapler"/>
    <s v="Stapler - Office Supplies"/>
    <n v="13053.96"/>
    <n v="9"/>
    <n v="1"/>
    <n v="1666.06"/>
    <x v="2"/>
    <x v="3"/>
    <x v="12"/>
    <x v="1"/>
    <n v="0.12762870423993947"/>
    <s v="Profit"/>
    <s v="Low (1-10%)"/>
  </r>
  <r>
    <x v="555"/>
    <x v="46"/>
    <s v="Ishaan Mehta"/>
    <x v="0"/>
    <s v="Bhubaneswar"/>
    <x v="2"/>
    <s v="Envelope"/>
    <s v="Envelope - Office Supplies"/>
    <n v="442.52"/>
    <n v="1"/>
    <n v="18"/>
    <n v="52.32"/>
    <x v="2"/>
    <x v="1"/>
    <x v="2"/>
    <x v="0"/>
    <n v="0.11823194431890084"/>
    <s v="Profit"/>
    <s v="Mid (11-20%)"/>
  </r>
  <r>
    <x v="556"/>
    <x v="189"/>
    <s v="Saanvi Iyer"/>
    <x v="3"/>
    <s v="Mumbai"/>
    <x v="2"/>
    <s v="Notebook"/>
    <s v="Notebook - Office Supplies"/>
    <n v="936.36"/>
    <n v="2"/>
    <n v="9"/>
    <n v="51.62"/>
    <x v="0"/>
    <x v="0"/>
    <x v="10"/>
    <x v="1"/>
    <n v="5.5128369430560889E-2"/>
    <s v="Profit"/>
    <s v="Low (1-10%)"/>
  </r>
  <r>
    <x v="557"/>
    <x v="70"/>
    <s v="Arjun Verma"/>
    <x v="0"/>
    <s v="Kolkata"/>
    <x v="2"/>
    <s v="Pen"/>
    <s v="Pen - Office Supplies"/>
    <n v="1536.12"/>
    <n v="3"/>
    <n v="4"/>
    <n v="214.72"/>
    <x v="1"/>
    <x v="2"/>
    <x v="2"/>
    <x v="0"/>
    <n v="0.13978074629586232"/>
    <s v="Profit"/>
    <s v="Low (1-10%)"/>
  </r>
  <r>
    <x v="558"/>
    <x v="13"/>
    <s v="Ishaan Mehta"/>
    <x v="3"/>
    <s v="Nagpur"/>
    <x v="0"/>
    <s v="Laptop"/>
    <s v="Laptop - Technology"/>
    <n v="3472.4"/>
    <n v="4"/>
    <n v="7.0000000000000009"/>
    <n v="314.35000000000002"/>
    <x v="0"/>
    <x v="2"/>
    <x v="9"/>
    <x v="1"/>
    <n v="9.0528164957954155E-2"/>
    <s v="Profit"/>
    <s v="Low (1-10%)"/>
  </r>
  <r>
    <x v="559"/>
    <x v="150"/>
    <s v="Meera Joshi"/>
    <x v="3"/>
    <s v="Ahmedabad"/>
    <x v="1"/>
    <s v="Cupboard"/>
    <s v="Cupboard - Furniture"/>
    <n v="4139.75"/>
    <n v="5"/>
    <n v="25"/>
    <n v="667.72"/>
    <x v="2"/>
    <x v="1"/>
    <x v="5"/>
    <x v="1"/>
    <n v="0.16129476417658073"/>
    <s v="Profit"/>
    <s v="High (&gt;20%)"/>
  </r>
  <r>
    <x v="560"/>
    <x v="54"/>
    <s v="Ishaan Mehta"/>
    <x v="1"/>
    <s v="Delhi"/>
    <x v="1"/>
    <s v="Cupboard"/>
    <s v="Cupboard - Furniture"/>
    <n v="8556.1"/>
    <n v="5"/>
    <n v="19"/>
    <n v="1058.4000000000001"/>
    <x v="0"/>
    <x v="2"/>
    <x v="9"/>
    <x v="1"/>
    <n v="0.12370121901333551"/>
    <s v="Profit"/>
    <s v="Mid (11-20%)"/>
  </r>
  <r>
    <x v="561"/>
    <x v="283"/>
    <s v="Riya Kapoor"/>
    <x v="0"/>
    <s v="Bhubaneswar"/>
    <x v="1"/>
    <s v="Sofa"/>
    <s v="Sofa - Furniture"/>
    <n v="1400.44"/>
    <n v="4"/>
    <n v="28"/>
    <n v="241.99"/>
    <x v="0"/>
    <x v="1"/>
    <x v="12"/>
    <x v="1"/>
    <n v="0.17279569278226842"/>
    <s v="Profit"/>
    <s v="High (&gt;20%)"/>
  </r>
  <r>
    <x v="562"/>
    <x v="223"/>
    <s v="Meera Joshi"/>
    <x v="3"/>
    <s v="Mumbai"/>
    <x v="1"/>
    <s v="Chair"/>
    <s v="Chair - Furniture"/>
    <n v="4545.78"/>
    <n v="6"/>
    <n v="7.0000000000000009"/>
    <n v="734.68"/>
    <x v="2"/>
    <x v="1"/>
    <x v="7"/>
    <x v="1"/>
    <n v="0.16161802814918452"/>
    <s v="Profit"/>
    <s v="Low (1-10%)"/>
  </r>
  <r>
    <x v="563"/>
    <x v="284"/>
    <s v="Aarav Patel"/>
    <x v="2"/>
    <s v="Chennai"/>
    <x v="1"/>
    <s v="Sofa"/>
    <s v="Sofa - Furniture"/>
    <n v="1652.52"/>
    <n v="6"/>
    <n v="5"/>
    <n v="316.77999999999997"/>
    <x v="0"/>
    <x v="0"/>
    <x v="0"/>
    <x v="0"/>
    <n v="0.19169510807736062"/>
    <s v="Profit"/>
    <s v="Low (1-10%)"/>
  </r>
  <r>
    <x v="564"/>
    <x v="253"/>
    <s v="Saanvi Iyer"/>
    <x v="3"/>
    <s v="Ahmedabad"/>
    <x v="0"/>
    <s v="Laptop"/>
    <s v="Laptop - Technology"/>
    <n v="3630.51"/>
    <n v="9"/>
    <n v="5"/>
    <n v="836.66"/>
    <x v="2"/>
    <x v="1"/>
    <x v="11"/>
    <x v="1"/>
    <n v="0.23045247086497486"/>
    <s v="Profit"/>
    <s v="Low (1-10%)"/>
  </r>
  <r>
    <x v="565"/>
    <x v="285"/>
    <s v="Meera Joshi"/>
    <x v="2"/>
    <s v="Bangalore"/>
    <x v="0"/>
    <s v="Mobile"/>
    <s v="Mobile - Technology"/>
    <n v="1238.2"/>
    <n v="1"/>
    <n v="15"/>
    <n v="66.989999999999995"/>
    <x v="0"/>
    <x v="1"/>
    <x v="5"/>
    <x v="1"/>
    <n v="5.4102729769019538E-2"/>
    <s v="Profit"/>
    <s v="Mid (11-20%)"/>
  </r>
  <r>
    <x v="566"/>
    <x v="286"/>
    <s v="Kriti Desai"/>
    <x v="3"/>
    <s v="Nagpur"/>
    <x v="1"/>
    <s v="Chair"/>
    <s v="Chair - Furniture"/>
    <n v="2098.92"/>
    <n v="6"/>
    <n v="24"/>
    <n v="376.02"/>
    <x v="1"/>
    <x v="0"/>
    <x v="1"/>
    <x v="1"/>
    <n v="0.17914927677091075"/>
    <s v="Profit"/>
    <s v="High (&gt;20%)"/>
  </r>
  <r>
    <x v="567"/>
    <x v="13"/>
    <s v="Yuvraj Chauhan"/>
    <x v="0"/>
    <s v="Bhubaneswar"/>
    <x v="2"/>
    <s v="Stapler"/>
    <s v="Stapler - Office Supplies"/>
    <n v="6905.52"/>
    <n v="6"/>
    <n v="21"/>
    <n v="752.44"/>
    <x v="0"/>
    <x v="1"/>
    <x v="9"/>
    <x v="1"/>
    <n v="0.10896210567777662"/>
    <s v="Profit"/>
    <s v="High (&gt;20%)"/>
  </r>
  <r>
    <x v="568"/>
    <x v="173"/>
    <s v="Saanvi Iyer"/>
    <x v="2"/>
    <s v="Bangalore"/>
    <x v="1"/>
    <s v="Table"/>
    <s v="Table - Furniture"/>
    <n v="12893.86"/>
    <n v="7"/>
    <n v="3"/>
    <n v="1242.29"/>
    <x v="2"/>
    <x v="1"/>
    <x v="2"/>
    <x v="0"/>
    <n v="9.6347408766653264E-2"/>
    <s v="Profit"/>
    <s v="Low (1-10%)"/>
  </r>
  <r>
    <x v="569"/>
    <x v="236"/>
    <s v="Aarav Patel"/>
    <x v="0"/>
    <s v="Patna"/>
    <x v="2"/>
    <s v="Notebook"/>
    <s v="Notebook - Office Supplies"/>
    <n v="8175.72"/>
    <n v="7"/>
    <n v="30"/>
    <n v="1221.26"/>
    <x v="2"/>
    <x v="0"/>
    <x v="9"/>
    <x v="1"/>
    <n v="0.14937644635579495"/>
    <s v="Profit"/>
    <s v="High (&gt;20%)"/>
  </r>
  <r>
    <x v="570"/>
    <x v="64"/>
    <s v="Sneha Reddy"/>
    <x v="3"/>
    <s v="Nagpur"/>
    <x v="0"/>
    <s v="Tablet"/>
    <s v="Tablet - Technology"/>
    <n v="4367.93"/>
    <n v="7"/>
    <n v="9"/>
    <n v="823.5"/>
    <x v="0"/>
    <x v="2"/>
    <x v="2"/>
    <x v="0"/>
    <n v="0.18853324114626377"/>
    <s v="Profit"/>
    <s v="Low (1-10%)"/>
  </r>
  <r>
    <x v="571"/>
    <x v="253"/>
    <s v="Kriti Desai"/>
    <x v="0"/>
    <s v="Kolkata"/>
    <x v="2"/>
    <s v="Notebook"/>
    <s v="Notebook - Office Supplies"/>
    <n v="10519.28"/>
    <n v="8"/>
    <n v="27"/>
    <n v="757.19"/>
    <x v="1"/>
    <x v="2"/>
    <x v="11"/>
    <x v="1"/>
    <n v="7.1981162208820379E-2"/>
    <s v="Profit"/>
    <s v="High (&gt;20%)"/>
  </r>
  <r>
    <x v="572"/>
    <x v="115"/>
    <s v="Aarav Patel"/>
    <x v="1"/>
    <s v="Jaipur"/>
    <x v="2"/>
    <s v="Envelope"/>
    <s v="Envelope - Office Supplies"/>
    <n v="1444.83"/>
    <n v="1"/>
    <n v="21"/>
    <n v="76.34"/>
    <x v="1"/>
    <x v="1"/>
    <x v="9"/>
    <x v="1"/>
    <n v="5.2836665905331426E-2"/>
    <s v="Profit"/>
    <s v="High (&gt;20%)"/>
  </r>
  <r>
    <x v="573"/>
    <x v="112"/>
    <s v="Kriti Desai"/>
    <x v="0"/>
    <s v="Patna"/>
    <x v="1"/>
    <s v="Cupboard"/>
    <s v="Cupboard - Furniture"/>
    <n v="3491.76"/>
    <n v="2"/>
    <n v="17"/>
    <n v="338.33"/>
    <x v="2"/>
    <x v="1"/>
    <x v="11"/>
    <x v="1"/>
    <n v="9.6893830045593043E-2"/>
    <s v="Profit"/>
    <s v="Mid (11-20%)"/>
  </r>
  <r>
    <x v="574"/>
    <x v="160"/>
    <s v="Ishaan Mehta"/>
    <x v="0"/>
    <s v="Patna"/>
    <x v="2"/>
    <s v="Pen"/>
    <s v="Pen - Office Supplies"/>
    <n v="11430.9"/>
    <n v="6"/>
    <n v="11"/>
    <n v="1144.23"/>
    <x v="2"/>
    <x v="1"/>
    <x v="0"/>
    <x v="0"/>
    <n v="0.10009972968007769"/>
    <s v="Profit"/>
    <s v="Mid (11-20%)"/>
  </r>
  <r>
    <x v="575"/>
    <x v="163"/>
    <s v="Kriti Desai"/>
    <x v="0"/>
    <s v="Bhubaneswar"/>
    <x v="2"/>
    <s v="Stapler"/>
    <s v="Stapler - Office Supplies"/>
    <n v="3166.76"/>
    <n v="4"/>
    <n v="21"/>
    <n v="516.66999999999996"/>
    <x v="1"/>
    <x v="1"/>
    <x v="9"/>
    <x v="1"/>
    <n v="0.16315413861486186"/>
    <s v="Profit"/>
    <s v="High (&gt;20%)"/>
  </r>
  <r>
    <x v="576"/>
    <x v="46"/>
    <s v="Krishna Das"/>
    <x v="3"/>
    <s v="Nagpur"/>
    <x v="0"/>
    <s v="Laptop"/>
    <s v="Laptop - Technology"/>
    <n v="856.76"/>
    <n v="1"/>
    <n v="15"/>
    <n v="38.93"/>
    <x v="0"/>
    <x v="3"/>
    <x v="2"/>
    <x v="0"/>
    <n v="4.5438629254400301E-2"/>
    <s v="Profit"/>
    <s v="Mid (11-20%)"/>
  </r>
  <r>
    <x v="577"/>
    <x v="202"/>
    <s v="Arjun Verma"/>
    <x v="3"/>
    <s v="Pune"/>
    <x v="2"/>
    <s v="Pen"/>
    <s v="Pen - Office Supplies"/>
    <n v="1069.23"/>
    <n v="1"/>
    <n v="17"/>
    <n v="193.82"/>
    <x v="2"/>
    <x v="1"/>
    <x v="4"/>
    <x v="0"/>
    <n v="0.18127063400765037"/>
    <s v="Profit"/>
    <s v="Mid (11-20%)"/>
  </r>
  <r>
    <x v="578"/>
    <x v="53"/>
    <s v="Kabir Nair"/>
    <x v="2"/>
    <s v="Hyderabad"/>
    <x v="2"/>
    <s v="Notebook"/>
    <s v="Notebook - Office Supplies"/>
    <n v="3036.87"/>
    <n v="9"/>
    <n v="4"/>
    <n v="438.58"/>
    <x v="1"/>
    <x v="0"/>
    <x v="11"/>
    <x v="1"/>
    <n v="0.14441843081857306"/>
    <s v="Profit"/>
    <s v="Low (1-10%)"/>
  </r>
  <r>
    <x v="579"/>
    <x v="121"/>
    <s v="Arjun Verma"/>
    <x v="3"/>
    <s v="Ahmedabad"/>
    <x v="0"/>
    <s v="Mobile"/>
    <s v="Mobile - Technology"/>
    <n v="4858.2299999999996"/>
    <n v="3"/>
    <n v="5"/>
    <n v="404.52"/>
    <x v="1"/>
    <x v="0"/>
    <x v="0"/>
    <x v="0"/>
    <n v="8.3264892769588927E-2"/>
    <s v="Profit"/>
    <s v="Low (1-10%)"/>
  </r>
  <r>
    <x v="580"/>
    <x v="86"/>
    <s v="Anaya Singh"/>
    <x v="2"/>
    <s v="Chennai"/>
    <x v="1"/>
    <s v="Table"/>
    <s v="Table - Furniture"/>
    <n v="10236.66"/>
    <n v="6"/>
    <n v="18"/>
    <n v="1205.33"/>
    <x v="1"/>
    <x v="3"/>
    <x v="4"/>
    <x v="0"/>
    <n v="0.11774641338092698"/>
    <s v="Profit"/>
    <s v="Mid (11-20%)"/>
  </r>
  <r>
    <x v="581"/>
    <x v="287"/>
    <s v="Riya Kapoor"/>
    <x v="2"/>
    <s v="Bangalore"/>
    <x v="1"/>
    <s v="Chair"/>
    <s v="Chair - Furniture"/>
    <n v="2373.0700000000002"/>
    <n v="7"/>
    <n v="28"/>
    <n v="384.75"/>
    <x v="2"/>
    <x v="1"/>
    <x v="10"/>
    <x v="1"/>
    <n v="0.16213175338274891"/>
    <s v="Profit"/>
    <s v="High (&gt;20%)"/>
  </r>
  <r>
    <x v="582"/>
    <x v="30"/>
    <s v="Vivaan Shah"/>
    <x v="1"/>
    <s v="Delhi"/>
    <x v="1"/>
    <s v="Sofa"/>
    <s v="Sofa - Furniture"/>
    <n v="2021.7"/>
    <n v="3"/>
    <n v="18"/>
    <n v="232.18"/>
    <x v="1"/>
    <x v="2"/>
    <x v="8"/>
    <x v="0"/>
    <n v="0.11484394321610526"/>
    <s v="Profit"/>
    <s v="Mid (11-20%)"/>
  </r>
  <r>
    <x v="583"/>
    <x v="133"/>
    <s v="Aarav Patel"/>
    <x v="0"/>
    <s v="Patna"/>
    <x v="1"/>
    <s v="Cupboard"/>
    <s v="Cupboard - Furniture"/>
    <n v="6057.84"/>
    <n v="8"/>
    <n v="10"/>
    <n v="644.24"/>
    <x v="1"/>
    <x v="2"/>
    <x v="11"/>
    <x v="1"/>
    <n v="0.10634813728985909"/>
    <s v="Profit"/>
    <s v="Low (1-10%)"/>
  </r>
  <r>
    <x v="584"/>
    <x v="135"/>
    <s v="Kabir Nair"/>
    <x v="2"/>
    <s v="Hyderabad"/>
    <x v="2"/>
    <s v="Pen"/>
    <s v="Pen - Office Supplies"/>
    <n v="7139.45"/>
    <n v="5"/>
    <n v="19"/>
    <n v="1005.84"/>
    <x v="0"/>
    <x v="3"/>
    <x v="0"/>
    <x v="0"/>
    <n v="0.14088480205057813"/>
    <s v="Profit"/>
    <s v="Mid (11-20%)"/>
  </r>
  <r>
    <x v="585"/>
    <x v="44"/>
    <s v="Meera Joshi"/>
    <x v="0"/>
    <s v="Kolkata"/>
    <x v="1"/>
    <s v="Sofa"/>
    <s v="Sofa - Furniture"/>
    <n v="3958.12"/>
    <n v="2"/>
    <n v="27"/>
    <n v="191.19"/>
    <x v="0"/>
    <x v="1"/>
    <x v="0"/>
    <x v="0"/>
    <n v="4.830323486907926E-2"/>
    <s v="Profit"/>
    <s v="High (&gt;20%)"/>
  </r>
  <r>
    <x v="586"/>
    <x v="171"/>
    <s v="Meera Joshi"/>
    <x v="0"/>
    <s v="Patna"/>
    <x v="1"/>
    <s v="Cupboard"/>
    <s v="Cupboard - Furniture"/>
    <n v="7614.9"/>
    <n v="9"/>
    <n v="14"/>
    <n v="1454.45"/>
    <x v="0"/>
    <x v="2"/>
    <x v="12"/>
    <x v="1"/>
    <n v="0.19100053841810136"/>
    <s v="Profit"/>
    <s v="Mid (11-20%)"/>
  </r>
  <r>
    <x v="587"/>
    <x v="288"/>
    <s v="Meera Joshi"/>
    <x v="1"/>
    <s v="Delhi"/>
    <x v="1"/>
    <s v="Sofa"/>
    <s v="Sofa - Furniture"/>
    <n v="11656.89"/>
    <n v="9"/>
    <n v="7.0000000000000009"/>
    <n v="1976.75"/>
    <x v="2"/>
    <x v="0"/>
    <x v="6"/>
    <x v="0"/>
    <n v="0.16957782049929271"/>
    <s v="Profit"/>
    <s v="Low (1-10%)"/>
  </r>
  <r>
    <x v="588"/>
    <x v="43"/>
    <s v="Anaya Singh"/>
    <x v="3"/>
    <s v="Indore"/>
    <x v="1"/>
    <s v="Table"/>
    <s v="Table - Furniture"/>
    <n v="6883.2"/>
    <n v="4"/>
    <n v="8"/>
    <n v="1526.41"/>
    <x v="0"/>
    <x v="0"/>
    <x v="9"/>
    <x v="1"/>
    <n v="0.22175877498837751"/>
    <s v="Profit"/>
    <s v="Low (1-10%)"/>
  </r>
  <r>
    <x v="589"/>
    <x v="217"/>
    <s v="Krishna Das"/>
    <x v="2"/>
    <s v="Hyderabad"/>
    <x v="2"/>
    <s v="Notebook"/>
    <s v="Notebook - Office Supplies"/>
    <n v="6766.4"/>
    <n v="8"/>
    <n v="12"/>
    <n v="779.13"/>
    <x v="2"/>
    <x v="1"/>
    <x v="3"/>
    <x v="1"/>
    <n v="0.11514690234097896"/>
    <s v="Profit"/>
    <s v="Mid (11-20%)"/>
  </r>
  <r>
    <x v="590"/>
    <x v="172"/>
    <s v="Ishaan Mehta"/>
    <x v="1"/>
    <s v="Delhi"/>
    <x v="1"/>
    <s v="Sofa"/>
    <s v="Sofa - Furniture"/>
    <n v="6433.2"/>
    <n v="6"/>
    <n v="25"/>
    <n v="409.14"/>
    <x v="0"/>
    <x v="1"/>
    <x v="10"/>
    <x v="1"/>
    <n v="6.3598209289311688E-2"/>
    <s v="Profit"/>
    <s v="High (&gt;20%)"/>
  </r>
  <r>
    <x v="591"/>
    <x v="279"/>
    <s v="Kabir Nair"/>
    <x v="3"/>
    <s v="Ahmedabad"/>
    <x v="0"/>
    <s v="Tablet"/>
    <s v="Tablet - Technology"/>
    <n v="1884.54"/>
    <n v="7"/>
    <n v="20"/>
    <n v="248.75"/>
    <x v="0"/>
    <x v="3"/>
    <x v="4"/>
    <x v="0"/>
    <n v="0.13199507572139621"/>
    <s v="Profit"/>
    <s v="Mid (11-20%)"/>
  </r>
  <r>
    <x v="592"/>
    <x v="113"/>
    <s v="Ishaan Mehta"/>
    <x v="1"/>
    <s v="Jaipur"/>
    <x v="0"/>
    <s v="Mobile"/>
    <s v="Mobile - Technology"/>
    <n v="11388"/>
    <n v="8"/>
    <n v="5"/>
    <n v="867.85"/>
    <x v="0"/>
    <x v="0"/>
    <x v="4"/>
    <x v="0"/>
    <n v="7.6207411310151033E-2"/>
    <s v="Profit"/>
    <s v="Low (1-10%)"/>
  </r>
  <r>
    <x v="593"/>
    <x v="39"/>
    <s v="Aarav Patel"/>
    <x v="3"/>
    <s v="Mumbai"/>
    <x v="2"/>
    <s v="Pen"/>
    <s v="Pen - Office Supplies"/>
    <n v="13398.88"/>
    <n v="8"/>
    <n v="18"/>
    <n v="2078.2399999999998"/>
    <x v="1"/>
    <x v="1"/>
    <x v="9"/>
    <x v="1"/>
    <n v="0.15510550135533716"/>
    <s v="Profit"/>
    <s v="Mid (11-20%)"/>
  </r>
  <r>
    <x v="594"/>
    <x v="289"/>
    <s v="Vivaan Shah"/>
    <x v="1"/>
    <s v="Jaipur"/>
    <x v="0"/>
    <s v="Tablet"/>
    <s v="Tablet - Technology"/>
    <n v="3769.52"/>
    <n v="2"/>
    <n v="6"/>
    <n v="183.51"/>
    <x v="2"/>
    <x v="0"/>
    <x v="0"/>
    <x v="0"/>
    <n v="4.8682590886903368E-2"/>
    <s v="Profit"/>
    <s v="Low (1-10%)"/>
  </r>
  <r>
    <x v="595"/>
    <x v="91"/>
    <s v="Kabir Nair"/>
    <x v="0"/>
    <s v="Kolkata"/>
    <x v="0"/>
    <s v="Tablet"/>
    <s v="Tablet - Technology"/>
    <n v="5757.12"/>
    <n v="8"/>
    <n v="16"/>
    <n v="919.56"/>
    <x v="1"/>
    <x v="3"/>
    <x v="1"/>
    <x v="1"/>
    <n v="0.15972569618142404"/>
    <s v="Profit"/>
    <s v="Mid (11-20%)"/>
  </r>
  <r>
    <x v="596"/>
    <x v="290"/>
    <s v="Riya Kapoor"/>
    <x v="0"/>
    <s v="Bhubaneswar"/>
    <x v="0"/>
    <s v="Tablet"/>
    <s v="Tablet - Technology"/>
    <n v="2788.24"/>
    <n v="7"/>
    <n v="7.0000000000000009"/>
    <n v="141.96"/>
    <x v="1"/>
    <x v="2"/>
    <x v="10"/>
    <x v="1"/>
    <n v="5.0913838120104443E-2"/>
    <s v="Profit"/>
    <s v="Low (1-10%)"/>
  </r>
  <r>
    <x v="597"/>
    <x v="200"/>
    <s v="Yuvraj Chauhan"/>
    <x v="1"/>
    <s v="Chandigarh"/>
    <x v="2"/>
    <s v="Pen"/>
    <s v="Pen - Office Supplies"/>
    <n v="781.54"/>
    <n v="1"/>
    <n v="24"/>
    <n v="42.9"/>
    <x v="2"/>
    <x v="0"/>
    <x v="10"/>
    <x v="1"/>
    <n v="5.4891624229086167E-2"/>
    <s v="Profit"/>
    <s v="High (&gt;20%)"/>
  </r>
  <r>
    <x v="598"/>
    <x v="201"/>
    <s v="Riya Kapoor"/>
    <x v="0"/>
    <s v="Kolkata"/>
    <x v="0"/>
    <s v="Laptop"/>
    <s v="Laptop - Technology"/>
    <n v="10760.54"/>
    <n v="7"/>
    <n v="23"/>
    <n v="2000.97"/>
    <x v="1"/>
    <x v="3"/>
    <x v="9"/>
    <x v="1"/>
    <n v="0.18595442236170304"/>
    <s v="Profit"/>
    <s v="High (&gt;20%)"/>
  </r>
  <r>
    <x v="599"/>
    <x v="214"/>
    <s v="Vivaan Shah"/>
    <x v="2"/>
    <s v="Chennai"/>
    <x v="0"/>
    <s v="Printer"/>
    <s v="Printer - Technology"/>
    <n v="2020.76"/>
    <n v="4"/>
    <n v="4"/>
    <n v="426.28"/>
    <x v="2"/>
    <x v="3"/>
    <x v="5"/>
    <x v="1"/>
    <n v="0.21095033551733011"/>
    <s v="Profit"/>
    <s v="Low (1-10%)"/>
  </r>
  <r>
    <x v="600"/>
    <x v="291"/>
    <s v="Sneha Reddy"/>
    <x v="0"/>
    <s v="Patna"/>
    <x v="1"/>
    <s v="Sofa"/>
    <s v="Sofa - Furniture"/>
    <n v="8489.61"/>
    <n v="9"/>
    <n v="27"/>
    <n v="1169.5999999999999"/>
    <x v="0"/>
    <x v="1"/>
    <x v="0"/>
    <x v="0"/>
    <n v="0.13776840161091025"/>
    <s v="Profit"/>
    <s v="High (&gt;20%)"/>
  </r>
  <r>
    <x v="601"/>
    <x v="292"/>
    <s v="Tanishq Ghosh"/>
    <x v="1"/>
    <s v="Chandigarh"/>
    <x v="1"/>
    <s v="Sofa"/>
    <s v="Sofa - Furniture"/>
    <n v="2632.42"/>
    <n v="2"/>
    <n v="11"/>
    <n v="233"/>
    <x v="1"/>
    <x v="0"/>
    <x v="10"/>
    <x v="1"/>
    <n v="8.8511711656954428E-2"/>
    <s v="Profit"/>
    <s v="Mid (11-20%)"/>
  </r>
  <r>
    <x v="602"/>
    <x v="33"/>
    <s v="Yuvraj Chauhan"/>
    <x v="0"/>
    <s v="Kolkata"/>
    <x v="0"/>
    <s v="Laptop"/>
    <s v="Laptop - Technology"/>
    <n v="17339.7"/>
    <n v="10"/>
    <n v="2"/>
    <n v="1648.2"/>
    <x v="0"/>
    <x v="2"/>
    <x v="10"/>
    <x v="1"/>
    <n v="9.5053547639232516E-2"/>
    <s v="Profit"/>
    <s v="Low (1-10%)"/>
  </r>
  <r>
    <x v="603"/>
    <x v="293"/>
    <s v="Sneha Reddy"/>
    <x v="0"/>
    <s v="Kolkata"/>
    <x v="1"/>
    <s v="Sofa"/>
    <s v="Sofa - Furniture"/>
    <n v="1460.66"/>
    <n v="1"/>
    <n v="24"/>
    <n v="270.74"/>
    <x v="0"/>
    <x v="1"/>
    <x v="11"/>
    <x v="1"/>
    <n v="0.1853545657442526"/>
    <s v="Profit"/>
    <s v="High (&gt;20%)"/>
  </r>
  <r>
    <x v="604"/>
    <x v="276"/>
    <s v="Sneha Reddy"/>
    <x v="3"/>
    <s v="Indore"/>
    <x v="0"/>
    <s v="Mobile"/>
    <s v="Mobile - Technology"/>
    <n v="1684.83"/>
    <n v="7"/>
    <n v="4"/>
    <n v="149.69"/>
    <x v="2"/>
    <x v="2"/>
    <x v="3"/>
    <x v="1"/>
    <n v="8.8845758919297496E-2"/>
    <s v="Profit"/>
    <s v="Low (1-10%)"/>
  </r>
  <r>
    <x v="605"/>
    <x v="45"/>
    <s v="Tanishq Ghosh"/>
    <x v="2"/>
    <s v="Chennai"/>
    <x v="1"/>
    <s v="Cupboard"/>
    <s v="Cupboard - Furniture"/>
    <n v="1716.78"/>
    <n v="3"/>
    <n v="6"/>
    <n v="358.87"/>
    <x v="2"/>
    <x v="3"/>
    <x v="12"/>
    <x v="1"/>
    <n v="0.20903668495672131"/>
    <s v="Profit"/>
    <s v="Low (1-10%)"/>
  </r>
  <r>
    <x v="606"/>
    <x v="96"/>
    <s v="Yuvraj Chauhan"/>
    <x v="3"/>
    <s v="Ahmedabad"/>
    <x v="2"/>
    <s v="Notebook"/>
    <s v="Notebook - Office Supplies"/>
    <n v="1598.49"/>
    <n v="1"/>
    <n v="11"/>
    <n v="91.21"/>
    <x v="0"/>
    <x v="0"/>
    <x v="4"/>
    <x v="0"/>
    <n v="5.7060100469818388E-2"/>
    <s v="Profit"/>
    <s v="Mid (11-20%)"/>
  </r>
  <r>
    <x v="607"/>
    <x v="223"/>
    <s v="Saanvi Iyer"/>
    <x v="3"/>
    <s v="Nagpur"/>
    <x v="0"/>
    <s v="Tablet"/>
    <s v="Tablet - Technology"/>
    <n v="5999.95"/>
    <n v="5"/>
    <n v="14"/>
    <n v="1117.8499999999999"/>
    <x v="0"/>
    <x v="0"/>
    <x v="7"/>
    <x v="1"/>
    <n v="0.18630988591571596"/>
    <s v="Profit"/>
    <s v="Mid (11-20%)"/>
  </r>
  <r>
    <x v="608"/>
    <x v="216"/>
    <s v="Vivaan Shah"/>
    <x v="1"/>
    <s v="Delhi"/>
    <x v="0"/>
    <s v="Mobile"/>
    <s v="Mobile - Technology"/>
    <n v="6678"/>
    <n v="8"/>
    <n v="14"/>
    <n v="1076.3599999999999"/>
    <x v="1"/>
    <x v="1"/>
    <x v="11"/>
    <x v="1"/>
    <n v="0.16117999401018268"/>
    <s v="Profit"/>
    <s v="Mid (11-20%)"/>
  </r>
  <r>
    <x v="609"/>
    <x v="266"/>
    <s v="Tanishq Ghosh"/>
    <x v="1"/>
    <s v="Lucknow"/>
    <x v="1"/>
    <s v="Sofa"/>
    <s v="Sofa - Furniture"/>
    <n v="11411.28"/>
    <n v="6"/>
    <n v="1"/>
    <n v="2601.56"/>
    <x v="0"/>
    <x v="2"/>
    <x v="3"/>
    <x v="1"/>
    <n v="0.22798143591253564"/>
    <s v="Profit"/>
    <s v="Low (1-10%)"/>
  </r>
  <r>
    <x v="610"/>
    <x v="51"/>
    <s v="Kabir Nair"/>
    <x v="0"/>
    <s v="Kolkata"/>
    <x v="2"/>
    <s v="Notebook"/>
    <s v="Notebook - Office Supplies"/>
    <n v="2686.46"/>
    <n v="2"/>
    <n v="20"/>
    <n v="109.91"/>
    <x v="2"/>
    <x v="0"/>
    <x v="3"/>
    <x v="1"/>
    <n v="4.0912576401658685E-2"/>
    <s v="Profit"/>
    <s v="Mid (11-20%)"/>
  </r>
  <r>
    <x v="611"/>
    <x v="280"/>
    <s v="Diya Sharma"/>
    <x v="0"/>
    <s v="Bhubaneswar"/>
    <x v="0"/>
    <s v="Mobile"/>
    <s v="Mobile - Technology"/>
    <n v="6493.45"/>
    <n v="5"/>
    <n v="27"/>
    <n v="335.5"/>
    <x v="2"/>
    <x v="1"/>
    <x v="9"/>
    <x v="1"/>
    <n v="5.1667449506810709E-2"/>
    <s v="Profit"/>
    <s v="High (&gt;20%)"/>
  </r>
  <r>
    <x v="612"/>
    <x v="18"/>
    <s v="Yuvraj Chauhan"/>
    <x v="1"/>
    <s v="Lucknow"/>
    <x v="2"/>
    <s v="Pen"/>
    <s v="Pen - Office Supplies"/>
    <n v="961.74"/>
    <n v="6"/>
    <n v="19"/>
    <n v="53.96"/>
    <x v="1"/>
    <x v="2"/>
    <x v="7"/>
    <x v="1"/>
    <n v="5.6106640048245886E-2"/>
    <s v="Profit"/>
    <s v="Mid (11-20%)"/>
  </r>
  <r>
    <x v="613"/>
    <x v="235"/>
    <s v="Krishna Das"/>
    <x v="2"/>
    <s v="Hyderabad"/>
    <x v="2"/>
    <s v="Pen"/>
    <s v="Pen - Office Supplies"/>
    <n v="5743.92"/>
    <n v="4"/>
    <n v="13"/>
    <n v="1236.45"/>
    <x v="1"/>
    <x v="2"/>
    <x v="1"/>
    <x v="1"/>
    <n v="0.21526239919776041"/>
    <s v="Profit"/>
    <s v="Mid (11-20%)"/>
  </r>
  <r>
    <x v="614"/>
    <x v="294"/>
    <s v="Diya Sharma"/>
    <x v="3"/>
    <s v="Indore"/>
    <x v="1"/>
    <s v="Chair"/>
    <s v="Chair - Furniture"/>
    <n v="4253.7"/>
    <n v="3"/>
    <n v="3"/>
    <n v="818.64"/>
    <x v="0"/>
    <x v="0"/>
    <x v="10"/>
    <x v="1"/>
    <n v="0.19245362860568446"/>
    <s v="Profit"/>
    <s v="Low (1-10%)"/>
  </r>
  <r>
    <x v="615"/>
    <x v="67"/>
    <s v="Yuvraj Chauhan"/>
    <x v="1"/>
    <s v="Lucknow"/>
    <x v="0"/>
    <s v="Printer"/>
    <s v="Printer - Technology"/>
    <n v="3986"/>
    <n v="2"/>
    <n v="24"/>
    <n v="546.29999999999995"/>
    <x v="0"/>
    <x v="3"/>
    <x v="4"/>
    <x v="0"/>
    <n v="0.13705469141996987"/>
    <s v="Profit"/>
    <s v="High (&gt;20%)"/>
  </r>
  <r>
    <x v="616"/>
    <x v="68"/>
    <s v="Meera Joshi"/>
    <x v="1"/>
    <s v="Lucknow"/>
    <x v="0"/>
    <s v="Laptop"/>
    <s v="Laptop - Technology"/>
    <n v="795.3"/>
    <n v="1"/>
    <n v="22"/>
    <n v="143.65"/>
    <x v="1"/>
    <x v="0"/>
    <x v="5"/>
    <x v="1"/>
    <n v="0.18062366402615368"/>
    <s v="Profit"/>
    <s v="High (&gt;20%)"/>
  </r>
  <r>
    <x v="617"/>
    <x v="161"/>
    <s v="Anaya Singh"/>
    <x v="1"/>
    <s v="Chandigarh"/>
    <x v="0"/>
    <s v="Mobile"/>
    <s v="Mobile - Technology"/>
    <n v="4142.72"/>
    <n v="8"/>
    <n v="5"/>
    <n v="348.36"/>
    <x v="0"/>
    <x v="3"/>
    <x v="5"/>
    <x v="1"/>
    <n v="8.4089680210103504E-2"/>
    <s v="Profit"/>
    <s v="Low (1-10%)"/>
  </r>
  <r>
    <x v="618"/>
    <x v="63"/>
    <s v="Riya Kapoor"/>
    <x v="0"/>
    <s v="Kolkata"/>
    <x v="1"/>
    <s v="Sofa"/>
    <s v="Sofa - Furniture"/>
    <n v="2052.88"/>
    <n v="2"/>
    <n v="11"/>
    <n v="284.85000000000002"/>
    <x v="2"/>
    <x v="2"/>
    <x v="7"/>
    <x v="1"/>
    <n v="0.13875628385487707"/>
    <s v="Profit"/>
    <s v="Mid (11-20%)"/>
  </r>
  <r>
    <x v="619"/>
    <x v="212"/>
    <s v="Vivaan Shah"/>
    <x v="2"/>
    <s v="Hyderabad"/>
    <x v="2"/>
    <s v="Pen"/>
    <s v="Pen - Office Supplies"/>
    <n v="4379.97"/>
    <n v="7"/>
    <n v="29"/>
    <n v="361.35"/>
    <x v="1"/>
    <x v="3"/>
    <x v="4"/>
    <x v="0"/>
    <n v="8.2500565072363516E-2"/>
    <s v="Profit"/>
    <s v="High (&gt;20%)"/>
  </r>
  <r>
    <x v="620"/>
    <x v="59"/>
    <s v="Krishna Das"/>
    <x v="3"/>
    <s v="Pune"/>
    <x v="2"/>
    <s v="Pen"/>
    <s v="Pen - Office Supplies"/>
    <n v="19417.400000000001"/>
    <n v="10"/>
    <n v="23"/>
    <n v="2752.59"/>
    <x v="2"/>
    <x v="0"/>
    <x v="9"/>
    <x v="1"/>
    <n v="0.14175893785985766"/>
    <s v="Profit"/>
    <s v="High (&gt;20%)"/>
  </r>
  <r>
    <x v="621"/>
    <x v="265"/>
    <s v="Ishaan Mehta"/>
    <x v="3"/>
    <s v="Mumbai"/>
    <x v="2"/>
    <s v="Envelope"/>
    <s v="Envelope - Office Supplies"/>
    <n v="8662.2000000000007"/>
    <n v="10"/>
    <n v="28"/>
    <n v="1372.43"/>
    <x v="1"/>
    <x v="3"/>
    <x v="12"/>
    <x v="1"/>
    <n v="0.15843896469719007"/>
    <s v="Profit"/>
    <s v="High (&gt;20%)"/>
  </r>
  <r>
    <x v="622"/>
    <x v="261"/>
    <s v="Anaya Singh"/>
    <x v="0"/>
    <s v="Bhubaneswar"/>
    <x v="2"/>
    <s v="Envelope"/>
    <s v="Envelope - Office Supplies"/>
    <n v="1542.29"/>
    <n v="1"/>
    <n v="6"/>
    <n v="328.41"/>
    <x v="1"/>
    <x v="3"/>
    <x v="4"/>
    <x v="0"/>
    <n v="0.2129366072528513"/>
    <s v="Profit"/>
    <s v="Low (1-10%)"/>
  </r>
  <r>
    <x v="623"/>
    <x v="18"/>
    <s v="Kabir Nair"/>
    <x v="0"/>
    <s v="Patna"/>
    <x v="1"/>
    <s v="Cupboard"/>
    <s v="Cupboard - Furniture"/>
    <n v="3257.82"/>
    <n v="9"/>
    <n v="15"/>
    <n v="212.09"/>
    <x v="1"/>
    <x v="0"/>
    <x v="7"/>
    <x v="1"/>
    <n v="6.5101816552172925E-2"/>
    <s v="Profit"/>
    <s v="Mid (11-20%)"/>
  </r>
  <r>
    <x v="624"/>
    <x v="87"/>
    <s v="Aarav Patel"/>
    <x v="3"/>
    <s v="Mumbai"/>
    <x v="1"/>
    <s v="Chair"/>
    <s v="Chair - Furniture"/>
    <n v="3457.2"/>
    <n v="5"/>
    <n v="22"/>
    <n v="259.33999999999997"/>
    <x v="2"/>
    <x v="2"/>
    <x v="5"/>
    <x v="1"/>
    <n v="7.5014462570866594E-2"/>
    <s v="Profit"/>
    <s v="High (&gt;20%)"/>
  </r>
  <r>
    <x v="625"/>
    <x v="295"/>
    <s v="Meera Joshi"/>
    <x v="0"/>
    <s v="Bhubaneswar"/>
    <x v="2"/>
    <s v="Notebook"/>
    <s v="Notebook - Office Supplies"/>
    <n v="5518.32"/>
    <n v="4"/>
    <n v="19"/>
    <n v="785.52"/>
    <x v="1"/>
    <x v="1"/>
    <x v="6"/>
    <x v="0"/>
    <n v="0.14234767103031357"/>
    <s v="Profit"/>
    <s v="Mid (11-20%)"/>
  </r>
  <r>
    <x v="626"/>
    <x v="239"/>
    <s v="Vivaan Shah"/>
    <x v="1"/>
    <s v="Lucknow"/>
    <x v="0"/>
    <s v="Mobile"/>
    <s v="Mobile - Technology"/>
    <n v="4429.28"/>
    <n v="8"/>
    <n v="12"/>
    <n v="800.15"/>
    <x v="0"/>
    <x v="1"/>
    <x v="0"/>
    <x v="0"/>
    <n v="0.1806501282375465"/>
    <s v="Profit"/>
    <s v="Mid (11-20%)"/>
  </r>
  <r>
    <x v="627"/>
    <x v="13"/>
    <s v="Yuvraj Chauhan"/>
    <x v="2"/>
    <s v="Bangalore"/>
    <x v="2"/>
    <s v="Notebook"/>
    <s v="Notebook - Office Supplies"/>
    <n v="1295.57"/>
    <n v="1"/>
    <n v="12"/>
    <n v="72.48"/>
    <x v="1"/>
    <x v="2"/>
    <x v="9"/>
    <x v="1"/>
    <n v="5.5944487754424697E-2"/>
    <s v="Profit"/>
    <s v="Mid (11-20%)"/>
  </r>
  <r>
    <x v="628"/>
    <x v="130"/>
    <s v="Kriti Desai"/>
    <x v="3"/>
    <s v="Pune"/>
    <x v="0"/>
    <s v="Printer"/>
    <s v="Printer - Technology"/>
    <n v="4256.2"/>
    <n v="5"/>
    <n v="25"/>
    <n v="579.57000000000005"/>
    <x v="0"/>
    <x v="0"/>
    <x v="12"/>
    <x v="1"/>
    <n v="0.13617076265213102"/>
    <s v="Profit"/>
    <s v="High (&gt;20%)"/>
  </r>
  <r>
    <x v="629"/>
    <x v="117"/>
    <s v="Tanishq Ghosh"/>
    <x v="3"/>
    <s v="Mumbai"/>
    <x v="1"/>
    <s v="Cupboard"/>
    <s v="Cupboard - Furniture"/>
    <n v="11003.44"/>
    <n v="7"/>
    <n v="13"/>
    <n v="1129.8699999999999"/>
    <x v="1"/>
    <x v="3"/>
    <x v="7"/>
    <x v="1"/>
    <n v="0.10268334266374878"/>
    <s v="Profit"/>
    <s v="Mid (11-20%)"/>
  </r>
  <r>
    <x v="630"/>
    <x v="209"/>
    <s v="Sneha Reddy"/>
    <x v="2"/>
    <s v="Hyderabad"/>
    <x v="2"/>
    <s v="Pen"/>
    <s v="Pen - Office Supplies"/>
    <n v="4075.35"/>
    <n v="5"/>
    <n v="6"/>
    <n v="417.64"/>
    <x v="1"/>
    <x v="3"/>
    <x v="3"/>
    <x v="1"/>
    <n v="0.10247954163446084"/>
    <s v="Profit"/>
    <s v="Low (1-10%)"/>
  </r>
  <r>
    <x v="631"/>
    <x v="85"/>
    <s v="Aarav Patel"/>
    <x v="1"/>
    <s v="Delhi"/>
    <x v="1"/>
    <s v="Chair"/>
    <s v="Chair - Furniture"/>
    <n v="1748.1"/>
    <n v="5"/>
    <n v="27"/>
    <n v="67.69"/>
    <x v="0"/>
    <x v="2"/>
    <x v="12"/>
    <x v="1"/>
    <n v="3.8722041073165153E-2"/>
    <s v="Profit"/>
    <s v="High (&gt;20%)"/>
  </r>
  <r>
    <x v="632"/>
    <x v="176"/>
    <s v="Diya Sharma"/>
    <x v="0"/>
    <s v="Patna"/>
    <x v="1"/>
    <s v="Chair"/>
    <s v="Chair - Furniture"/>
    <n v="5792.5"/>
    <n v="10"/>
    <n v="16"/>
    <n v="624.83000000000004"/>
    <x v="1"/>
    <x v="1"/>
    <x v="9"/>
    <x v="1"/>
    <n v="0.10786879585671127"/>
    <s v="Profit"/>
    <s v="Mid (11-20%)"/>
  </r>
  <r>
    <x v="633"/>
    <x v="204"/>
    <s v="Tanishq Ghosh"/>
    <x v="0"/>
    <s v="Bhubaneswar"/>
    <x v="2"/>
    <s v="Pen"/>
    <s v="Pen - Office Supplies"/>
    <n v="16064.5"/>
    <n v="10"/>
    <n v="14"/>
    <n v="2814.72"/>
    <x v="2"/>
    <x v="2"/>
    <x v="5"/>
    <x v="1"/>
    <n v="0.17521366989324286"/>
    <s v="Profit"/>
    <s v="Mid (11-20%)"/>
  </r>
  <r>
    <x v="634"/>
    <x v="199"/>
    <s v="Vivaan Shah"/>
    <x v="3"/>
    <s v="Ahmedabad"/>
    <x v="1"/>
    <s v="Chair"/>
    <s v="Chair - Furniture"/>
    <n v="4338.24"/>
    <n v="4"/>
    <n v="25"/>
    <n v="478.99"/>
    <x v="2"/>
    <x v="1"/>
    <x v="3"/>
    <x v="1"/>
    <n v="0.11041113446927787"/>
    <s v="Profit"/>
    <s v="High (&gt;20%)"/>
  </r>
  <r>
    <x v="635"/>
    <x v="68"/>
    <s v="Kabir Nair"/>
    <x v="1"/>
    <s v="Delhi"/>
    <x v="1"/>
    <s v="Cupboard"/>
    <s v="Cupboard - Furniture"/>
    <n v="1541.85"/>
    <n v="1"/>
    <n v="26"/>
    <n v="92.36"/>
    <x v="2"/>
    <x v="2"/>
    <x v="5"/>
    <x v="1"/>
    <n v="5.9902065700295104E-2"/>
    <s v="Profit"/>
    <s v="High (&gt;20%)"/>
  </r>
  <r>
    <x v="636"/>
    <x v="292"/>
    <s v="Saanvi Iyer"/>
    <x v="1"/>
    <s v="Delhi"/>
    <x v="0"/>
    <s v="Printer"/>
    <s v="Printer - Technology"/>
    <n v="1259.8599999999999"/>
    <n v="7"/>
    <n v="11"/>
    <n v="152.04"/>
    <x v="1"/>
    <x v="3"/>
    <x v="10"/>
    <x v="1"/>
    <n v="0.12068007556395155"/>
    <s v="Profit"/>
    <s v="Mid (11-20%)"/>
  </r>
  <r>
    <x v="637"/>
    <x v="296"/>
    <s v="Vivaan Shah"/>
    <x v="2"/>
    <s v="Hyderabad"/>
    <x v="0"/>
    <s v="Laptop"/>
    <s v="Laptop - Technology"/>
    <n v="1962.14"/>
    <n v="1"/>
    <n v="16"/>
    <n v="342.14"/>
    <x v="0"/>
    <x v="2"/>
    <x v="2"/>
    <x v="0"/>
    <n v="0.17437084000122313"/>
    <s v="Profit"/>
    <s v="Mid (11-20%)"/>
  </r>
  <r>
    <x v="638"/>
    <x v="248"/>
    <s v="Kabir Nair"/>
    <x v="3"/>
    <s v="Indore"/>
    <x v="2"/>
    <s v="Notebook"/>
    <s v="Notebook - Office Supplies"/>
    <n v="1836.3"/>
    <n v="6"/>
    <n v="3"/>
    <n v="205.32"/>
    <x v="1"/>
    <x v="3"/>
    <x v="6"/>
    <x v="0"/>
    <n v="0.11181179545825845"/>
    <s v="Profit"/>
    <s v="Low (1-10%)"/>
  </r>
  <r>
    <x v="639"/>
    <x v="193"/>
    <s v="Kabir Nair"/>
    <x v="0"/>
    <s v="Bhubaneswar"/>
    <x v="0"/>
    <s v="Tablet"/>
    <s v="Tablet - Technology"/>
    <n v="2857.02"/>
    <n v="6"/>
    <n v="14"/>
    <n v="588.44000000000005"/>
    <x v="2"/>
    <x v="3"/>
    <x v="7"/>
    <x v="1"/>
    <n v="0.20596285640282533"/>
    <s v="Profit"/>
    <s v="Mid (11-20%)"/>
  </r>
  <r>
    <x v="640"/>
    <x v="297"/>
    <s v="Meera Joshi"/>
    <x v="1"/>
    <s v="Chandigarh"/>
    <x v="0"/>
    <s v="Printer"/>
    <s v="Printer - Technology"/>
    <n v="3438.66"/>
    <n v="2"/>
    <n v="26"/>
    <n v="335.2"/>
    <x v="2"/>
    <x v="3"/>
    <x v="9"/>
    <x v="1"/>
    <n v="9.7479832260240915E-2"/>
    <s v="Profit"/>
    <s v="High (&gt;20%)"/>
  </r>
  <r>
    <x v="641"/>
    <x v="298"/>
    <s v="Krishna Das"/>
    <x v="3"/>
    <s v="Nagpur"/>
    <x v="0"/>
    <s v="Tablet"/>
    <s v="Tablet - Technology"/>
    <n v="3167.46"/>
    <n v="6"/>
    <n v="20"/>
    <n v="321.82"/>
    <x v="0"/>
    <x v="2"/>
    <x v="12"/>
    <x v="1"/>
    <n v="0.10160191446774387"/>
    <s v="Profit"/>
    <s v="Mid (11-20%)"/>
  </r>
  <r>
    <x v="642"/>
    <x v="299"/>
    <s v="Aarav Patel"/>
    <x v="2"/>
    <s v="Bangalore"/>
    <x v="2"/>
    <s v="Envelope"/>
    <s v="Envelope - Office Supplies"/>
    <n v="4706.6400000000003"/>
    <n v="4"/>
    <n v="22"/>
    <n v="284.01"/>
    <x v="0"/>
    <x v="3"/>
    <x v="2"/>
    <x v="0"/>
    <n v="6.0342409872010602E-2"/>
    <s v="Profit"/>
    <s v="High (&gt;20%)"/>
  </r>
  <r>
    <x v="643"/>
    <x v="90"/>
    <s v="Ishaan Mehta"/>
    <x v="3"/>
    <s v="Ahmedabad"/>
    <x v="1"/>
    <s v="Cupboard"/>
    <s v="Cupboard - Furniture"/>
    <n v="3504.84"/>
    <n v="4"/>
    <n v="14"/>
    <n v="196.8"/>
    <x v="1"/>
    <x v="0"/>
    <x v="3"/>
    <x v="1"/>
    <n v="5.6150922724004522E-2"/>
    <s v="Profit"/>
    <s v="Mid (11-20%)"/>
  </r>
  <r>
    <x v="644"/>
    <x v="300"/>
    <s v="Riya Kapoor"/>
    <x v="3"/>
    <s v="Nagpur"/>
    <x v="0"/>
    <s v="Printer"/>
    <s v="Printer - Technology"/>
    <n v="8740.7199999999993"/>
    <n v="8"/>
    <n v="17"/>
    <n v="506.29"/>
    <x v="1"/>
    <x v="1"/>
    <x v="8"/>
    <x v="0"/>
    <n v="5.7923145919329309E-2"/>
    <s v="Profit"/>
    <s v="Mid (11-20%)"/>
  </r>
  <r>
    <x v="645"/>
    <x v="276"/>
    <s v="Anaya Singh"/>
    <x v="0"/>
    <s v="Bhubaneswar"/>
    <x v="2"/>
    <s v="Envelope"/>
    <s v="Envelope - Office Supplies"/>
    <n v="3478.44"/>
    <n v="3"/>
    <n v="8"/>
    <n v="653.04999999999995"/>
    <x v="0"/>
    <x v="3"/>
    <x v="3"/>
    <x v="1"/>
    <n v="0.18774220627637675"/>
    <s v="Profit"/>
    <s v="Low (1-10%)"/>
  </r>
  <r>
    <x v="646"/>
    <x v="301"/>
    <s v="Vivaan Shah"/>
    <x v="3"/>
    <s v="Nagpur"/>
    <x v="1"/>
    <s v="Chair"/>
    <s v="Chair - Furniture"/>
    <n v="5088.42"/>
    <n v="3"/>
    <n v="8"/>
    <n v="326.14"/>
    <x v="1"/>
    <x v="1"/>
    <x v="2"/>
    <x v="0"/>
    <n v="6.4094551943432346E-2"/>
    <s v="Profit"/>
    <s v="Low (1-10%)"/>
  </r>
  <r>
    <x v="647"/>
    <x v="288"/>
    <s v="Sneha Reddy"/>
    <x v="3"/>
    <s v="Indore"/>
    <x v="1"/>
    <s v="Table"/>
    <s v="Table - Furniture"/>
    <n v="1832.31"/>
    <n v="3"/>
    <n v="12"/>
    <n v="290.74"/>
    <x v="1"/>
    <x v="3"/>
    <x v="6"/>
    <x v="0"/>
    <n v="0.15867402350039023"/>
    <s v="Profit"/>
    <s v="Mid (11-20%)"/>
  </r>
  <r>
    <x v="648"/>
    <x v="182"/>
    <s v="Meera Joshi"/>
    <x v="3"/>
    <s v="Nagpur"/>
    <x v="1"/>
    <s v="Table"/>
    <s v="Table - Furniture"/>
    <n v="794.83"/>
    <n v="1"/>
    <n v="11"/>
    <n v="173.66"/>
    <x v="0"/>
    <x v="1"/>
    <x v="7"/>
    <x v="1"/>
    <n v="0.21848697205691781"/>
    <s v="Profit"/>
    <s v="Mid (11-20%)"/>
  </r>
  <r>
    <x v="649"/>
    <x v="302"/>
    <s v="Saanvi Iyer"/>
    <x v="2"/>
    <s v="Bangalore"/>
    <x v="2"/>
    <s v="Stapler"/>
    <s v="Stapler - Office Supplies"/>
    <n v="959.22"/>
    <n v="6"/>
    <n v="17"/>
    <n v="133.4"/>
    <x v="2"/>
    <x v="1"/>
    <x v="0"/>
    <x v="0"/>
    <n v="0.13907132878797357"/>
    <s v="Profit"/>
    <s v="Mid (11-20%)"/>
  </r>
  <r>
    <x v="650"/>
    <x v="299"/>
    <s v="Riya Kapoor"/>
    <x v="1"/>
    <s v="Lucknow"/>
    <x v="1"/>
    <s v="Cupboard"/>
    <s v="Cupboard - Furniture"/>
    <n v="519.83000000000004"/>
    <n v="1"/>
    <n v="15"/>
    <n v="70.459999999999994"/>
    <x v="2"/>
    <x v="1"/>
    <x v="2"/>
    <x v="0"/>
    <n v="0.13554431256372274"/>
    <s v="Profit"/>
    <s v="Mid (11-20%)"/>
  </r>
  <r>
    <x v="651"/>
    <x v="26"/>
    <s v="Krishna Das"/>
    <x v="0"/>
    <s v="Bhubaneswar"/>
    <x v="1"/>
    <s v="Table"/>
    <s v="Table - Furniture"/>
    <n v="1648.8"/>
    <n v="10"/>
    <n v="4"/>
    <n v="140.06"/>
    <x v="2"/>
    <x v="0"/>
    <x v="4"/>
    <x v="0"/>
    <n v="8.4946627850557982E-2"/>
    <s v="Profit"/>
    <s v="Low (1-10%)"/>
  </r>
  <r>
    <x v="652"/>
    <x v="255"/>
    <s v="Saanvi Iyer"/>
    <x v="0"/>
    <s v="Bhubaneswar"/>
    <x v="2"/>
    <s v="Notebook"/>
    <s v="Notebook - Office Supplies"/>
    <n v="11750.76"/>
    <n v="6"/>
    <n v="9"/>
    <n v="1978.88"/>
    <x v="2"/>
    <x v="3"/>
    <x v="5"/>
    <x v="1"/>
    <n v="0.16840442660730029"/>
    <s v="Profit"/>
    <s v="Low (1-10%)"/>
  </r>
  <r>
    <x v="653"/>
    <x v="25"/>
    <s v="Sneha Reddy"/>
    <x v="1"/>
    <s v="Chandigarh"/>
    <x v="2"/>
    <s v="Notebook"/>
    <s v="Notebook - Office Supplies"/>
    <n v="2755.54"/>
    <n v="2"/>
    <n v="18"/>
    <n v="218.5"/>
    <x v="0"/>
    <x v="1"/>
    <x v="9"/>
    <x v="1"/>
    <n v="7.9294802470659106E-2"/>
    <s v="Profit"/>
    <s v="Mid (11-20%)"/>
  </r>
  <r>
    <x v="654"/>
    <x v="85"/>
    <s v="Yuvraj Chauhan"/>
    <x v="2"/>
    <s v="Chennai"/>
    <x v="1"/>
    <s v="Table"/>
    <s v="Table - Furniture"/>
    <n v="11043.09"/>
    <n v="9"/>
    <n v="16"/>
    <n v="573.4"/>
    <x v="0"/>
    <x v="1"/>
    <x v="12"/>
    <x v="1"/>
    <n v="5.1923872756628804E-2"/>
    <s v="Profit"/>
    <s v="Mid (11-20%)"/>
  </r>
  <r>
    <x v="655"/>
    <x v="163"/>
    <s v="Diya Sharma"/>
    <x v="0"/>
    <s v="Patna"/>
    <x v="2"/>
    <s v="Pen"/>
    <s v="Pen - Office Supplies"/>
    <n v="2290.83"/>
    <n v="3"/>
    <n v="9"/>
    <n v="187.52"/>
    <x v="2"/>
    <x v="1"/>
    <x v="9"/>
    <x v="1"/>
    <n v="8.1856794262341603E-2"/>
    <s v="Profit"/>
    <s v="Low (1-10%)"/>
  </r>
  <r>
    <x v="656"/>
    <x v="31"/>
    <s v="Riya Kapoor"/>
    <x v="2"/>
    <s v="Chennai"/>
    <x v="1"/>
    <s v="Table"/>
    <s v="Table - Furniture"/>
    <n v="3224.28"/>
    <n v="6"/>
    <n v="11"/>
    <n v="413.26"/>
    <x v="2"/>
    <x v="2"/>
    <x v="0"/>
    <x v="0"/>
    <n v="0.12817125063580084"/>
    <s v="Profit"/>
    <s v="Mid (11-20%)"/>
  </r>
  <r>
    <x v="657"/>
    <x v="300"/>
    <s v="Arjun Verma"/>
    <x v="0"/>
    <s v="Kolkata"/>
    <x v="1"/>
    <s v="Chair"/>
    <s v="Chair - Furniture"/>
    <n v="15193.6"/>
    <n v="10"/>
    <n v="27"/>
    <n v="1693.93"/>
    <x v="0"/>
    <x v="2"/>
    <x v="8"/>
    <x v="0"/>
    <n v="0.11148970619208087"/>
    <s v="Profit"/>
    <s v="High (&gt;20%)"/>
  </r>
  <r>
    <x v="658"/>
    <x v="179"/>
    <s v="Kabir Nair"/>
    <x v="3"/>
    <s v="Nagpur"/>
    <x v="2"/>
    <s v="Stapler"/>
    <s v="Stapler - Office Supplies"/>
    <n v="4082.94"/>
    <n v="9"/>
    <n v="7.0000000000000009"/>
    <n v="803.66"/>
    <x v="1"/>
    <x v="2"/>
    <x v="10"/>
    <x v="1"/>
    <n v="0.19683365418056595"/>
    <s v="Profit"/>
    <s v="Low (1-10%)"/>
  </r>
  <r>
    <x v="659"/>
    <x v="256"/>
    <s v="Kabir Nair"/>
    <x v="2"/>
    <s v="Chennai"/>
    <x v="2"/>
    <s v="Stapler"/>
    <s v="Stapler - Office Supplies"/>
    <n v="17802.45"/>
    <n v="9"/>
    <n v="6"/>
    <n v="3892.55"/>
    <x v="0"/>
    <x v="3"/>
    <x v="3"/>
    <x v="1"/>
    <n v="0.21865248884282781"/>
    <s v="Profit"/>
    <s v="Low (1-10%)"/>
  </r>
  <r>
    <x v="660"/>
    <x v="34"/>
    <s v="Riya Kapoor"/>
    <x v="2"/>
    <s v="Bangalore"/>
    <x v="2"/>
    <s v="Envelope"/>
    <s v="Envelope - Office Supplies"/>
    <n v="7840.32"/>
    <n v="4"/>
    <n v="22"/>
    <n v="499.78"/>
    <x v="1"/>
    <x v="1"/>
    <x v="11"/>
    <x v="1"/>
    <n v="6.3744847149095951E-2"/>
    <s v="Profit"/>
    <s v="High (&gt;20%)"/>
  </r>
  <r>
    <x v="661"/>
    <x v="238"/>
    <s v="Aarav Patel"/>
    <x v="0"/>
    <s v="Patna"/>
    <x v="2"/>
    <s v="Stapler"/>
    <s v="Stapler - Office Supplies"/>
    <n v="11398.16"/>
    <n v="8"/>
    <n v="15"/>
    <n v="1723.1"/>
    <x v="1"/>
    <x v="0"/>
    <x v="2"/>
    <x v="0"/>
    <n v="0.15117352274402185"/>
    <s v="Profit"/>
    <s v="Mid (11-20%)"/>
  </r>
  <r>
    <x v="662"/>
    <x v="7"/>
    <s v="Krishna Das"/>
    <x v="1"/>
    <s v="Chandigarh"/>
    <x v="0"/>
    <s v="Mobile"/>
    <s v="Mobile - Technology"/>
    <n v="4837.5"/>
    <n v="10"/>
    <n v="2"/>
    <n v="256.85000000000002"/>
    <x v="0"/>
    <x v="3"/>
    <x v="5"/>
    <x v="1"/>
    <n v="5.3095607235142124E-2"/>
    <s v="Profit"/>
    <s v="Low (1-10%)"/>
  </r>
  <r>
    <x v="663"/>
    <x v="303"/>
    <s v="Krishna Das"/>
    <x v="0"/>
    <s v="Kolkata"/>
    <x v="1"/>
    <s v="Chair"/>
    <s v="Chair - Furniture"/>
    <n v="3542.05"/>
    <n v="5"/>
    <n v="7.0000000000000009"/>
    <n v="521.67999999999995"/>
    <x v="0"/>
    <x v="2"/>
    <x v="12"/>
    <x v="1"/>
    <n v="0.14728194124871188"/>
    <s v="Profit"/>
    <s v="Low (1-10%)"/>
  </r>
  <r>
    <x v="664"/>
    <x v="19"/>
    <s v="Kabir Nair"/>
    <x v="3"/>
    <s v="Indore"/>
    <x v="0"/>
    <s v="Tablet"/>
    <s v="Tablet - Technology"/>
    <n v="740.57"/>
    <n v="1"/>
    <n v="2"/>
    <n v="160.55000000000001"/>
    <x v="0"/>
    <x v="1"/>
    <x v="6"/>
    <x v="0"/>
    <n v="0.21679247066448817"/>
    <s v="Profit"/>
    <s v="Low (1-10%)"/>
  </r>
  <r>
    <x v="665"/>
    <x v="96"/>
    <s v="Saanvi Iyer"/>
    <x v="3"/>
    <s v="Mumbai"/>
    <x v="2"/>
    <s v="Notebook"/>
    <s v="Notebook - Office Supplies"/>
    <n v="3839.38"/>
    <n v="2"/>
    <n v="4"/>
    <n v="893.26"/>
    <x v="2"/>
    <x v="2"/>
    <x v="4"/>
    <x v="0"/>
    <n v="0.23265735613562605"/>
    <s v="Profit"/>
    <s v="Low (1-10%)"/>
  </r>
  <r>
    <x v="666"/>
    <x v="46"/>
    <s v="Diya Sharma"/>
    <x v="0"/>
    <s v="Patna"/>
    <x v="2"/>
    <s v="Envelope"/>
    <s v="Envelope - Office Supplies"/>
    <n v="12652.32"/>
    <n v="8"/>
    <n v="25"/>
    <n v="1349.14"/>
    <x v="1"/>
    <x v="2"/>
    <x v="2"/>
    <x v="0"/>
    <n v="0.10663182720639378"/>
    <s v="Profit"/>
    <s v="High (&gt;20%)"/>
  </r>
  <r>
    <x v="667"/>
    <x v="284"/>
    <s v="Kriti Desai"/>
    <x v="2"/>
    <s v="Chennai"/>
    <x v="2"/>
    <s v="Pen"/>
    <s v="Pen - Office Supplies"/>
    <n v="3580.86"/>
    <n v="3"/>
    <n v="12"/>
    <n v="510.73"/>
    <x v="0"/>
    <x v="3"/>
    <x v="0"/>
    <x v="0"/>
    <n v="0.14262774864138783"/>
    <s v="Profit"/>
    <s v="Mid (11-20%)"/>
  </r>
  <r>
    <x v="668"/>
    <x v="304"/>
    <s v="Meera Joshi"/>
    <x v="1"/>
    <s v="Delhi"/>
    <x v="2"/>
    <s v="Notebook"/>
    <s v="Notebook - Office Supplies"/>
    <n v="870.48"/>
    <n v="3"/>
    <n v="22"/>
    <n v="74.239999999999995"/>
    <x v="2"/>
    <x v="1"/>
    <x v="9"/>
    <x v="1"/>
    <n v="8.5286278834665927E-2"/>
    <s v="Profit"/>
    <s v="High (&gt;20%)"/>
  </r>
  <r>
    <x v="669"/>
    <x v="255"/>
    <s v="Kabir Nair"/>
    <x v="2"/>
    <s v="Bangalore"/>
    <x v="0"/>
    <s v="Printer"/>
    <s v="Printer - Technology"/>
    <n v="7080"/>
    <n v="10"/>
    <n v="12"/>
    <n v="839.27"/>
    <x v="0"/>
    <x v="0"/>
    <x v="5"/>
    <x v="1"/>
    <n v="0.1185409604519774"/>
    <s v="Profit"/>
    <s v="Mid (11-20%)"/>
  </r>
  <r>
    <x v="670"/>
    <x v="305"/>
    <s v="Anaya Singh"/>
    <x v="2"/>
    <s v="Chennai"/>
    <x v="0"/>
    <s v="Tablet"/>
    <s v="Tablet - Technology"/>
    <n v="3597.22"/>
    <n v="2"/>
    <n v="2"/>
    <n v="501.27"/>
    <x v="2"/>
    <x v="1"/>
    <x v="1"/>
    <x v="1"/>
    <n v="0.13934927527368357"/>
    <s v="Profit"/>
    <s v="Low (1-10%)"/>
  </r>
  <r>
    <x v="671"/>
    <x v="126"/>
    <s v="Meera Joshi"/>
    <x v="1"/>
    <s v="Chandigarh"/>
    <x v="2"/>
    <s v="Envelope"/>
    <s v="Envelope - Office Supplies"/>
    <n v="2567.1"/>
    <n v="2"/>
    <n v="3"/>
    <n v="465.37"/>
    <x v="0"/>
    <x v="3"/>
    <x v="11"/>
    <x v="1"/>
    <n v="0.18128238089673174"/>
    <s v="Profit"/>
    <s v="Low (1-10%)"/>
  </r>
  <r>
    <x v="672"/>
    <x v="255"/>
    <s v="Saanvi Iyer"/>
    <x v="0"/>
    <s v="Bhubaneswar"/>
    <x v="1"/>
    <s v="Table"/>
    <s v="Table - Furniture"/>
    <n v="10719.06"/>
    <n v="6"/>
    <n v="18"/>
    <n v="1665.32"/>
    <x v="2"/>
    <x v="1"/>
    <x v="5"/>
    <x v="1"/>
    <n v="0.15536063796638885"/>
    <s v="Profit"/>
    <s v="Mid (11-20%)"/>
  </r>
  <r>
    <x v="673"/>
    <x v="306"/>
    <s v="Anaya Singh"/>
    <x v="3"/>
    <s v="Ahmedabad"/>
    <x v="2"/>
    <s v="Envelope"/>
    <s v="Envelope - Office Supplies"/>
    <n v="7946.1"/>
    <n v="10"/>
    <n v="27"/>
    <n v="799.37"/>
    <x v="2"/>
    <x v="0"/>
    <x v="1"/>
    <x v="1"/>
    <n v="0.10059903600508426"/>
    <s v="Profit"/>
    <s v="High (&gt;20%)"/>
  </r>
  <r>
    <x v="674"/>
    <x v="289"/>
    <s v="Yuvraj Chauhan"/>
    <x v="3"/>
    <s v="Ahmedabad"/>
    <x v="1"/>
    <s v="Sofa"/>
    <s v="Sofa - Furniture"/>
    <n v="800.15"/>
    <n v="1"/>
    <n v="29"/>
    <n v="74.14"/>
    <x v="2"/>
    <x v="2"/>
    <x v="0"/>
    <x v="0"/>
    <n v="9.2657626694994694E-2"/>
    <s v="Profit"/>
    <s v="High (&gt;20%)"/>
  </r>
  <r>
    <x v="675"/>
    <x v="209"/>
    <s v="Tanishq Ghosh"/>
    <x v="1"/>
    <s v="Lucknow"/>
    <x v="0"/>
    <s v="Laptop"/>
    <s v="Laptop - Technology"/>
    <n v="1962.31"/>
    <n v="7"/>
    <n v="17"/>
    <n v="88.93"/>
    <x v="1"/>
    <x v="0"/>
    <x v="3"/>
    <x v="1"/>
    <n v="4.5319037257110249E-2"/>
    <s v="Profit"/>
    <s v="Mid (11-20%)"/>
  </r>
  <r>
    <x v="676"/>
    <x v="262"/>
    <s v="Arjun Verma"/>
    <x v="3"/>
    <s v="Nagpur"/>
    <x v="1"/>
    <s v="Chair"/>
    <s v="Chair - Furniture"/>
    <n v="5341.23"/>
    <n v="3"/>
    <n v="18"/>
    <n v="588.92999999999995"/>
    <x v="1"/>
    <x v="0"/>
    <x v="11"/>
    <x v="1"/>
    <n v="0.1102611196297482"/>
    <s v="Profit"/>
    <s v="Mid (11-20%)"/>
  </r>
  <r>
    <x v="677"/>
    <x v="288"/>
    <s v="Sneha Reddy"/>
    <x v="0"/>
    <s v="Patna"/>
    <x v="1"/>
    <s v="Cupboard"/>
    <s v="Cupboard - Furniture"/>
    <n v="4656.3500000000004"/>
    <n v="5"/>
    <n v="18"/>
    <n v="293.39"/>
    <x v="0"/>
    <x v="2"/>
    <x v="6"/>
    <x v="0"/>
    <n v="6.3008579681510191E-2"/>
    <s v="Profit"/>
    <s v="Mid (11-20%)"/>
  </r>
  <r>
    <x v="678"/>
    <x v="224"/>
    <s v="Anaya Singh"/>
    <x v="2"/>
    <s v="Hyderabad"/>
    <x v="1"/>
    <s v="Chair"/>
    <s v="Chair - Furniture"/>
    <n v="2345.2199999999998"/>
    <n v="2"/>
    <n v="17"/>
    <n v="472.29"/>
    <x v="0"/>
    <x v="0"/>
    <x v="2"/>
    <x v="0"/>
    <n v="0.20138409189756187"/>
    <s v="Profit"/>
    <s v="Mid (11-20%)"/>
  </r>
  <r>
    <x v="679"/>
    <x v="85"/>
    <s v="Yuvraj Chauhan"/>
    <x v="2"/>
    <s v="Hyderabad"/>
    <x v="1"/>
    <s v="Cupboard"/>
    <s v="Cupboard - Furniture"/>
    <n v="2666.49"/>
    <n v="3"/>
    <n v="3"/>
    <n v="300.47000000000003"/>
    <x v="1"/>
    <x v="1"/>
    <x v="12"/>
    <x v="1"/>
    <n v="0.1126837152961384"/>
    <s v="Profit"/>
    <s v="Low (1-10%)"/>
  </r>
  <r>
    <x v="680"/>
    <x v="307"/>
    <s v="Anaya Singh"/>
    <x v="2"/>
    <s v="Bangalore"/>
    <x v="0"/>
    <s v="Printer"/>
    <s v="Printer - Technology"/>
    <n v="541.16"/>
    <n v="4"/>
    <n v="7.0000000000000009"/>
    <n v="53.38"/>
    <x v="2"/>
    <x v="0"/>
    <x v="11"/>
    <x v="1"/>
    <n v="9.8639958607435893E-2"/>
    <s v="Profit"/>
    <s v="Low (1-10%)"/>
  </r>
  <r>
    <x v="681"/>
    <x v="308"/>
    <s v="Meera Joshi"/>
    <x v="2"/>
    <s v="Bangalore"/>
    <x v="0"/>
    <s v="Laptop"/>
    <s v="Laptop - Technology"/>
    <n v="2959.17"/>
    <n v="3"/>
    <n v="22"/>
    <n v="179.4"/>
    <x v="2"/>
    <x v="1"/>
    <x v="8"/>
    <x v="0"/>
    <n v="6.0625107716014967E-2"/>
    <s v="Profit"/>
    <s v="High (&gt;20%)"/>
  </r>
  <r>
    <x v="682"/>
    <x v="0"/>
    <s v="Aarav Patel"/>
    <x v="2"/>
    <s v="Chennai"/>
    <x v="2"/>
    <s v="Pen"/>
    <s v="Pen - Office Supplies"/>
    <n v="12937.6"/>
    <n v="10"/>
    <n v="9"/>
    <n v="910.9"/>
    <x v="1"/>
    <x v="1"/>
    <x v="0"/>
    <x v="0"/>
    <n v="7.0407185258471422E-2"/>
    <s v="Profit"/>
    <s v="Low (1-10%)"/>
  </r>
  <r>
    <x v="683"/>
    <x v="184"/>
    <s v="Meera Joshi"/>
    <x v="3"/>
    <s v="Ahmedabad"/>
    <x v="2"/>
    <s v="Pen"/>
    <s v="Pen - Office Supplies"/>
    <n v="11775.9"/>
    <n v="6"/>
    <n v="27"/>
    <n v="1197.94"/>
    <x v="2"/>
    <x v="2"/>
    <x v="4"/>
    <x v="0"/>
    <n v="0.1017281057074194"/>
    <s v="Profit"/>
    <s v="High (&gt;20%)"/>
  </r>
  <r>
    <x v="684"/>
    <x v="296"/>
    <s v="Ishaan Mehta"/>
    <x v="0"/>
    <s v="Bhubaneswar"/>
    <x v="2"/>
    <s v="Envelope"/>
    <s v="Envelope - Office Supplies"/>
    <n v="5024.08"/>
    <n v="4"/>
    <n v="13"/>
    <n v="705.7"/>
    <x v="0"/>
    <x v="3"/>
    <x v="2"/>
    <x v="0"/>
    <n v="0.14046352765083359"/>
    <s v="Profit"/>
    <s v="Mid (11-20%)"/>
  </r>
  <r>
    <x v="685"/>
    <x v="85"/>
    <s v="Arjun Verma"/>
    <x v="3"/>
    <s v="Mumbai"/>
    <x v="1"/>
    <s v="Chair"/>
    <s v="Chair - Furniture"/>
    <n v="9625.52"/>
    <n v="8"/>
    <n v="3"/>
    <n v="539.09"/>
    <x v="1"/>
    <x v="3"/>
    <x v="12"/>
    <x v="1"/>
    <n v="5.6006324853098845E-2"/>
    <s v="Profit"/>
    <s v="Low (1-10%)"/>
  </r>
  <r>
    <x v="686"/>
    <x v="309"/>
    <s v="Tanishq Ghosh"/>
    <x v="0"/>
    <s v="Bhubaneswar"/>
    <x v="2"/>
    <s v="Pen"/>
    <s v="Pen - Office Supplies"/>
    <n v="727.42"/>
    <n v="1"/>
    <n v="12"/>
    <n v="55.51"/>
    <x v="2"/>
    <x v="3"/>
    <x v="0"/>
    <x v="0"/>
    <n v="7.6310797063594629E-2"/>
    <s v="Profit"/>
    <s v="Mid (11-20%)"/>
  </r>
  <r>
    <x v="687"/>
    <x v="14"/>
    <s v="Arjun Verma"/>
    <x v="2"/>
    <s v="Bangalore"/>
    <x v="0"/>
    <s v="Mobile"/>
    <s v="Mobile - Technology"/>
    <n v="318.62"/>
    <n v="2"/>
    <n v="16"/>
    <n v="44.92"/>
    <x v="1"/>
    <x v="1"/>
    <x v="1"/>
    <x v="1"/>
    <n v="0.14098298914066915"/>
    <s v="Profit"/>
    <s v="Mid (11-20%)"/>
  </r>
  <r>
    <x v="688"/>
    <x v="285"/>
    <s v="Krishna Das"/>
    <x v="1"/>
    <s v="Delhi"/>
    <x v="0"/>
    <s v="Laptop"/>
    <s v="Laptop - Technology"/>
    <n v="4790.08"/>
    <n v="4"/>
    <n v="9"/>
    <n v="262.10000000000002"/>
    <x v="1"/>
    <x v="0"/>
    <x v="5"/>
    <x v="1"/>
    <n v="5.471724898122788E-2"/>
    <s v="Profit"/>
    <s v="Low (1-10%)"/>
  </r>
  <r>
    <x v="689"/>
    <x v="310"/>
    <s v="Arjun Verma"/>
    <x v="3"/>
    <s v="Nagpur"/>
    <x v="0"/>
    <s v="Mobile"/>
    <s v="Mobile - Technology"/>
    <n v="13613.46"/>
    <n v="7"/>
    <n v="17"/>
    <n v="2292.65"/>
    <x v="0"/>
    <x v="1"/>
    <x v="7"/>
    <x v="1"/>
    <n v="0.16841052899116024"/>
    <s v="Profit"/>
    <s v="Mid (11-20%)"/>
  </r>
  <r>
    <x v="690"/>
    <x v="120"/>
    <s v="Ishaan Mehta"/>
    <x v="3"/>
    <s v="Ahmedabad"/>
    <x v="2"/>
    <s v="Pen"/>
    <s v="Pen - Office Supplies"/>
    <n v="1723.04"/>
    <n v="4"/>
    <n v="9"/>
    <n v="363.38"/>
    <x v="2"/>
    <x v="0"/>
    <x v="12"/>
    <x v="1"/>
    <n v="0.21089469774352307"/>
    <s v="Profit"/>
    <s v="Low (1-10%)"/>
  </r>
  <r>
    <x v="691"/>
    <x v="13"/>
    <s v="Krishna Das"/>
    <x v="2"/>
    <s v="Bangalore"/>
    <x v="1"/>
    <s v="Cupboard"/>
    <s v="Cupboard - Furniture"/>
    <n v="17058.599999999999"/>
    <n v="9"/>
    <n v="23"/>
    <n v="1184.94"/>
    <x v="1"/>
    <x v="1"/>
    <x v="9"/>
    <x v="1"/>
    <n v="6.946291020365096E-2"/>
    <s v="Profit"/>
    <s v="High (&gt;20%)"/>
  </r>
  <r>
    <x v="692"/>
    <x v="6"/>
    <s v="Kabir Nair"/>
    <x v="0"/>
    <s v="Patna"/>
    <x v="2"/>
    <s v="Envelope"/>
    <s v="Envelope - Office Supplies"/>
    <n v="11789.61"/>
    <n v="7"/>
    <n v="18"/>
    <n v="876.45"/>
    <x v="1"/>
    <x v="2"/>
    <x v="5"/>
    <x v="1"/>
    <n v="7.4340881504986175E-2"/>
    <s v="Profit"/>
    <s v="Mid (11-20%)"/>
  </r>
  <r>
    <x v="693"/>
    <x v="151"/>
    <s v="Krishna Das"/>
    <x v="2"/>
    <s v="Bangalore"/>
    <x v="1"/>
    <s v="Chair"/>
    <s v="Chair - Furniture"/>
    <n v="5344.32"/>
    <n v="3"/>
    <n v="12"/>
    <n v="659.67"/>
    <x v="2"/>
    <x v="1"/>
    <x v="6"/>
    <x v="0"/>
    <n v="0.12343385126639124"/>
    <s v="Profit"/>
    <s v="Mid (11-20%)"/>
  </r>
  <r>
    <x v="694"/>
    <x v="51"/>
    <s v="Ishaan Mehta"/>
    <x v="0"/>
    <s v="Patna"/>
    <x v="1"/>
    <s v="Table"/>
    <s v="Table - Furniture"/>
    <n v="605.1"/>
    <n v="5"/>
    <n v="21"/>
    <n v="55.69"/>
    <x v="2"/>
    <x v="3"/>
    <x v="3"/>
    <x v="1"/>
    <n v="9.2034374483556433E-2"/>
    <s v="Profit"/>
    <s v="High (&gt;20%)"/>
  </r>
  <r>
    <x v="695"/>
    <x v="251"/>
    <s v="Sneha Reddy"/>
    <x v="1"/>
    <s v="Delhi"/>
    <x v="2"/>
    <s v="Pen"/>
    <s v="Pen - Office Supplies"/>
    <n v="6667.57"/>
    <n v="7"/>
    <n v="8"/>
    <n v="989.97"/>
    <x v="0"/>
    <x v="0"/>
    <x v="4"/>
    <x v="0"/>
    <n v="0.14847538158579512"/>
    <s v="Profit"/>
    <s v="Low (1-10%)"/>
  </r>
  <r>
    <x v="696"/>
    <x v="3"/>
    <s v="Diya Sharma"/>
    <x v="2"/>
    <s v="Hyderabad"/>
    <x v="0"/>
    <s v="Tablet"/>
    <s v="Tablet - Technology"/>
    <n v="5276.11"/>
    <n v="7"/>
    <n v="10"/>
    <n v="675.83"/>
    <x v="1"/>
    <x v="0"/>
    <x v="0"/>
    <x v="0"/>
    <n v="0.12809247722280243"/>
    <s v="Profit"/>
    <s v="Low (1-10%)"/>
  </r>
  <r>
    <x v="697"/>
    <x v="79"/>
    <s v="Meera Joshi"/>
    <x v="2"/>
    <s v="Hyderabad"/>
    <x v="0"/>
    <s v="Laptop"/>
    <s v="Laptop - Technology"/>
    <n v="9638.65"/>
    <n v="7"/>
    <n v="21"/>
    <n v="1586.64"/>
    <x v="0"/>
    <x v="3"/>
    <x v="9"/>
    <x v="1"/>
    <n v="0.16461226416562488"/>
    <s v="Profit"/>
    <s v="High (&gt;20%)"/>
  </r>
  <r>
    <x v="698"/>
    <x v="37"/>
    <s v="Krishna Das"/>
    <x v="1"/>
    <s v="Jaipur"/>
    <x v="1"/>
    <s v="Cupboard"/>
    <s v="Cupboard - Furniture"/>
    <n v="6034.68"/>
    <n v="6"/>
    <n v="17"/>
    <n v="946.33"/>
    <x v="1"/>
    <x v="0"/>
    <x v="4"/>
    <x v="0"/>
    <n v="0.15681527438074597"/>
    <s v="Profit"/>
    <s v="Mid (11-20%)"/>
  </r>
  <r>
    <x v="699"/>
    <x v="239"/>
    <s v="Diya Sharma"/>
    <x v="1"/>
    <s v="Jaipur"/>
    <x v="0"/>
    <s v="Printer"/>
    <s v="Printer - Technology"/>
    <n v="2456.86"/>
    <n v="7"/>
    <n v="1"/>
    <n v="226.08"/>
    <x v="0"/>
    <x v="0"/>
    <x v="0"/>
    <x v="0"/>
    <n v="9.2019895313530276E-2"/>
    <s v="Profit"/>
    <s v="Low (1-10%)"/>
  </r>
  <r>
    <x v="700"/>
    <x v="114"/>
    <s v="Saanvi Iyer"/>
    <x v="3"/>
    <s v="Indore"/>
    <x v="0"/>
    <s v="Printer"/>
    <s v="Printer - Technology"/>
    <n v="8436.33"/>
    <n v="7"/>
    <n v="5"/>
    <n v="1680.98"/>
    <x v="1"/>
    <x v="1"/>
    <x v="11"/>
    <x v="1"/>
    <n v="0.19925488927057144"/>
    <s v="Profit"/>
    <s v="Low (1-10%)"/>
  </r>
  <r>
    <x v="701"/>
    <x v="311"/>
    <s v="Anaya Singh"/>
    <x v="0"/>
    <s v="Bhubaneswar"/>
    <x v="2"/>
    <s v="Stapler"/>
    <s v="Stapler - Office Supplies"/>
    <n v="1277.92"/>
    <n v="2"/>
    <n v="6"/>
    <n v="182.53"/>
    <x v="1"/>
    <x v="3"/>
    <x v="10"/>
    <x v="1"/>
    <n v="0.14283366720921498"/>
    <s v="Profit"/>
    <s v="Low (1-10%)"/>
  </r>
  <r>
    <x v="702"/>
    <x v="312"/>
    <s v="Meera Joshi"/>
    <x v="3"/>
    <s v="Indore"/>
    <x v="0"/>
    <s v="Mobile"/>
    <s v="Mobile - Technology"/>
    <n v="6384.69"/>
    <n v="9"/>
    <n v="21"/>
    <n v="305.61"/>
    <x v="0"/>
    <x v="2"/>
    <x v="4"/>
    <x v="0"/>
    <n v="4.7866067107408511E-2"/>
    <s v="Profit"/>
    <s v="High (&gt;20%)"/>
  </r>
  <r>
    <x v="703"/>
    <x v="304"/>
    <s v="Anaya Singh"/>
    <x v="0"/>
    <s v="Patna"/>
    <x v="2"/>
    <s v="Pen"/>
    <s v="Pen - Office Supplies"/>
    <n v="2963.08"/>
    <n v="2"/>
    <n v="6"/>
    <n v="690.45"/>
    <x v="0"/>
    <x v="2"/>
    <x v="9"/>
    <x v="1"/>
    <n v="0.23301767080200333"/>
    <s v="Profit"/>
    <s v="Low (1-10%)"/>
  </r>
  <r>
    <x v="704"/>
    <x v="178"/>
    <s v="Riya Kapoor"/>
    <x v="1"/>
    <s v="Jaipur"/>
    <x v="1"/>
    <s v="Cupboard"/>
    <s v="Cupboard - Furniture"/>
    <n v="7077.76"/>
    <n v="8"/>
    <n v="28"/>
    <n v="794.85"/>
    <x v="0"/>
    <x v="2"/>
    <x v="0"/>
    <x v="0"/>
    <n v="0.1123024798806402"/>
    <s v="Profit"/>
    <s v="High (&gt;20%)"/>
  </r>
  <r>
    <x v="705"/>
    <x v="241"/>
    <s v="Vivaan Shah"/>
    <x v="2"/>
    <s v="Chennai"/>
    <x v="2"/>
    <s v="Pen"/>
    <s v="Pen - Office Supplies"/>
    <n v="1605.16"/>
    <n v="1"/>
    <n v="19"/>
    <n v="300.94"/>
    <x v="1"/>
    <x v="1"/>
    <x v="6"/>
    <x v="0"/>
    <n v="0.18748286775150139"/>
    <s v="Profit"/>
    <s v="Mid (11-20%)"/>
  </r>
  <r>
    <x v="706"/>
    <x v="308"/>
    <s v="Sneha Reddy"/>
    <x v="3"/>
    <s v="Mumbai"/>
    <x v="0"/>
    <s v="Mobile"/>
    <s v="Mobile - Technology"/>
    <n v="2792.44"/>
    <n v="2"/>
    <n v="12"/>
    <n v="500.35"/>
    <x v="0"/>
    <x v="2"/>
    <x v="8"/>
    <x v="0"/>
    <n v="0.17918021515233989"/>
    <s v="Profit"/>
    <s v="Mid (11-20%)"/>
  </r>
  <r>
    <x v="707"/>
    <x v="152"/>
    <s v="Sneha Reddy"/>
    <x v="1"/>
    <s v="Delhi"/>
    <x v="0"/>
    <s v="Laptop"/>
    <s v="Laptop - Technology"/>
    <n v="9324.4"/>
    <n v="10"/>
    <n v="6"/>
    <n v="1754.87"/>
    <x v="1"/>
    <x v="2"/>
    <x v="7"/>
    <x v="1"/>
    <n v="0.18820192183947493"/>
    <s v="Profit"/>
    <s v="Low (1-10%)"/>
  </r>
  <r>
    <x v="708"/>
    <x v="261"/>
    <s v="Aarav Patel"/>
    <x v="2"/>
    <s v="Bangalore"/>
    <x v="1"/>
    <s v="Chair"/>
    <s v="Chair - Furniture"/>
    <n v="6054.3"/>
    <n v="5"/>
    <n v="11"/>
    <n v="502.63"/>
    <x v="0"/>
    <x v="0"/>
    <x v="4"/>
    <x v="0"/>
    <n v="8.3020332656128695E-2"/>
    <s v="Profit"/>
    <s v="Mid (11-20%)"/>
  </r>
  <r>
    <x v="709"/>
    <x v="301"/>
    <s v="Krishna Das"/>
    <x v="2"/>
    <s v="Hyderabad"/>
    <x v="0"/>
    <s v="Tablet"/>
    <s v="Tablet - Technology"/>
    <n v="14239.04"/>
    <n v="8"/>
    <n v="24"/>
    <n v="552.21"/>
    <x v="0"/>
    <x v="3"/>
    <x v="2"/>
    <x v="0"/>
    <n v="3.8781406611681689E-2"/>
    <s v="Profit"/>
    <s v="High (&gt;20%)"/>
  </r>
  <r>
    <x v="710"/>
    <x v="143"/>
    <s v="Anaya Singh"/>
    <x v="2"/>
    <s v="Chennai"/>
    <x v="0"/>
    <s v="Laptop"/>
    <s v="Laptop - Technology"/>
    <n v="19512.599999999999"/>
    <n v="10"/>
    <n v="18"/>
    <n v="1091.53"/>
    <x v="1"/>
    <x v="2"/>
    <x v="2"/>
    <x v="0"/>
    <n v="5.5939751750151187E-2"/>
    <s v="Profit"/>
    <s v="Mid (11-20%)"/>
  </r>
  <r>
    <x v="711"/>
    <x v="183"/>
    <s v="Diya Sharma"/>
    <x v="1"/>
    <s v="Jaipur"/>
    <x v="2"/>
    <s v="Envelope"/>
    <s v="Envelope - Office Supplies"/>
    <n v="7368.66"/>
    <n v="6"/>
    <n v="28"/>
    <n v="983.75"/>
    <x v="1"/>
    <x v="0"/>
    <x v="6"/>
    <x v="0"/>
    <n v="0.13350459920799712"/>
    <s v="Profit"/>
    <s v="High (&gt;20%)"/>
  </r>
  <r>
    <x v="712"/>
    <x v="190"/>
    <s v="Krishna Das"/>
    <x v="0"/>
    <s v="Kolkata"/>
    <x v="2"/>
    <s v="Pen"/>
    <s v="Pen - Office Supplies"/>
    <n v="7462.08"/>
    <n v="4"/>
    <n v="25"/>
    <n v="805.92"/>
    <x v="0"/>
    <x v="2"/>
    <x v="2"/>
    <x v="0"/>
    <n v="0.10800205840730734"/>
    <s v="Profit"/>
    <s v="High (&gt;20%)"/>
  </r>
  <r>
    <x v="713"/>
    <x v="313"/>
    <s v="Saanvi Iyer"/>
    <x v="0"/>
    <s v="Kolkata"/>
    <x v="2"/>
    <s v="Envelope"/>
    <s v="Envelope - Office Supplies"/>
    <n v="4548.18"/>
    <n v="3"/>
    <n v="16"/>
    <n v="399.48"/>
    <x v="0"/>
    <x v="2"/>
    <x v="9"/>
    <x v="1"/>
    <n v="8.7832935371950971E-2"/>
    <s v="Profit"/>
    <s v="Mid (11-20%)"/>
  </r>
  <r>
    <x v="714"/>
    <x v="15"/>
    <s v="Riya Kapoor"/>
    <x v="1"/>
    <s v="Lucknow"/>
    <x v="0"/>
    <s v="Mobile"/>
    <s v="Mobile - Technology"/>
    <n v="1063.07"/>
    <n v="1"/>
    <n v="26"/>
    <n v="111.51"/>
    <x v="0"/>
    <x v="2"/>
    <x v="2"/>
    <x v="0"/>
    <n v="0.1048943155201445"/>
    <s v="Profit"/>
    <s v="High (&gt;20%)"/>
  </r>
  <r>
    <x v="715"/>
    <x v="9"/>
    <s v="Tanishq Ghosh"/>
    <x v="2"/>
    <s v="Bangalore"/>
    <x v="0"/>
    <s v="Printer"/>
    <s v="Printer - Technology"/>
    <n v="3950.3"/>
    <n v="10"/>
    <n v="11"/>
    <n v="200.27"/>
    <x v="2"/>
    <x v="0"/>
    <x v="6"/>
    <x v="0"/>
    <n v="5.06974153861732E-2"/>
    <s v="Profit"/>
    <s v="Mid (11-20%)"/>
  </r>
  <r>
    <x v="716"/>
    <x v="29"/>
    <s v="Arjun Verma"/>
    <x v="1"/>
    <s v="Lucknow"/>
    <x v="1"/>
    <s v="Cupboard"/>
    <s v="Cupboard - Furniture"/>
    <n v="14664.69"/>
    <n v="9"/>
    <n v="6"/>
    <n v="1909.54"/>
    <x v="0"/>
    <x v="2"/>
    <x v="10"/>
    <x v="1"/>
    <n v="0.13021345831381365"/>
    <s v="Profit"/>
    <s v="Low (1-10%)"/>
  </r>
  <r>
    <x v="717"/>
    <x v="177"/>
    <s v="Tanishq Ghosh"/>
    <x v="3"/>
    <s v="Ahmedabad"/>
    <x v="0"/>
    <s v="Printer"/>
    <s v="Printer - Technology"/>
    <n v="2766.74"/>
    <n v="2"/>
    <n v="13"/>
    <n v="495.67"/>
    <x v="2"/>
    <x v="1"/>
    <x v="2"/>
    <x v="0"/>
    <n v="0.17915308268937452"/>
    <s v="Profit"/>
    <s v="Mid (11-20%)"/>
  </r>
  <r>
    <x v="718"/>
    <x v="153"/>
    <s v="Diya Sharma"/>
    <x v="3"/>
    <s v="Ahmedabad"/>
    <x v="1"/>
    <s v="Chair"/>
    <s v="Chair - Furniture"/>
    <n v="7824.04"/>
    <n v="7"/>
    <n v="28"/>
    <n v="611.62"/>
    <x v="0"/>
    <x v="0"/>
    <x v="5"/>
    <x v="1"/>
    <n v="7.8171890736754929E-2"/>
    <s v="Profit"/>
    <s v="High (&gt;20%)"/>
  </r>
  <r>
    <x v="719"/>
    <x v="203"/>
    <s v="Anaya Singh"/>
    <x v="0"/>
    <s v="Patna"/>
    <x v="0"/>
    <s v="Mobile"/>
    <s v="Mobile - Technology"/>
    <n v="5342.88"/>
    <n v="4"/>
    <n v="11"/>
    <n v="1116.1400000000001"/>
    <x v="2"/>
    <x v="2"/>
    <x v="2"/>
    <x v="0"/>
    <n v="0.20890231485640703"/>
    <s v="Profit"/>
    <s v="Mid (11-20%)"/>
  </r>
  <r>
    <x v="720"/>
    <x v="261"/>
    <s v="Meera Joshi"/>
    <x v="0"/>
    <s v="Kolkata"/>
    <x v="1"/>
    <s v="Chair"/>
    <s v="Chair - Furniture"/>
    <n v="3960.99"/>
    <n v="3"/>
    <n v="11"/>
    <n v="296.75"/>
    <x v="1"/>
    <x v="3"/>
    <x v="4"/>
    <x v="0"/>
    <n v="7.4918139152080676E-2"/>
    <s v="Profit"/>
    <s v="Mid (11-20%)"/>
  </r>
  <r>
    <x v="721"/>
    <x v="314"/>
    <s v="Yuvraj Chauhan"/>
    <x v="2"/>
    <s v="Chennai"/>
    <x v="0"/>
    <s v="Laptop"/>
    <s v="Laptop - Technology"/>
    <n v="2156.67"/>
    <n v="3"/>
    <n v="29"/>
    <n v="340.33"/>
    <x v="1"/>
    <x v="0"/>
    <x v="8"/>
    <x v="0"/>
    <n v="0.15780346552787397"/>
    <s v="Profit"/>
    <s v="High (&gt;20%)"/>
  </r>
  <r>
    <x v="722"/>
    <x v="315"/>
    <s v="Tanishq Ghosh"/>
    <x v="3"/>
    <s v="Indore"/>
    <x v="0"/>
    <s v="Laptop"/>
    <s v="Laptop - Technology"/>
    <n v="7058.6"/>
    <n v="5"/>
    <n v="20"/>
    <n v="955.66"/>
    <x v="0"/>
    <x v="3"/>
    <x v="2"/>
    <x v="0"/>
    <n v="0.13538945399937663"/>
    <s v="Profit"/>
    <s v="Mid (11-20%)"/>
  </r>
  <r>
    <x v="723"/>
    <x v="298"/>
    <s v="Kriti Desai"/>
    <x v="2"/>
    <s v="Bangalore"/>
    <x v="2"/>
    <s v="Envelope"/>
    <s v="Envelope - Office Supplies"/>
    <n v="11275.38"/>
    <n v="9"/>
    <n v="9"/>
    <n v="820.54"/>
    <x v="2"/>
    <x v="2"/>
    <x v="12"/>
    <x v="1"/>
    <n v="7.277271364690148E-2"/>
    <s v="Profit"/>
    <s v="Low (1-10%)"/>
  </r>
  <r>
    <x v="724"/>
    <x v="5"/>
    <s v="Saanvi Iyer"/>
    <x v="3"/>
    <s v="Pune"/>
    <x v="0"/>
    <s v="Mobile"/>
    <s v="Mobile - Technology"/>
    <n v="10349.52"/>
    <n v="8"/>
    <n v="10"/>
    <n v="1020.26"/>
    <x v="0"/>
    <x v="1"/>
    <x v="4"/>
    <x v="0"/>
    <n v="9.8580417256065977E-2"/>
    <s v="Profit"/>
    <s v="Low (1-10%)"/>
  </r>
  <r>
    <x v="725"/>
    <x v="189"/>
    <s v="Yuvraj Chauhan"/>
    <x v="2"/>
    <s v="Bangalore"/>
    <x v="0"/>
    <s v="Laptop"/>
    <s v="Laptop - Technology"/>
    <n v="1365.84"/>
    <n v="7"/>
    <n v="0"/>
    <n v="169.1"/>
    <x v="2"/>
    <x v="2"/>
    <x v="10"/>
    <x v="1"/>
    <n v="0.12380659520880924"/>
    <s v="Profit"/>
    <s v="No Discount"/>
  </r>
  <r>
    <x v="726"/>
    <x v="255"/>
    <s v="Kabir Nair"/>
    <x v="3"/>
    <s v="Mumbai"/>
    <x v="2"/>
    <s v="Stapler"/>
    <s v="Stapler - Office Supplies"/>
    <n v="9685.6"/>
    <n v="5"/>
    <n v="23"/>
    <n v="1117.0899999999999"/>
    <x v="2"/>
    <x v="2"/>
    <x v="5"/>
    <x v="1"/>
    <n v="0.11533513669777813"/>
    <s v="Profit"/>
    <s v="High (&gt;20%)"/>
  </r>
  <r>
    <x v="727"/>
    <x v="177"/>
    <s v="Arjun Verma"/>
    <x v="3"/>
    <s v="Mumbai"/>
    <x v="0"/>
    <s v="Mobile"/>
    <s v="Mobile - Technology"/>
    <n v="1841.97"/>
    <n v="1"/>
    <n v="0"/>
    <n v="141.38"/>
    <x v="1"/>
    <x v="3"/>
    <x v="2"/>
    <x v="0"/>
    <n v="7.675477885090419E-2"/>
    <s v="Profit"/>
    <s v="No Discount"/>
  </r>
  <r>
    <x v="728"/>
    <x v="244"/>
    <s v="Krishna Das"/>
    <x v="0"/>
    <s v="Bhubaneswar"/>
    <x v="2"/>
    <s v="Pen"/>
    <s v="Pen - Office Supplies"/>
    <n v="16761.3"/>
    <n v="10"/>
    <n v="3"/>
    <n v="1467.37"/>
    <x v="2"/>
    <x v="3"/>
    <x v="9"/>
    <x v="1"/>
    <n v="8.7545118815366349E-2"/>
    <s v="Profit"/>
    <s v="Low (1-10%)"/>
  </r>
  <r>
    <x v="729"/>
    <x v="97"/>
    <s v="Vivaan Shah"/>
    <x v="3"/>
    <s v="Ahmedabad"/>
    <x v="1"/>
    <s v="Cupboard"/>
    <s v="Cupboard - Furniture"/>
    <n v="5697"/>
    <n v="3"/>
    <n v="25"/>
    <n v="486.23"/>
    <x v="1"/>
    <x v="0"/>
    <x v="11"/>
    <x v="1"/>
    <n v="8.5348428997718107E-2"/>
    <s v="Profit"/>
    <s v="High (&gt;20%)"/>
  </r>
  <r>
    <x v="730"/>
    <x v="278"/>
    <s v="Kabir Nair"/>
    <x v="1"/>
    <s v="Jaipur"/>
    <x v="2"/>
    <s v="Stapler"/>
    <s v="Stapler - Office Supplies"/>
    <n v="6520.08"/>
    <n v="6"/>
    <n v="5"/>
    <n v="469.73"/>
    <x v="2"/>
    <x v="0"/>
    <x v="7"/>
    <x v="1"/>
    <n v="7.2043594557122004E-2"/>
    <s v="Profit"/>
    <s v="Low (1-10%)"/>
  </r>
  <r>
    <x v="731"/>
    <x v="272"/>
    <s v="Aarav Patel"/>
    <x v="0"/>
    <s v="Bhubaneswar"/>
    <x v="0"/>
    <s v="Laptop"/>
    <s v="Laptop - Technology"/>
    <n v="8746.2999999999993"/>
    <n v="5"/>
    <n v="21"/>
    <n v="928.17"/>
    <x v="2"/>
    <x v="3"/>
    <x v="9"/>
    <x v="1"/>
    <n v="0.10612144563987058"/>
    <s v="Profit"/>
    <s v="High (&gt;20%)"/>
  </r>
  <r>
    <x v="732"/>
    <x v="113"/>
    <s v="Yuvraj Chauhan"/>
    <x v="3"/>
    <s v="Indore"/>
    <x v="1"/>
    <s v="Cupboard"/>
    <s v="Cupboard - Furniture"/>
    <n v="3774.06"/>
    <n v="3"/>
    <n v="29"/>
    <n v="460.27"/>
    <x v="2"/>
    <x v="2"/>
    <x v="4"/>
    <x v="0"/>
    <n v="0.12195619571495948"/>
    <s v="Profit"/>
    <s v="High (&gt;20%)"/>
  </r>
  <r>
    <x v="733"/>
    <x v="306"/>
    <s v="Saanvi Iyer"/>
    <x v="2"/>
    <s v="Bangalore"/>
    <x v="2"/>
    <s v="Notebook"/>
    <s v="Notebook - Office Supplies"/>
    <n v="6311.3"/>
    <n v="10"/>
    <n v="22"/>
    <n v="1188.54"/>
    <x v="1"/>
    <x v="2"/>
    <x v="1"/>
    <x v="1"/>
    <n v="0.18831936368101657"/>
    <s v="Profit"/>
    <s v="High (&gt;20%)"/>
  </r>
  <r>
    <x v="734"/>
    <x v="47"/>
    <s v="Yuvraj Chauhan"/>
    <x v="1"/>
    <s v="Chandigarh"/>
    <x v="0"/>
    <s v="Mobile"/>
    <s v="Mobile - Technology"/>
    <n v="8120"/>
    <n v="5"/>
    <n v="25"/>
    <n v="1381.16"/>
    <x v="1"/>
    <x v="2"/>
    <x v="9"/>
    <x v="1"/>
    <n v="0.17009359605911331"/>
    <s v="Profit"/>
    <s v="High (&gt;20%)"/>
  </r>
  <r>
    <x v="735"/>
    <x v="278"/>
    <s v="Kabir Nair"/>
    <x v="0"/>
    <s v="Bhubaneswar"/>
    <x v="2"/>
    <s v="Stapler"/>
    <s v="Stapler - Office Supplies"/>
    <n v="945.72"/>
    <n v="4"/>
    <n v="9"/>
    <n v="179.14"/>
    <x v="2"/>
    <x v="0"/>
    <x v="7"/>
    <x v="1"/>
    <n v="0.18942181618237955"/>
    <s v="Profit"/>
    <s v="Low (1-10%)"/>
  </r>
  <r>
    <x v="736"/>
    <x v="180"/>
    <s v="Kabir Nair"/>
    <x v="1"/>
    <s v="Lucknow"/>
    <x v="2"/>
    <s v="Notebook"/>
    <s v="Notebook - Office Supplies"/>
    <n v="12494.8"/>
    <n v="8"/>
    <n v="21"/>
    <n v="1633.95"/>
    <x v="2"/>
    <x v="0"/>
    <x v="3"/>
    <x v="1"/>
    <n v="0.13077040048660243"/>
    <s v="Profit"/>
    <s v="High (&gt;20%)"/>
  </r>
  <r>
    <x v="737"/>
    <x v="187"/>
    <s v="Saanvi Iyer"/>
    <x v="3"/>
    <s v="Pune"/>
    <x v="1"/>
    <s v="Chair"/>
    <s v="Chair - Furniture"/>
    <n v="13088.08"/>
    <n v="8"/>
    <n v="7.0000000000000009"/>
    <n v="864.94"/>
    <x v="1"/>
    <x v="2"/>
    <x v="5"/>
    <x v="1"/>
    <n v="6.6086087493352735E-2"/>
    <s v="Profit"/>
    <s v="Low (1-10%)"/>
  </r>
  <r>
    <x v="738"/>
    <x v="148"/>
    <s v="Meera Joshi"/>
    <x v="2"/>
    <s v="Hyderabad"/>
    <x v="0"/>
    <s v="Laptop"/>
    <s v="Laptop - Technology"/>
    <n v="9505.4"/>
    <n v="10"/>
    <n v="20"/>
    <n v="1412.52"/>
    <x v="1"/>
    <x v="0"/>
    <x v="3"/>
    <x v="1"/>
    <n v="0.1486018473709681"/>
    <s v="Profit"/>
    <s v="Mid (11-20%)"/>
  </r>
  <r>
    <x v="739"/>
    <x v="254"/>
    <s v="Anaya Singh"/>
    <x v="3"/>
    <s v="Nagpur"/>
    <x v="0"/>
    <s v="Mobile"/>
    <s v="Mobile - Technology"/>
    <n v="10082.43"/>
    <n v="9"/>
    <n v="21"/>
    <n v="442.02"/>
    <x v="0"/>
    <x v="2"/>
    <x v="10"/>
    <x v="1"/>
    <n v="4.3840621754874569E-2"/>
    <s v="Profit"/>
    <s v="High (&gt;20%)"/>
  </r>
  <r>
    <x v="740"/>
    <x v="316"/>
    <s v="Saanvi Iyer"/>
    <x v="0"/>
    <s v="Kolkata"/>
    <x v="1"/>
    <s v="Chair"/>
    <s v="Chair - Furniture"/>
    <n v="906.55"/>
    <n v="1"/>
    <n v="11"/>
    <n v="141.61000000000001"/>
    <x v="1"/>
    <x v="2"/>
    <x v="1"/>
    <x v="1"/>
    <n v="0.1562076002426783"/>
    <s v="Profit"/>
    <s v="Mid (11-20%)"/>
  </r>
  <r>
    <x v="741"/>
    <x v="46"/>
    <s v="Yuvraj Chauhan"/>
    <x v="2"/>
    <s v="Hyderabad"/>
    <x v="2"/>
    <s v="Stapler"/>
    <s v="Stapler - Office Supplies"/>
    <n v="15569.73"/>
    <n v="9"/>
    <n v="2"/>
    <n v="1936.89"/>
    <x v="2"/>
    <x v="2"/>
    <x v="2"/>
    <x v="0"/>
    <n v="0.12440100117343077"/>
    <s v="Profit"/>
    <s v="Low (1-10%)"/>
  </r>
  <r>
    <x v="742"/>
    <x v="182"/>
    <s v="Tanishq Ghosh"/>
    <x v="0"/>
    <s v="Patna"/>
    <x v="1"/>
    <s v="Table"/>
    <s v="Table - Furniture"/>
    <n v="16686.400000000001"/>
    <n v="10"/>
    <n v="29"/>
    <n v="1598.71"/>
    <x v="1"/>
    <x v="2"/>
    <x v="7"/>
    <x v="1"/>
    <n v="9.5809161952248534E-2"/>
    <s v="Profit"/>
    <s v="High (&gt;20%)"/>
  </r>
  <r>
    <x v="743"/>
    <x v="214"/>
    <s v="Anaya Singh"/>
    <x v="3"/>
    <s v="Indore"/>
    <x v="1"/>
    <s v="Table"/>
    <s v="Table - Furniture"/>
    <n v="2118.96"/>
    <n v="6"/>
    <n v="14"/>
    <n v="195.79"/>
    <x v="1"/>
    <x v="0"/>
    <x v="5"/>
    <x v="1"/>
    <n v="9.2399101445992365E-2"/>
    <s v="Profit"/>
    <s v="Mid (11-20%)"/>
  </r>
  <r>
    <x v="744"/>
    <x v="145"/>
    <s v="Kabir Nair"/>
    <x v="3"/>
    <s v="Ahmedabad"/>
    <x v="0"/>
    <s v="Tablet"/>
    <s v="Tablet - Technology"/>
    <n v="2815.68"/>
    <n v="3"/>
    <n v="10"/>
    <n v="602.45000000000005"/>
    <x v="0"/>
    <x v="3"/>
    <x v="6"/>
    <x v="0"/>
    <n v="0.21396252415047168"/>
    <s v="Profit"/>
    <s v="Low (1-10%)"/>
  </r>
  <r>
    <x v="745"/>
    <x v="98"/>
    <s v="Arjun Verma"/>
    <x v="0"/>
    <s v="Patna"/>
    <x v="2"/>
    <s v="Pen"/>
    <s v="Pen - Office Supplies"/>
    <n v="4671.04"/>
    <n v="4"/>
    <n v="21"/>
    <n v="809.44"/>
    <x v="1"/>
    <x v="1"/>
    <x v="0"/>
    <x v="0"/>
    <n v="0.17328903199287526"/>
    <s v="Profit"/>
    <s v="High (&gt;20%)"/>
  </r>
  <r>
    <x v="746"/>
    <x v="317"/>
    <s v="Saanvi Iyer"/>
    <x v="2"/>
    <s v="Bangalore"/>
    <x v="0"/>
    <s v="Mobile"/>
    <s v="Mobile - Technology"/>
    <n v="1778.04"/>
    <n v="6"/>
    <n v="4"/>
    <n v="234.19"/>
    <x v="0"/>
    <x v="1"/>
    <x v="3"/>
    <x v="1"/>
    <n v="0.13171244741400642"/>
    <s v="Profit"/>
    <s v="Low (1-10%)"/>
  </r>
  <r>
    <x v="747"/>
    <x v="204"/>
    <s v="Riya Kapoor"/>
    <x v="3"/>
    <s v="Mumbai"/>
    <x v="2"/>
    <s v="Envelope"/>
    <s v="Envelope - Office Supplies"/>
    <n v="12463.15"/>
    <n v="7"/>
    <n v="2"/>
    <n v="945.75"/>
    <x v="1"/>
    <x v="2"/>
    <x v="5"/>
    <x v="1"/>
    <n v="7.5883705162819989E-2"/>
    <s v="Profit"/>
    <s v="Low (1-10%)"/>
  </r>
  <r>
    <x v="748"/>
    <x v="94"/>
    <s v="Saanvi Iyer"/>
    <x v="2"/>
    <s v="Chennai"/>
    <x v="2"/>
    <s v="Notebook"/>
    <s v="Notebook - Office Supplies"/>
    <n v="4602.57"/>
    <n v="3"/>
    <n v="26"/>
    <n v="651.08000000000004"/>
    <x v="0"/>
    <x v="2"/>
    <x v="1"/>
    <x v="1"/>
    <n v="0.14146009729346867"/>
    <s v="Profit"/>
    <s v="High (&gt;20%)"/>
  </r>
  <r>
    <x v="749"/>
    <x v="318"/>
    <s v="Vivaan Shah"/>
    <x v="1"/>
    <s v="Jaipur"/>
    <x v="2"/>
    <s v="Envelope"/>
    <s v="Envelope - Office Supplies"/>
    <n v="8567.25"/>
    <n v="5"/>
    <n v="25"/>
    <n v="1075.51"/>
    <x v="1"/>
    <x v="0"/>
    <x v="3"/>
    <x v="1"/>
    <n v="0.12553736613265634"/>
    <s v="Profit"/>
    <s v="High (&gt;20%)"/>
  </r>
  <r>
    <x v="750"/>
    <x v="318"/>
    <s v="Kabir Nair"/>
    <x v="3"/>
    <s v="Mumbai"/>
    <x v="0"/>
    <s v="Tablet"/>
    <s v="Tablet - Technology"/>
    <n v="1196.8599999999999"/>
    <n v="2"/>
    <n v="9"/>
    <n v="106.43"/>
    <x v="0"/>
    <x v="1"/>
    <x v="3"/>
    <x v="1"/>
    <n v="8.892435205454273E-2"/>
    <s v="Profit"/>
    <s v="Low (1-10%)"/>
  </r>
  <r>
    <x v="751"/>
    <x v="115"/>
    <s v="Ishaan Mehta"/>
    <x v="0"/>
    <s v="Kolkata"/>
    <x v="0"/>
    <s v="Printer"/>
    <s v="Printer - Technology"/>
    <n v="5192.7299999999996"/>
    <n v="9"/>
    <n v="25"/>
    <n v="227.88"/>
    <x v="2"/>
    <x v="0"/>
    <x v="9"/>
    <x v="1"/>
    <n v="4.3884430732967057E-2"/>
    <s v="Profit"/>
    <s v="High (&gt;20%)"/>
  </r>
  <r>
    <x v="752"/>
    <x v="300"/>
    <s v="Riya Kapoor"/>
    <x v="1"/>
    <s v="Jaipur"/>
    <x v="2"/>
    <s v="Pen"/>
    <s v="Pen - Office Supplies"/>
    <n v="13622.13"/>
    <n v="9"/>
    <n v="8"/>
    <n v="3065.99"/>
    <x v="2"/>
    <x v="3"/>
    <x v="8"/>
    <x v="0"/>
    <n v="0.22507419911570364"/>
    <s v="Profit"/>
    <s v="Low (1-10%)"/>
  </r>
  <r>
    <x v="753"/>
    <x v="180"/>
    <s v="Kabir Nair"/>
    <x v="3"/>
    <s v="Pune"/>
    <x v="2"/>
    <s v="Stapler"/>
    <s v="Stapler - Office Supplies"/>
    <n v="17284.099999999999"/>
    <n v="10"/>
    <n v="21"/>
    <n v="3043.46"/>
    <x v="1"/>
    <x v="3"/>
    <x v="3"/>
    <x v="1"/>
    <n v="0.17608437812787478"/>
    <s v="Profit"/>
    <s v="High (&gt;20%)"/>
  </r>
  <r>
    <x v="754"/>
    <x v="179"/>
    <s v="Kabir Nair"/>
    <x v="3"/>
    <s v="Pune"/>
    <x v="0"/>
    <s v="Mobile"/>
    <s v="Mobile - Technology"/>
    <n v="1062.8499999999999"/>
    <n v="1"/>
    <n v="25"/>
    <n v="102.68"/>
    <x v="1"/>
    <x v="1"/>
    <x v="10"/>
    <x v="1"/>
    <n v="9.6608176130215939E-2"/>
    <s v="Profit"/>
    <s v="High (&gt;20%)"/>
  </r>
  <r>
    <x v="755"/>
    <x v="147"/>
    <s v="Kabir Nair"/>
    <x v="1"/>
    <s v="Delhi"/>
    <x v="1"/>
    <s v="Cupboard"/>
    <s v="Cupboard - Furniture"/>
    <n v="6195.9"/>
    <n v="6"/>
    <n v="18"/>
    <n v="852.86"/>
    <x v="2"/>
    <x v="1"/>
    <x v="5"/>
    <x v="1"/>
    <n v="0.13764909052760699"/>
    <s v="Profit"/>
    <s v="Mid (11-20%)"/>
  </r>
  <r>
    <x v="756"/>
    <x v="281"/>
    <s v="Ishaan Mehta"/>
    <x v="0"/>
    <s v="Bhubaneswar"/>
    <x v="1"/>
    <s v="Table"/>
    <s v="Table - Furniture"/>
    <n v="4253.5200000000004"/>
    <n v="3"/>
    <n v="27"/>
    <n v="297.99"/>
    <x v="1"/>
    <x v="2"/>
    <x v="11"/>
    <x v="1"/>
    <n v="7.0057270213846404E-2"/>
    <s v="Profit"/>
    <s v="High (&gt;20%)"/>
  </r>
  <r>
    <x v="757"/>
    <x v="176"/>
    <s v="Sneha Reddy"/>
    <x v="1"/>
    <s v="Lucknow"/>
    <x v="0"/>
    <s v="Printer"/>
    <s v="Printer - Technology"/>
    <n v="6102.92"/>
    <n v="4"/>
    <n v="25"/>
    <n v="553.41999999999996"/>
    <x v="0"/>
    <x v="0"/>
    <x v="9"/>
    <x v="1"/>
    <n v="9.0681182122656037E-2"/>
    <s v="Profit"/>
    <s v="High (&gt;20%)"/>
  </r>
  <r>
    <x v="758"/>
    <x v="26"/>
    <s v="Kriti Desai"/>
    <x v="0"/>
    <s v="Bhubaneswar"/>
    <x v="0"/>
    <s v="Mobile"/>
    <s v="Mobile - Technology"/>
    <n v="11149.98"/>
    <n v="6"/>
    <n v="28"/>
    <n v="550.69000000000005"/>
    <x v="1"/>
    <x v="3"/>
    <x v="4"/>
    <x v="0"/>
    <n v="4.9389326258881192E-2"/>
    <s v="Profit"/>
    <s v="High (&gt;20%)"/>
  </r>
  <r>
    <x v="759"/>
    <x v="313"/>
    <s v="Aarav Patel"/>
    <x v="3"/>
    <s v="Nagpur"/>
    <x v="2"/>
    <s v="Stapler"/>
    <s v="Stapler - Office Supplies"/>
    <n v="18614.400000000001"/>
    <n v="10"/>
    <n v="21"/>
    <n v="3359.62"/>
    <x v="0"/>
    <x v="1"/>
    <x v="9"/>
    <x v="1"/>
    <n v="0.18048500085954958"/>
    <s v="Profit"/>
    <s v="High (&gt;20%)"/>
  </r>
  <r>
    <x v="760"/>
    <x v="319"/>
    <s v="Vivaan Shah"/>
    <x v="2"/>
    <s v="Bangalore"/>
    <x v="1"/>
    <s v="Cupboard"/>
    <s v="Cupboard - Furniture"/>
    <n v="2791.88"/>
    <n v="4"/>
    <n v="5"/>
    <n v="326.77"/>
    <x v="2"/>
    <x v="2"/>
    <x v="12"/>
    <x v="1"/>
    <n v="0.11704299611731162"/>
    <s v="Profit"/>
    <s v="Low (1-10%)"/>
  </r>
  <r>
    <x v="761"/>
    <x v="78"/>
    <s v="Riya Kapoor"/>
    <x v="0"/>
    <s v="Bhubaneswar"/>
    <x v="2"/>
    <s v="Pen"/>
    <s v="Pen - Office Supplies"/>
    <n v="4522.68"/>
    <n v="6"/>
    <n v="0"/>
    <n v="294.75"/>
    <x v="1"/>
    <x v="0"/>
    <x v="6"/>
    <x v="0"/>
    <n v="6.5171535461275173E-2"/>
    <s v="Profit"/>
    <s v="No Discount"/>
  </r>
  <r>
    <x v="762"/>
    <x v="265"/>
    <s v="Riya Kapoor"/>
    <x v="3"/>
    <s v="Mumbai"/>
    <x v="2"/>
    <s v="Notebook"/>
    <s v="Notebook - Office Supplies"/>
    <n v="10717.36"/>
    <n v="8"/>
    <n v="27"/>
    <n v="776.96"/>
    <x v="2"/>
    <x v="0"/>
    <x v="12"/>
    <x v="1"/>
    <n v="7.2495465301156248E-2"/>
    <s v="Profit"/>
    <s v="High (&gt;20%)"/>
  </r>
  <r>
    <x v="763"/>
    <x v="64"/>
    <s v="Aarav Patel"/>
    <x v="3"/>
    <s v="Ahmedabad"/>
    <x v="2"/>
    <s v="Pen"/>
    <s v="Pen - Office Supplies"/>
    <n v="2928.16"/>
    <n v="2"/>
    <n v="21"/>
    <n v="262.06"/>
    <x v="2"/>
    <x v="0"/>
    <x v="2"/>
    <x v="0"/>
    <n v="8.9496475602426101E-2"/>
    <s v="Profit"/>
    <s v="High (&gt;20%)"/>
  </r>
  <r>
    <x v="764"/>
    <x v="94"/>
    <s v="Sneha Reddy"/>
    <x v="0"/>
    <s v="Bhubaneswar"/>
    <x v="1"/>
    <s v="Sofa"/>
    <s v="Sofa - Furniture"/>
    <n v="6467.55"/>
    <n v="5"/>
    <n v="3"/>
    <n v="444.3"/>
    <x v="2"/>
    <x v="2"/>
    <x v="1"/>
    <x v="1"/>
    <n v="6.8696801725537493E-2"/>
    <s v="Profit"/>
    <s v="Low (1-10%)"/>
  </r>
  <r>
    <x v="765"/>
    <x v="59"/>
    <s v="Vivaan Shah"/>
    <x v="2"/>
    <s v="Bangalore"/>
    <x v="1"/>
    <s v="Cupboard"/>
    <s v="Cupboard - Furniture"/>
    <n v="2542.0500000000002"/>
    <n v="3"/>
    <n v="4"/>
    <n v="346.02"/>
    <x v="2"/>
    <x v="1"/>
    <x v="9"/>
    <x v="1"/>
    <n v="0.13611848704785506"/>
    <s v="Profit"/>
    <s v="Low (1-10%)"/>
  </r>
  <r>
    <x v="766"/>
    <x v="266"/>
    <s v="Riya Kapoor"/>
    <x v="1"/>
    <s v="Chandigarh"/>
    <x v="0"/>
    <s v="Tablet"/>
    <s v="Tablet - Technology"/>
    <n v="9668.5"/>
    <n v="10"/>
    <n v="5"/>
    <n v="856.08"/>
    <x v="1"/>
    <x v="2"/>
    <x v="3"/>
    <x v="1"/>
    <n v="8.8543207322749132E-2"/>
    <s v="Profit"/>
    <s v="Low (1-10%)"/>
  </r>
  <r>
    <x v="767"/>
    <x v="273"/>
    <s v="Kabir Nair"/>
    <x v="3"/>
    <s v="Indore"/>
    <x v="0"/>
    <s v="Printer"/>
    <s v="Printer - Technology"/>
    <n v="16881.48"/>
    <n v="9"/>
    <n v="15"/>
    <n v="2096.96"/>
    <x v="0"/>
    <x v="3"/>
    <x v="3"/>
    <x v="1"/>
    <n v="0.12421659712300107"/>
    <s v="Profit"/>
    <s v="Mid (11-20%)"/>
  </r>
  <r>
    <x v="768"/>
    <x v="124"/>
    <s v="Anaya Singh"/>
    <x v="3"/>
    <s v="Mumbai"/>
    <x v="1"/>
    <s v="Cupboard"/>
    <s v="Cupboard - Furniture"/>
    <n v="5009.24"/>
    <n v="4"/>
    <n v="27"/>
    <n v="780.02"/>
    <x v="1"/>
    <x v="1"/>
    <x v="4"/>
    <x v="0"/>
    <n v="0.15571623639514179"/>
    <s v="Profit"/>
    <s v="High (&gt;20%)"/>
  </r>
  <r>
    <x v="769"/>
    <x v="184"/>
    <s v="Krishna Das"/>
    <x v="1"/>
    <s v="Chandigarh"/>
    <x v="1"/>
    <s v="Sofa"/>
    <s v="Sofa - Furniture"/>
    <n v="7640.78"/>
    <n v="7"/>
    <n v="29"/>
    <n v="829.5"/>
    <x v="0"/>
    <x v="3"/>
    <x v="4"/>
    <x v="0"/>
    <n v="0.10856221485241035"/>
    <s v="Profit"/>
    <s v="High (&gt;20%)"/>
  </r>
  <r>
    <x v="770"/>
    <x v="173"/>
    <s v="Diya Sharma"/>
    <x v="2"/>
    <s v="Hyderabad"/>
    <x v="2"/>
    <s v="Envelope"/>
    <s v="Envelope - Office Supplies"/>
    <n v="11262.24"/>
    <n v="8"/>
    <n v="26"/>
    <n v="733.61"/>
    <x v="1"/>
    <x v="3"/>
    <x v="2"/>
    <x v="0"/>
    <n v="6.5138906647345465E-2"/>
    <s v="Profit"/>
    <s v="High (&gt;20%)"/>
  </r>
  <r>
    <x v="771"/>
    <x v="44"/>
    <s v="Anaya Singh"/>
    <x v="3"/>
    <s v="Ahmedabad"/>
    <x v="0"/>
    <s v="Mobile"/>
    <s v="Mobile - Technology"/>
    <n v="2918.64"/>
    <n v="6"/>
    <n v="27"/>
    <n v="174.34"/>
    <x v="0"/>
    <x v="2"/>
    <x v="0"/>
    <x v="0"/>
    <n v="5.9733300441301429E-2"/>
    <s v="Profit"/>
    <s v="High (&gt;20%)"/>
  </r>
  <r>
    <x v="772"/>
    <x v="34"/>
    <s v="Meera Joshi"/>
    <x v="3"/>
    <s v="Mumbai"/>
    <x v="0"/>
    <s v="Mobile"/>
    <s v="Mobile - Technology"/>
    <n v="976.08"/>
    <n v="6"/>
    <n v="12"/>
    <n v="44.68"/>
    <x v="1"/>
    <x v="1"/>
    <x v="11"/>
    <x v="1"/>
    <n v="4.5774936480616341E-2"/>
    <s v="Profit"/>
    <s v="Mid (11-20%)"/>
  </r>
  <r>
    <x v="773"/>
    <x v="312"/>
    <s v="Tanishq Ghosh"/>
    <x v="2"/>
    <s v="Bangalore"/>
    <x v="2"/>
    <s v="Envelope"/>
    <s v="Envelope - Office Supplies"/>
    <n v="2285.88"/>
    <n v="4"/>
    <n v="5"/>
    <n v="425.77"/>
    <x v="2"/>
    <x v="1"/>
    <x v="4"/>
    <x v="0"/>
    <n v="0.18626087108684619"/>
    <s v="Profit"/>
    <s v="Low (1-10%)"/>
  </r>
  <r>
    <x v="774"/>
    <x v="320"/>
    <s v="Meera Joshi"/>
    <x v="1"/>
    <s v="Delhi"/>
    <x v="2"/>
    <s v="Pen"/>
    <s v="Pen - Office Supplies"/>
    <n v="2272.27"/>
    <n v="7"/>
    <n v="3"/>
    <n v="347.48"/>
    <x v="0"/>
    <x v="1"/>
    <x v="5"/>
    <x v="1"/>
    <n v="0.15292196789994147"/>
    <s v="Profit"/>
    <s v="Low (1-10%)"/>
  </r>
  <r>
    <x v="775"/>
    <x v="142"/>
    <s v="Meera Joshi"/>
    <x v="0"/>
    <s v="Kolkata"/>
    <x v="1"/>
    <s v="Table"/>
    <s v="Table - Furniture"/>
    <n v="5561.43"/>
    <n v="3"/>
    <n v="27"/>
    <n v="570.20000000000005"/>
    <x v="1"/>
    <x v="0"/>
    <x v="1"/>
    <x v="1"/>
    <n v="0.10252758732915815"/>
    <s v="Profit"/>
    <s v="High (&gt;20%)"/>
  </r>
  <r>
    <x v="776"/>
    <x v="54"/>
    <s v="Kriti Desai"/>
    <x v="0"/>
    <s v="Bhubaneswar"/>
    <x v="1"/>
    <s v="Cupboard"/>
    <s v="Cupboard - Furniture"/>
    <n v="2975.28"/>
    <n v="2"/>
    <n v="13"/>
    <n v="570.04999999999995"/>
    <x v="2"/>
    <x v="0"/>
    <x v="9"/>
    <x v="1"/>
    <n v="0.19159541286870477"/>
    <s v="Profit"/>
    <s v="Mid (11-20%)"/>
  </r>
  <r>
    <x v="777"/>
    <x v="265"/>
    <s v="Diya Sharma"/>
    <x v="1"/>
    <s v="Delhi"/>
    <x v="2"/>
    <s v="Envelope"/>
    <s v="Envelope - Office Supplies"/>
    <n v="11932.83"/>
    <n v="7"/>
    <n v="5"/>
    <n v="1583.17"/>
    <x v="1"/>
    <x v="0"/>
    <x v="12"/>
    <x v="1"/>
    <n v="0.13267347309900501"/>
    <s v="Profit"/>
    <s v="Low (1-10%)"/>
  </r>
  <r>
    <x v="778"/>
    <x v="45"/>
    <s v="Yuvraj Chauhan"/>
    <x v="0"/>
    <s v="Patna"/>
    <x v="0"/>
    <s v="Laptop"/>
    <s v="Laptop - Technology"/>
    <n v="10058.719999999999"/>
    <n v="7"/>
    <n v="3"/>
    <n v="749.4"/>
    <x v="1"/>
    <x v="2"/>
    <x v="12"/>
    <x v="1"/>
    <n v="7.4502521195539795E-2"/>
    <s v="Profit"/>
    <s v="Low (1-10%)"/>
  </r>
  <r>
    <x v="779"/>
    <x v="188"/>
    <s v="Meera Joshi"/>
    <x v="2"/>
    <s v="Bangalore"/>
    <x v="1"/>
    <s v="Cupboard"/>
    <s v="Cupboard - Furniture"/>
    <n v="1005.37"/>
    <n v="1"/>
    <n v="25"/>
    <n v="104.35"/>
    <x v="2"/>
    <x v="1"/>
    <x v="6"/>
    <x v="0"/>
    <n v="0.10379263355779464"/>
    <s v="Profit"/>
    <s v="High (&gt;20%)"/>
  </r>
  <r>
    <x v="780"/>
    <x v="79"/>
    <s v="Riya Kapoor"/>
    <x v="2"/>
    <s v="Hyderabad"/>
    <x v="2"/>
    <s v="Pen"/>
    <s v="Pen - Office Supplies"/>
    <n v="1281.24"/>
    <n v="4"/>
    <n v="5"/>
    <n v="117.17"/>
    <x v="2"/>
    <x v="3"/>
    <x v="9"/>
    <x v="1"/>
    <n v="9.1450469857325717E-2"/>
    <s v="Profit"/>
    <s v="Low (1-10%)"/>
  </r>
  <r>
    <x v="781"/>
    <x v="56"/>
    <s v="Aarav Patel"/>
    <x v="0"/>
    <s v="Kolkata"/>
    <x v="1"/>
    <s v="Sofa"/>
    <s v="Sofa - Furniture"/>
    <n v="8910.75"/>
    <n v="5"/>
    <n v="29"/>
    <n v="835.33"/>
    <x v="1"/>
    <x v="2"/>
    <x v="11"/>
    <x v="1"/>
    <n v="9.3744073170047418E-2"/>
    <s v="Profit"/>
    <s v="High (&gt;20%)"/>
  </r>
  <r>
    <x v="782"/>
    <x v="45"/>
    <s v="Sneha Reddy"/>
    <x v="1"/>
    <s v="Delhi"/>
    <x v="2"/>
    <s v="Stapler"/>
    <s v="Stapler - Office Supplies"/>
    <n v="9302.2999999999993"/>
    <n v="10"/>
    <n v="1"/>
    <n v="1993.84"/>
    <x v="2"/>
    <x v="2"/>
    <x v="12"/>
    <x v="1"/>
    <n v="0.21433838943057093"/>
    <s v="Profit"/>
    <s v="Low (1-10%)"/>
  </r>
  <r>
    <x v="783"/>
    <x v="9"/>
    <s v="Saanvi Iyer"/>
    <x v="0"/>
    <s v="Patna"/>
    <x v="0"/>
    <s v="Laptop"/>
    <s v="Laptop - Technology"/>
    <n v="5747.82"/>
    <n v="6"/>
    <n v="27"/>
    <n v="556.46"/>
    <x v="0"/>
    <x v="2"/>
    <x v="6"/>
    <x v="0"/>
    <n v="9.6812356684795292E-2"/>
    <s v="Profit"/>
    <s v="High (&gt;20%)"/>
  </r>
  <r>
    <x v="784"/>
    <x v="319"/>
    <s v="Kriti Desai"/>
    <x v="2"/>
    <s v="Hyderabad"/>
    <x v="1"/>
    <s v="Chair"/>
    <s v="Chair - Furniture"/>
    <n v="1848.78"/>
    <n v="6"/>
    <n v="0"/>
    <n v="237.59"/>
    <x v="1"/>
    <x v="2"/>
    <x v="12"/>
    <x v="1"/>
    <n v="0.12851177533292227"/>
    <s v="Profit"/>
    <s v="No Discount"/>
  </r>
  <r>
    <x v="785"/>
    <x v="124"/>
    <s v="Vivaan Shah"/>
    <x v="2"/>
    <s v="Hyderabad"/>
    <x v="2"/>
    <s v="Notebook"/>
    <s v="Notebook - Office Supplies"/>
    <n v="1089.54"/>
    <n v="3"/>
    <n v="4"/>
    <n v="93.64"/>
    <x v="0"/>
    <x v="1"/>
    <x v="4"/>
    <x v="0"/>
    <n v="8.5944527048112049E-2"/>
    <s v="Profit"/>
    <s v="Low (1-10%)"/>
  </r>
  <r>
    <x v="786"/>
    <x v="267"/>
    <s v="Meera Joshi"/>
    <x v="2"/>
    <s v="Bangalore"/>
    <x v="2"/>
    <s v="Stapler"/>
    <s v="Stapler - Office Supplies"/>
    <n v="6915.87"/>
    <n v="9"/>
    <n v="5"/>
    <n v="563.84"/>
    <x v="0"/>
    <x v="0"/>
    <x v="7"/>
    <x v="1"/>
    <n v="8.1528426647695815E-2"/>
    <s v="Profit"/>
    <s v="Low (1-10%)"/>
  </r>
  <r>
    <x v="787"/>
    <x v="34"/>
    <s v="Tanishq Ghosh"/>
    <x v="0"/>
    <s v="Kolkata"/>
    <x v="2"/>
    <s v="Stapler"/>
    <s v="Stapler - Office Supplies"/>
    <n v="8697.36"/>
    <n v="6"/>
    <n v="17"/>
    <n v="1283.9000000000001"/>
    <x v="2"/>
    <x v="0"/>
    <x v="11"/>
    <x v="1"/>
    <n v="0.14761950752872136"/>
    <s v="Profit"/>
    <s v="Mid (11-20%)"/>
  </r>
  <r>
    <x v="788"/>
    <x v="191"/>
    <s v="Vivaan Shah"/>
    <x v="3"/>
    <s v="Indore"/>
    <x v="1"/>
    <s v="Table"/>
    <s v="Table - Furniture"/>
    <n v="1718.18"/>
    <n v="2"/>
    <n v="25"/>
    <n v="306.25"/>
    <x v="2"/>
    <x v="2"/>
    <x v="5"/>
    <x v="1"/>
    <n v="0.1782409293554808"/>
    <s v="Profit"/>
    <s v="High (&gt;20%)"/>
  </r>
  <r>
    <x v="789"/>
    <x v="321"/>
    <s v="Anaya Singh"/>
    <x v="0"/>
    <s v="Patna"/>
    <x v="2"/>
    <s v="Pen"/>
    <s v="Pen - Office Supplies"/>
    <n v="16347.8"/>
    <n v="10"/>
    <n v="10"/>
    <n v="1663.24"/>
    <x v="0"/>
    <x v="1"/>
    <x v="12"/>
    <x v="1"/>
    <n v="0.10174090703336229"/>
    <s v="Profit"/>
    <s v="Low (1-10%)"/>
  </r>
  <r>
    <x v="790"/>
    <x v="140"/>
    <s v="Kabir Nair"/>
    <x v="0"/>
    <s v="Patna"/>
    <x v="1"/>
    <s v="Chair"/>
    <s v="Chair - Furniture"/>
    <n v="7855.68"/>
    <n v="4"/>
    <n v="26"/>
    <n v="554.11"/>
    <x v="0"/>
    <x v="1"/>
    <x v="9"/>
    <x v="1"/>
    <n v="7.0536223471424492E-2"/>
    <s v="Profit"/>
    <s v="High (&gt;20%)"/>
  </r>
  <r>
    <x v="791"/>
    <x v="322"/>
    <s v="Anaya Singh"/>
    <x v="3"/>
    <s v="Pune"/>
    <x v="1"/>
    <s v="Table"/>
    <s v="Table - Furniture"/>
    <n v="5458.65"/>
    <n v="3"/>
    <n v="26"/>
    <n v="736.14"/>
    <x v="0"/>
    <x v="0"/>
    <x v="2"/>
    <x v="0"/>
    <n v="0.13485751971641341"/>
    <s v="Profit"/>
    <s v="High (&gt;20%)"/>
  </r>
  <r>
    <x v="792"/>
    <x v="250"/>
    <s v="Arjun Verma"/>
    <x v="2"/>
    <s v="Bangalore"/>
    <x v="2"/>
    <s v="Pen"/>
    <s v="Pen - Office Supplies"/>
    <n v="820.72"/>
    <n v="4"/>
    <n v="9"/>
    <n v="180.26"/>
    <x v="2"/>
    <x v="3"/>
    <x v="9"/>
    <x v="1"/>
    <n v="0.21963641680475679"/>
    <s v="Profit"/>
    <s v="Low (1-10%)"/>
  </r>
  <r>
    <x v="793"/>
    <x v="312"/>
    <s v="Krishna Das"/>
    <x v="2"/>
    <s v="Bangalore"/>
    <x v="2"/>
    <s v="Envelope"/>
    <s v="Envelope - Office Supplies"/>
    <n v="4884.16"/>
    <n v="4"/>
    <n v="10"/>
    <n v="386.71"/>
    <x v="1"/>
    <x v="0"/>
    <x v="4"/>
    <x v="0"/>
    <n v="7.9176357858874405E-2"/>
    <s v="Profit"/>
    <s v="Low (1-10%)"/>
  </r>
  <r>
    <x v="794"/>
    <x v="201"/>
    <s v="Meera Joshi"/>
    <x v="2"/>
    <s v="Bangalore"/>
    <x v="0"/>
    <s v="Laptop"/>
    <s v="Laptop - Technology"/>
    <n v="2843.84"/>
    <n v="4"/>
    <n v="9"/>
    <n v="336.82"/>
    <x v="2"/>
    <x v="3"/>
    <x v="9"/>
    <x v="1"/>
    <n v="0.11843844942050184"/>
    <s v="Profit"/>
    <s v="Low (1-10%)"/>
  </r>
  <r>
    <x v="795"/>
    <x v="97"/>
    <s v="Vivaan Shah"/>
    <x v="0"/>
    <s v="Patna"/>
    <x v="2"/>
    <s v="Notebook"/>
    <s v="Notebook - Office Supplies"/>
    <n v="2487.7800000000002"/>
    <n v="6"/>
    <n v="15"/>
    <n v="374.55"/>
    <x v="0"/>
    <x v="1"/>
    <x v="11"/>
    <x v="1"/>
    <n v="0.1505559173238791"/>
    <s v="Profit"/>
    <s v="Mid (11-20%)"/>
  </r>
  <r>
    <x v="796"/>
    <x v="191"/>
    <s v="Arjun Verma"/>
    <x v="1"/>
    <s v="Jaipur"/>
    <x v="2"/>
    <s v="Pen"/>
    <s v="Pen - Office Supplies"/>
    <n v="8350.2999999999993"/>
    <n v="5"/>
    <n v="0"/>
    <n v="869.55"/>
    <x v="1"/>
    <x v="2"/>
    <x v="5"/>
    <x v="1"/>
    <n v="0.10413398321018406"/>
    <s v="Profit"/>
    <s v="No Discount"/>
  </r>
  <r>
    <x v="797"/>
    <x v="180"/>
    <s v="Krishna Das"/>
    <x v="0"/>
    <s v="Patna"/>
    <x v="2"/>
    <s v="Envelope"/>
    <s v="Envelope - Office Supplies"/>
    <n v="15735.33"/>
    <n v="9"/>
    <n v="7.0000000000000009"/>
    <n v="2157.83"/>
    <x v="2"/>
    <x v="2"/>
    <x v="3"/>
    <x v="1"/>
    <n v="0.13713280878125847"/>
    <s v="Profit"/>
    <s v="Low (1-10%)"/>
  </r>
  <r>
    <x v="798"/>
    <x v="268"/>
    <s v="Kriti Desai"/>
    <x v="3"/>
    <s v="Indore"/>
    <x v="2"/>
    <s v="Notebook"/>
    <s v="Notebook - Office Supplies"/>
    <n v="2906.24"/>
    <n v="2"/>
    <n v="23"/>
    <n v="327.16000000000003"/>
    <x v="1"/>
    <x v="3"/>
    <x v="1"/>
    <x v="1"/>
    <n v="0.11257157013873598"/>
    <s v="Profit"/>
    <s v="High (&gt;20%)"/>
  </r>
  <r>
    <x v="799"/>
    <x v="323"/>
    <s v="Riya Kapoor"/>
    <x v="2"/>
    <s v="Chennai"/>
    <x v="2"/>
    <s v="Pen"/>
    <s v="Pen - Office Supplies"/>
    <n v="2712.18"/>
    <n v="2"/>
    <n v="20"/>
    <n v="399"/>
    <x v="1"/>
    <x v="1"/>
    <x v="7"/>
    <x v="1"/>
    <n v="0.14711412959316861"/>
    <s v="Profit"/>
    <s v="Mid (11-20%)"/>
  </r>
  <r>
    <x v="800"/>
    <x v="267"/>
    <s v="Saanvi Iyer"/>
    <x v="3"/>
    <s v="Ahmedabad"/>
    <x v="2"/>
    <s v="Envelope"/>
    <s v="Envelope - Office Supplies"/>
    <n v="4983.6000000000004"/>
    <n v="6"/>
    <n v="20"/>
    <n v="908.04"/>
    <x v="2"/>
    <x v="3"/>
    <x v="7"/>
    <x v="1"/>
    <n v="0.18220563448109797"/>
    <s v="Profit"/>
    <s v="Mid (11-20%)"/>
  </r>
  <r>
    <x v="801"/>
    <x v="315"/>
    <s v="Sneha Reddy"/>
    <x v="2"/>
    <s v="Bangalore"/>
    <x v="0"/>
    <s v="Mobile"/>
    <s v="Mobile - Technology"/>
    <n v="1311.39"/>
    <n v="3"/>
    <n v="20"/>
    <n v="95.24"/>
    <x v="2"/>
    <x v="2"/>
    <x v="2"/>
    <x v="0"/>
    <n v="7.2625229718085382E-2"/>
    <s v="Profit"/>
    <s v="Mid (11-20%)"/>
  </r>
  <r>
    <x v="802"/>
    <x v="10"/>
    <s v="Riya Kapoor"/>
    <x v="2"/>
    <s v="Hyderabad"/>
    <x v="2"/>
    <s v="Stapler"/>
    <s v="Stapler - Office Supplies"/>
    <n v="763.32"/>
    <n v="4"/>
    <n v="17"/>
    <n v="68.72"/>
    <x v="0"/>
    <x v="2"/>
    <x v="7"/>
    <x v="1"/>
    <n v="9.0027773410889272E-2"/>
    <s v="Profit"/>
    <s v="Mid (11-20%)"/>
  </r>
  <r>
    <x v="803"/>
    <x v="283"/>
    <s v="Aarav Patel"/>
    <x v="2"/>
    <s v="Chennai"/>
    <x v="1"/>
    <s v="Sofa"/>
    <s v="Sofa - Furniture"/>
    <n v="867.27"/>
    <n v="1"/>
    <n v="18"/>
    <n v="140.68"/>
    <x v="1"/>
    <x v="1"/>
    <x v="12"/>
    <x v="1"/>
    <n v="0.162210153700693"/>
    <s v="Profit"/>
    <s v="Mid (11-20%)"/>
  </r>
  <r>
    <x v="804"/>
    <x v="125"/>
    <s v="Tanishq Ghosh"/>
    <x v="2"/>
    <s v="Bangalore"/>
    <x v="0"/>
    <s v="Printer"/>
    <s v="Printer - Technology"/>
    <n v="5939.46"/>
    <n v="6"/>
    <n v="21"/>
    <n v="352.18"/>
    <x v="1"/>
    <x v="2"/>
    <x v="12"/>
    <x v="1"/>
    <n v="5.9294952739811363E-2"/>
    <s v="Profit"/>
    <s v="High (&gt;20%)"/>
  </r>
  <r>
    <x v="805"/>
    <x v="222"/>
    <s v="Sneha Reddy"/>
    <x v="1"/>
    <s v="Delhi"/>
    <x v="0"/>
    <s v="Mobile"/>
    <s v="Mobile - Technology"/>
    <n v="13483.12"/>
    <n v="8"/>
    <n v="30"/>
    <n v="2114.42"/>
    <x v="1"/>
    <x v="3"/>
    <x v="9"/>
    <x v="1"/>
    <n v="0.15681978651825393"/>
    <s v="Profit"/>
    <s v="High (&gt;20%)"/>
  </r>
  <r>
    <x v="806"/>
    <x v="82"/>
    <s v="Ishaan Mehta"/>
    <x v="0"/>
    <s v="Bhubaneswar"/>
    <x v="0"/>
    <s v="Tablet"/>
    <s v="Tablet - Technology"/>
    <n v="5071.0200000000004"/>
    <n v="6"/>
    <n v="18"/>
    <n v="841.74"/>
    <x v="0"/>
    <x v="2"/>
    <x v="5"/>
    <x v="1"/>
    <n v="0.16599027414602979"/>
    <s v="Profit"/>
    <s v="Mid (11-20%)"/>
  </r>
  <r>
    <x v="807"/>
    <x v="126"/>
    <s v="Meera Joshi"/>
    <x v="1"/>
    <s v="Chandigarh"/>
    <x v="2"/>
    <s v="Notebook"/>
    <s v="Notebook - Office Supplies"/>
    <n v="1495.69"/>
    <n v="1"/>
    <n v="17"/>
    <n v="279.8"/>
    <x v="2"/>
    <x v="2"/>
    <x v="11"/>
    <x v="1"/>
    <n v="0.18707085024303163"/>
    <s v="Profit"/>
    <s v="Mid (11-20%)"/>
  </r>
  <r>
    <x v="808"/>
    <x v="324"/>
    <s v="Diya Sharma"/>
    <x v="3"/>
    <s v="Ahmedabad"/>
    <x v="0"/>
    <s v="Tablet"/>
    <s v="Tablet - Technology"/>
    <n v="6508.7"/>
    <n v="5"/>
    <n v="25"/>
    <n v="335.09"/>
    <x v="0"/>
    <x v="1"/>
    <x v="12"/>
    <x v="1"/>
    <n v="5.1483399142685939E-2"/>
    <s v="Profit"/>
    <s v="High (&gt;20%)"/>
  </r>
  <r>
    <x v="809"/>
    <x v="96"/>
    <s v="Anaya Singh"/>
    <x v="1"/>
    <s v="Delhi"/>
    <x v="0"/>
    <s v="Printer"/>
    <s v="Printer - Technology"/>
    <n v="1041.81"/>
    <n v="7"/>
    <n v="15"/>
    <n v="146.04"/>
    <x v="1"/>
    <x v="2"/>
    <x v="4"/>
    <x v="0"/>
    <n v="0.14017911135427766"/>
    <s v="Profit"/>
    <s v="Mid (11-20%)"/>
  </r>
  <r>
    <x v="810"/>
    <x v="17"/>
    <s v="Riya Kapoor"/>
    <x v="1"/>
    <s v="Lucknow"/>
    <x v="1"/>
    <s v="Table"/>
    <s v="Table - Furniture"/>
    <n v="3976.59"/>
    <n v="3"/>
    <n v="16"/>
    <n v="577.5"/>
    <x v="0"/>
    <x v="2"/>
    <x v="5"/>
    <x v="1"/>
    <n v="0.14522492889636598"/>
    <s v="Profit"/>
    <s v="Mid (11-20%)"/>
  </r>
  <r>
    <x v="811"/>
    <x v="325"/>
    <s v="Sneha Reddy"/>
    <x v="1"/>
    <s v="Lucknow"/>
    <x v="1"/>
    <s v="Table"/>
    <s v="Table - Furniture"/>
    <n v="2747.7"/>
    <n v="2"/>
    <n v="5"/>
    <n v="519.14"/>
    <x v="0"/>
    <x v="3"/>
    <x v="5"/>
    <x v="1"/>
    <n v="0.18893620118644686"/>
    <s v="Profit"/>
    <s v="Low (1-10%)"/>
  </r>
  <r>
    <x v="812"/>
    <x v="260"/>
    <s v="Riya Kapoor"/>
    <x v="3"/>
    <s v="Indore"/>
    <x v="2"/>
    <s v="Stapler"/>
    <s v="Stapler - Office Supplies"/>
    <n v="2332.6799999999998"/>
    <n v="6"/>
    <n v="14"/>
    <n v="137.13"/>
    <x v="0"/>
    <x v="3"/>
    <x v="5"/>
    <x v="1"/>
    <n v="5.8786460208858485E-2"/>
    <s v="Profit"/>
    <s v="Mid (11-20%)"/>
  </r>
  <r>
    <x v="813"/>
    <x v="158"/>
    <s v="Saanvi Iyer"/>
    <x v="1"/>
    <s v="Delhi"/>
    <x v="0"/>
    <s v="Printer"/>
    <s v="Printer - Technology"/>
    <n v="5194.5"/>
    <n v="10"/>
    <n v="25"/>
    <n v="199.22"/>
    <x v="0"/>
    <x v="2"/>
    <x v="0"/>
    <x v="0"/>
    <n v="3.8352103186062178E-2"/>
    <s v="Profit"/>
    <s v="High (&gt;20%)"/>
  </r>
  <r>
    <x v="814"/>
    <x v="174"/>
    <s v="Yuvraj Chauhan"/>
    <x v="0"/>
    <s v="Bhubaneswar"/>
    <x v="1"/>
    <s v="Sofa"/>
    <s v="Sofa - Furniture"/>
    <n v="4929.1899999999996"/>
    <n v="7"/>
    <n v="11"/>
    <n v="955.68"/>
    <x v="0"/>
    <x v="0"/>
    <x v="6"/>
    <x v="0"/>
    <n v="0.19388175339153085"/>
    <s v="Profit"/>
    <s v="Mid (11-20%)"/>
  </r>
  <r>
    <x v="815"/>
    <x v="326"/>
    <s v="Yuvraj Chauhan"/>
    <x v="2"/>
    <s v="Chennai"/>
    <x v="0"/>
    <s v="Tablet"/>
    <s v="Tablet - Technology"/>
    <n v="1587.18"/>
    <n v="6"/>
    <n v="12"/>
    <n v="274.35000000000002"/>
    <x v="1"/>
    <x v="3"/>
    <x v="11"/>
    <x v="1"/>
    <n v="0.17285374059652969"/>
    <s v="Profit"/>
    <s v="Mid (11-20%)"/>
  </r>
  <r>
    <x v="816"/>
    <x v="327"/>
    <s v="Aarav Patel"/>
    <x v="3"/>
    <s v="Pune"/>
    <x v="0"/>
    <s v="Laptop"/>
    <s v="Laptop - Technology"/>
    <n v="3225"/>
    <n v="2"/>
    <n v="12"/>
    <n v="648.48"/>
    <x v="0"/>
    <x v="3"/>
    <x v="7"/>
    <x v="1"/>
    <n v="0.20107906976744186"/>
    <s v="Profit"/>
    <s v="Mid (11-20%)"/>
  </r>
  <r>
    <x v="817"/>
    <x v="115"/>
    <s v="Sneha Reddy"/>
    <x v="2"/>
    <s v="Hyderabad"/>
    <x v="1"/>
    <s v="Cupboard"/>
    <s v="Cupboard - Furniture"/>
    <n v="13721.54"/>
    <n v="7"/>
    <n v="12"/>
    <n v="2122.98"/>
    <x v="2"/>
    <x v="1"/>
    <x v="9"/>
    <x v="1"/>
    <n v="0.15471878520924034"/>
    <s v="Profit"/>
    <s v="Mid (11-20%)"/>
  </r>
  <r>
    <x v="818"/>
    <x v="279"/>
    <s v="Anaya Singh"/>
    <x v="3"/>
    <s v="Pune"/>
    <x v="1"/>
    <s v="Cupboard"/>
    <s v="Cupboard - Furniture"/>
    <n v="12752.6"/>
    <n v="7"/>
    <n v="17"/>
    <n v="2130.5700000000002"/>
    <x v="1"/>
    <x v="1"/>
    <x v="4"/>
    <x v="0"/>
    <n v="0.16706946034534134"/>
    <s v="Profit"/>
    <s v="Mid (11-20%)"/>
  </r>
  <r>
    <x v="819"/>
    <x v="328"/>
    <s v="Saanvi Iyer"/>
    <x v="2"/>
    <s v="Hyderabad"/>
    <x v="0"/>
    <s v="Tablet"/>
    <s v="Tablet - Technology"/>
    <n v="5371.96"/>
    <n v="4"/>
    <n v="15"/>
    <n v="737.69"/>
    <x v="2"/>
    <x v="2"/>
    <x v="2"/>
    <x v="0"/>
    <n v="0.1373223181110805"/>
    <s v="Profit"/>
    <s v="Mid (11-20%)"/>
  </r>
  <r>
    <x v="820"/>
    <x v="104"/>
    <s v="Tanishq Ghosh"/>
    <x v="3"/>
    <s v="Nagpur"/>
    <x v="0"/>
    <s v="Laptop"/>
    <s v="Laptop - Technology"/>
    <n v="12371.76"/>
    <n v="9"/>
    <n v="8"/>
    <n v="1010.97"/>
    <x v="1"/>
    <x v="0"/>
    <x v="1"/>
    <x v="1"/>
    <n v="8.1715940173427232E-2"/>
    <s v="Profit"/>
    <s v="Low (1-10%)"/>
  </r>
  <r>
    <x v="821"/>
    <x v="292"/>
    <s v="Kriti Desai"/>
    <x v="2"/>
    <s v="Chennai"/>
    <x v="1"/>
    <s v="Sofa"/>
    <s v="Sofa - Furniture"/>
    <n v="3975.35"/>
    <n v="5"/>
    <n v="29"/>
    <n v="474.95"/>
    <x v="2"/>
    <x v="1"/>
    <x v="10"/>
    <x v="1"/>
    <n v="0.11947375702768309"/>
    <s v="Profit"/>
    <s v="High (&gt;20%)"/>
  </r>
  <r>
    <x v="822"/>
    <x v="329"/>
    <s v="Aarav Patel"/>
    <x v="2"/>
    <s v="Bangalore"/>
    <x v="1"/>
    <s v="Table"/>
    <s v="Table - Furniture"/>
    <n v="4039.7"/>
    <n v="5"/>
    <n v="25"/>
    <n v="226.87"/>
    <x v="2"/>
    <x v="0"/>
    <x v="12"/>
    <x v="1"/>
    <n v="5.6160110899324212E-2"/>
    <s v="Profit"/>
    <s v="High (&gt;20%)"/>
  </r>
  <r>
    <x v="823"/>
    <x v="319"/>
    <s v="Anaya Singh"/>
    <x v="1"/>
    <s v="Lucknow"/>
    <x v="0"/>
    <s v="Laptop"/>
    <s v="Laptop - Technology"/>
    <n v="330.18"/>
    <n v="2"/>
    <n v="29"/>
    <n v="42.83"/>
    <x v="1"/>
    <x v="0"/>
    <x v="12"/>
    <x v="1"/>
    <n v="0.12971712399297353"/>
    <s v="Profit"/>
    <s v="High (&gt;20%)"/>
  </r>
  <r>
    <x v="824"/>
    <x v="232"/>
    <s v="Vivaan Shah"/>
    <x v="3"/>
    <s v="Ahmedabad"/>
    <x v="2"/>
    <s v="Envelope"/>
    <s v="Envelope - Office Supplies"/>
    <n v="12039.48"/>
    <n v="9"/>
    <n v="2"/>
    <n v="2484.9699999999998"/>
    <x v="2"/>
    <x v="1"/>
    <x v="7"/>
    <x v="1"/>
    <n v="0.2064017715050816"/>
    <s v="Profit"/>
    <s v="Low (1-10%)"/>
  </r>
  <r>
    <x v="825"/>
    <x v="130"/>
    <s v="Aarav Patel"/>
    <x v="1"/>
    <s v="Chandigarh"/>
    <x v="2"/>
    <s v="Envelope"/>
    <s v="Envelope - Office Supplies"/>
    <n v="628.98"/>
    <n v="2"/>
    <n v="14"/>
    <n v="84.47"/>
    <x v="0"/>
    <x v="3"/>
    <x v="12"/>
    <x v="1"/>
    <n v="0.13429679799039715"/>
    <s v="Profit"/>
    <s v="Mid (11-20%)"/>
  </r>
  <r>
    <x v="826"/>
    <x v="239"/>
    <s v="Arjun Verma"/>
    <x v="0"/>
    <s v="Patna"/>
    <x v="2"/>
    <s v="Stapler"/>
    <s v="Stapler - Office Supplies"/>
    <n v="10712.97"/>
    <n v="9"/>
    <n v="14"/>
    <n v="2237.8000000000002"/>
    <x v="2"/>
    <x v="2"/>
    <x v="0"/>
    <x v="0"/>
    <n v="0.20888698465504901"/>
    <s v="Profit"/>
    <s v="Mid (11-20%)"/>
  </r>
  <r>
    <x v="827"/>
    <x v="330"/>
    <s v="Ishaan Mehta"/>
    <x v="1"/>
    <s v="Lucknow"/>
    <x v="1"/>
    <s v="Cupboard"/>
    <s v="Cupboard - Furniture"/>
    <n v="1656.48"/>
    <n v="6"/>
    <n v="29"/>
    <n v="82.31"/>
    <x v="2"/>
    <x v="1"/>
    <x v="3"/>
    <x v="1"/>
    <n v="4.9689703467593938E-2"/>
    <s v="Profit"/>
    <s v="High (&gt;20%)"/>
  </r>
  <r>
    <x v="828"/>
    <x v="51"/>
    <s v="Yuvraj Chauhan"/>
    <x v="1"/>
    <s v="Lucknow"/>
    <x v="2"/>
    <s v="Pen"/>
    <s v="Pen - Office Supplies"/>
    <n v="8279.85"/>
    <n v="5"/>
    <n v="3"/>
    <n v="1425.47"/>
    <x v="0"/>
    <x v="1"/>
    <x v="3"/>
    <x v="1"/>
    <n v="0.17216133142508619"/>
    <s v="Profit"/>
    <s v="Low (1-10%)"/>
  </r>
  <r>
    <x v="829"/>
    <x v="241"/>
    <s v="Arjun Verma"/>
    <x v="0"/>
    <s v="Bhubaneswar"/>
    <x v="1"/>
    <s v="Chair"/>
    <s v="Chair - Furniture"/>
    <n v="7192.14"/>
    <n v="6"/>
    <n v="19"/>
    <n v="727.52"/>
    <x v="1"/>
    <x v="3"/>
    <x v="6"/>
    <x v="0"/>
    <n v="0.10115487184620989"/>
    <s v="Profit"/>
    <s v="Mid (11-20%)"/>
  </r>
  <r>
    <x v="830"/>
    <x v="89"/>
    <s v="Arjun Verma"/>
    <x v="1"/>
    <s v="Delhi"/>
    <x v="0"/>
    <s v="Laptop"/>
    <s v="Laptop - Technology"/>
    <n v="2520.3000000000002"/>
    <n v="2"/>
    <n v="18"/>
    <n v="262.43"/>
    <x v="1"/>
    <x v="1"/>
    <x v="10"/>
    <x v="1"/>
    <n v="0.104126492877832"/>
    <s v="Profit"/>
    <s v="Mid (11-20%)"/>
  </r>
  <r>
    <x v="831"/>
    <x v="207"/>
    <s v="Ishaan Mehta"/>
    <x v="0"/>
    <s v="Kolkata"/>
    <x v="2"/>
    <s v="Envelope"/>
    <s v="Envelope - Office Supplies"/>
    <n v="3159.51"/>
    <n v="3"/>
    <n v="3"/>
    <n v="170"/>
    <x v="2"/>
    <x v="1"/>
    <x v="2"/>
    <x v="0"/>
    <n v="5.3805811660668897E-2"/>
    <s v="Profit"/>
    <s v="Low (1-10%)"/>
  </r>
  <r>
    <x v="832"/>
    <x v="179"/>
    <s v="Meera Joshi"/>
    <x v="0"/>
    <s v="Patna"/>
    <x v="1"/>
    <s v="Chair"/>
    <s v="Chair - Furniture"/>
    <n v="1567.68"/>
    <n v="3"/>
    <n v="17"/>
    <n v="78.709999999999994"/>
    <x v="2"/>
    <x v="1"/>
    <x v="10"/>
    <x v="1"/>
    <n v="5.0207950602163702E-2"/>
    <s v="Profit"/>
    <s v="Mid (11-20%)"/>
  </r>
  <r>
    <x v="833"/>
    <x v="331"/>
    <s v="Aarav Patel"/>
    <x v="1"/>
    <s v="Chandigarh"/>
    <x v="1"/>
    <s v="Chair"/>
    <s v="Chair - Furniture"/>
    <n v="3507.18"/>
    <n v="6"/>
    <n v="23"/>
    <n v="489.59"/>
    <x v="0"/>
    <x v="1"/>
    <x v="5"/>
    <x v="1"/>
    <n v="0.13959648492521057"/>
    <s v="Profit"/>
    <s v="High (&gt;20%)"/>
  </r>
  <r>
    <x v="834"/>
    <x v="323"/>
    <s v="Diya Sharma"/>
    <x v="3"/>
    <s v="Mumbai"/>
    <x v="1"/>
    <s v="Chair"/>
    <s v="Chair - Furniture"/>
    <n v="6779.04"/>
    <n v="6"/>
    <n v="5"/>
    <n v="422.15"/>
    <x v="0"/>
    <x v="2"/>
    <x v="7"/>
    <x v="1"/>
    <n v="6.2272829191153907E-2"/>
    <s v="Profit"/>
    <s v="Low (1-10%)"/>
  </r>
  <r>
    <x v="835"/>
    <x v="86"/>
    <s v="Kriti Desai"/>
    <x v="2"/>
    <s v="Hyderabad"/>
    <x v="0"/>
    <s v="Printer"/>
    <s v="Printer - Technology"/>
    <n v="1188.78"/>
    <n v="2"/>
    <n v="10"/>
    <n v="81.67"/>
    <x v="1"/>
    <x v="0"/>
    <x v="4"/>
    <x v="0"/>
    <n v="6.8700684735611306E-2"/>
    <s v="Profit"/>
    <s v="Low (1-10%)"/>
  </r>
  <r>
    <x v="836"/>
    <x v="36"/>
    <s v="Arjun Verma"/>
    <x v="1"/>
    <s v="Jaipur"/>
    <x v="0"/>
    <s v="Printer"/>
    <s v="Printer - Technology"/>
    <n v="6671.43"/>
    <n v="9"/>
    <n v="27"/>
    <n v="796.8"/>
    <x v="2"/>
    <x v="0"/>
    <x v="1"/>
    <x v="1"/>
    <n v="0.11943466393262013"/>
    <s v="Profit"/>
    <s v="High (&gt;20%)"/>
  </r>
  <r>
    <x v="837"/>
    <x v="63"/>
    <s v="Saanvi Iyer"/>
    <x v="2"/>
    <s v="Bangalore"/>
    <x v="0"/>
    <s v="Mobile"/>
    <s v="Mobile - Technology"/>
    <n v="3274.08"/>
    <n v="8"/>
    <n v="14"/>
    <n v="437.36"/>
    <x v="1"/>
    <x v="2"/>
    <x v="7"/>
    <x v="1"/>
    <n v="0.13358256365146851"/>
    <s v="Profit"/>
    <s v="Mid (11-20%)"/>
  </r>
  <r>
    <x v="838"/>
    <x v="66"/>
    <s v="Diya Sharma"/>
    <x v="3"/>
    <s v="Indore"/>
    <x v="1"/>
    <s v="Table"/>
    <s v="Table - Furniture"/>
    <n v="6254"/>
    <n v="4"/>
    <n v="11"/>
    <n v="890.82"/>
    <x v="0"/>
    <x v="2"/>
    <x v="9"/>
    <x v="1"/>
    <n v="0.14244003837543973"/>
    <s v="Profit"/>
    <s v="Mid (11-20%)"/>
  </r>
  <r>
    <x v="839"/>
    <x v="214"/>
    <s v="Anaya Singh"/>
    <x v="1"/>
    <s v="Lucknow"/>
    <x v="2"/>
    <s v="Stapler"/>
    <s v="Stapler - Office Supplies"/>
    <n v="3457.88"/>
    <n v="4"/>
    <n v="30"/>
    <n v="276.37"/>
    <x v="0"/>
    <x v="1"/>
    <x v="5"/>
    <x v="1"/>
    <n v="7.9924693742987038E-2"/>
    <s v="Profit"/>
    <s v="High (&gt;20%)"/>
  </r>
  <r>
    <x v="840"/>
    <x v="47"/>
    <s v="Kriti Desai"/>
    <x v="2"/>
    <s v="Chennai"/>
    <x v="1"/>
    <s v="Table"/>
    <s v="Table - Furniture"/>
    <n v="2268.14"/>
    <n v="7"/>
    <n v="6"/>
    <n v="249.14"/>
    <x v="1"/>
    <x v="1"/>
    <x v="9"/>
    <x v="1"/>
    <n v="0.10984330773232692"/>
    <s v="Profit"/>
    <s v="Low (1-10%)"/>
  </r>
  <r>
    <x v="841"/>
    <x v="22"/>
    <s v="Diya Sharma"/>
    <x v="3"/>
    <s v="Nagpur"/>
    <x v="2"/>
    <s v="Notebook"/>
    <s v="Notebook - Office Supplies"/>
    <n v="1266.57"/>
    <n v="9"/>
    <n v="20"/>
    <n v="160.6"/>
    <x v="1"/>
    <x v="0"/>
    <x v="0"/>
    <x v="0"/>
    <n v="0.1267991504614826"/>
    <s v="Profit"/>
    <s v="Mid (11-20%)"/>
  </r>
  <r>
    <x v="842"/>
    <x v="168"/>
    <s v="Arjun Verma"/>
    <x v="0"/>
    <s v="Kolkata"/>
    <x v="2"/>
    <s v="Notebook"/>
    <s v="Notebook - Office Supplies"/>
    <n v="701.7"/>
    <n v="2"/>
    <n v="6"/>
    <n v="35.25"/>
    <x v="2"/>
    <x v="1"/>
    <x v="11"/>
    <x v="1"/>
    <n v="5.0235143223599829E-2"/>
    <s v="Profit"/>
    <s v="Low (1-10%)"/>
  </r>
  <r>
    <x v="843"/>
    <x v="220"/>
    <s v="Kabir Nair"/>
    <x v="3"/>
    <s v="Ahmedabad"/>
    <x v="2"/>
    <s v="Stapler"/>
    <s v="Stapler - Office Supplies"/>
    <n v="1194.8699999999999"/>
    <n v="1"/>
    <n v="13"/>
    <n v="151.02000000000001"/>
    <x v="0"/>
    <x v="0"/>
    <x v="12"/>
    <x v="1"/>
    <n v="0.12639031861206659"/>
    <s v="Profit"/>
    <s v="Mid (11-20%)"/>
  </r>
  <r>
    <x v="844"/>
    <x v="74"/>
    <s v="Tanishq Ghosh"/>
    <x v="2"/>
    <s v="Chennai"/>
    <x v="0"/>
    <s v="Tablet"/>
    <s v="Tablet - Technology"/>
    <n v="7021.05"/>
    <n v="5"/>
    <n v="15"/>
    <n v="1264.83"/>
    <x v="2"/>
    <x v="2"/>
    <x v="1"/>
    <x v="1"/>
    <n v="0.18014826842138995"/>
    <s v="Profit"/>
    <s v="Mid (11-20%)"/>
  </r>
  <r>
    <x v="845"/>
    <x v="152"/>
    <s v="Sneha Reddy"/>
    <x v="3"/>
    <s v="Nagpur"/>
    <x v="1"/>
    <s v="Cupboard"/>
    <s v="Cupboard - Furniture"/>
    <n v="1005.06"/>
    <n v="1"/>
    <n v="29"/>
    <n v="46.25"/>
    <x v="0"/>
    <x v="0"/>
    <x v="7"/>
    <x v="1"/>
    <n v="4.6017153204783799E-2"/>
    <s v="Profit"/>
    <s v="High (&gt;20%)"/>
  </r>
  <r>
    <x v="846"/>
    <x v="225"/>
    <s v="Anaya Singh"/>
    <x v="3"/>
    <s v="Pune"/>
    <x v="1"/>
    <s v="Chair"/>
    <s v="Chair - Furniture"/>
    <n v="8064.6"/>
    <n v="6"/>
    <n v="1"/>
    <n v="1365.38"/>
    <x v="2"/>
    <x v="3"/>
    <x v="3"/>
    <x v="1"/>
    <n v="0.16930535922426407"/>
    <s v="Profit"/>
    <s v="Low (1-10%)"/>
  </r>
  <r>
    <x v="847"/>
    <x v="332"/>
    <s v="Sneha Reddy"/>
    <x v="0"/>
    <s v="Patna"/>
    <x v="0"/>
    <s v="Mobile"/>
    <s v="Mobile - Technology"/>
    <n v="5198.24"/>
    <n v="8"/>
    <n v="9"/>
    <n v="722.81"/>
    <x v="1"/>
    <x v="3"/>
    <x v="11"/>
    <x v="1"/>
    <n v="0.13904898581058203"/>
    <s v="Profit"/>
    <s v="Low (1-10%)"/>
  </r>
  <r>
    <x v="848"/>
    <x v="189"/>
    <s v="Ishaan Mehta"/>
    <x v="2"/>
    <s v="Chennai"/>
    <x v="1"/>
    <s v="Sofa"/>
    <s v="Sofa - Furniture"/>
    <n v="8254.89"/>
    <n v="9"/>
    <n v="10"/>
    <n v="688.09"/>
    <x v="2"/>
    <x v="3"/>
    <x v="10"/>
    <x v="1"/>
    <n v="8.3355441441375966E-2"/>
    <s v="Profit"/>
    <s v="Low (1-10%)"/>
  </r>
  <r>
    <x v="849"/>
    <x v="333"/>
    <s v="Kriti Desai"/>
    <x v="0"/>
    <s v="Bhubaneswar"/>
    <x v="2"/>
    <s v="Pen"/>
    <s v="Pen - Office Supplies"/>
    <n v="16609.3"/>
    <n v="10"/>
    <n v="30"/>
    <n v="2503.6"/>
    <x v="1"/>
    <x v="0"/>
    <x v="5"/>
    <x v="1"/>
    <n v="0.15073482928238999"/>
    <s v="Profit"/>
    <s v="High (&gt;20%)"/>
  </r>
  <r>
    <x v="850"/>
    <x v="259"/>
    <s v="Tanishq Ghosh"/>
    <x v="0"/>
    <s v="Bhubaneswar"/>
    <x v="2"/>
    <s v="Envelope"/>
    <s v="Envelope - Office Supplies"/>
    <n v="10279.98"/>
    <n v="9"/>
    <n v="28"/>
    <n v="482.3"/>
    <x v="2"/>
    <x v="2"/>
    <x v="9"/>
    <x v="1"/>
    <n v="4.6916433689559708E-2"/>
    <s v="Profit"/>
    <s v="High (&gt;20%)"/>
  </r>
  <r>
    <x v="851"/>
    <x v="126"/>
    <s v="Yuvraj Chauhan"/>
    <x v="3"/>
    <s v="Nagpur"/>
    <x v="2"/>
    <s v="Envelope"/>
    <s v="Envelope - Office Supplies"/>
    <n v="1683.09"/>
    <n v="3"/>
    <n v="26"/>
    <n v="270.97000000000003"/>
    <x v="2"/>
    <x v="0"/>
    <x v="11"/>
    <x v="1"/>
    <n v="0.16099554985176076"/>
    <s v="Profit"/>
    <s v="High (&gt;20%)"/>
  </r>
  <r>
    <x v="852"/>
    <x v="334"/>
    <s v="Kriti Desai"/>
    <x v="1"/>
    <s v="Delhi"/>
    <x v="0"/>
    <s v="Mobile"/>
    <s v="Mobile - Technology"/>
    <n v="16597.8"/>
    <n v="10"/>
    <n v="16"/>
    <n v="2692.54"/>
    <x v="0"/>
    <x v="1"/>
    <x v="6"/>
    <x v="0"/>
    <n v="0.16222270421381146"/>
    <s v="Profit"/>
    <s v="Mid (11-20%)"/>
  </r>
  <r>
    <x v="853"/>
    <x v="213"/>
    <s v="Diya Sharma"/>
    <x v="1"/>
    <s v="Delhi"/>
    <x v="0"/>
    <s v="Laptop"/>
    <s v="Laptop - Technology"/>
    <n v="1801.34"/>
    <n v="2"/>
    <n v="30"/>
    <n v="110.46"/>
    <x v="1"/>
    <x v="3"/>
    <x v="2"/>
    <x v="0"/>
    <n v="6.1321016576548572E-2"/>
    <s v="Profit"/>
    <s v="High (&gt;20%)"/>
  </r>
  <r>
    <x v="854"/>
    <x v="327"/>
    <s v="Aarav Patel"/>
    <x v="1"/>
    <s v="Jaipur"/>
    <x v="0"/>
    <s v="Printer"/>
    <s v="Printer - Technology"/>
    <n v="5823.96"/>
    <n v="4"/>
    <n v="16"/>
    <n v="992.09"/>
    <x v="1"/>
    <x v="1"/>
    <x v="7"/>
    <x v="1"/>
    <n v="0.17034629358718123"/>
    <s v="Profit"/>
    <s v="Mid (11-20%)"/>
  </r>
  <r>
    <x v="855"/>
    <x v="104"/>
    <s v="Diya Sharma"/>
    <x v="3"/>
    <s v="Indore"/>
    <x v="2"/>
    <s v="Stapler"/>
    <s v="Stapler - Office Supplies"/>
    <n v="11546.76"/>
    <n v="6"/>
    <n v="19"/>
    <n v="1813.43"/>
    <x v="2"/>
    <x v="1"/>
    <x v="1"/>
    <x v="1"/>
    <n v="0.15705098226688699"/>
    <s v="Profit"/>
    <s v="Mid (11-20%)"/>
  </r>
  <r>
    <x v="856"/>
    <x v="86"/>
    <s v="Vivaan Shah"/>
    <x v="3"/>
    <s v="Nagpur"/>
    <x v="0"/>
    <s v="Mobile"/>
    <s v="Mobile - Technology"/>
    <n v="8941.41"/>
    <n v="9"/>
    <n v="30"/>
    <n v="694.19"/>
    <x v="0"/>
    <x v="0"/>
    <x v="4"/>
    <x v="0"/>
    <n v="7.7637643279974869E-2"/>
    <s v="Profit"/>
    <s v="High (&gt;20%)"/>
  </r>
  <r>
    <x v="857"/>
    <x v="304"/>
    <s v="Ishaan Mehta"/>
    <x v="0"/>
    <s v="Bhubaneswar"/>
    <x v="1"/>
    <s v="Table"/>
    <s v="Table - Furniture"/>
    <n v="515.98"/>
    <n v="1"/>
    <n v="13"/>
    <n v="47.68"/>
    <x v="1"/>
    <x v="1"/>
    <x v="9"/>
    <x v="1"/>
    <n v="9.2406682429551523E-2"/>
    <s v="Profit"/>
    <s v="Mid (11-20%)"/>
  </r>
  <r>
    <x v="858"/>
    <x v="260"/>
    <s v="Sneha Reddy"/>
    <x v="2"/>
    <s v="Hyderabad"/>
    <x v="0"/>
    <s v="Tablet"/>
    <s v="Tablet - Technology"/>
    <n v="2846.58"/>
    <n v="2"/>
    <n v="22"/>
    <n v="549.17999999999995"/>
    <x v="0"/>
    <x v="0"/>
    <x v="5"/>
    <x v="1"/>
    <n v="0.19292624834011338"/>
    <s v="Profit"/>
    <s v="High (&gt;20%)"/>
  </r>
  <r>
    <x v="859"/>
    <x v="266"/>
    <s v="Anaya Singh"/>
    <x v="2"/>
    <s v="Hyderabad"/>
    <x v="1"/>
    <s v="Chair"/>
    <s v="Chair - Furniture"/>
    <n v="9961.1200000000008"/>
    <n v="8"/>
    <n v="24"/>
    <n v="1052.79"/>
    <x v="0"/>
    <x v="1"/>
    <x v="3"/>
    <x v="1"/>
    <n v="0.10568992241836259"/>
    <s v="Profit"/>
    <s v="High (&gt;20%)"/>
  </r>
  <r>
    <x v="860"/>
    <x v="88"/>
    <s v="Tanishq Ghosh"/>
    <x v="0"/>
    <s v="Patna"/>
    <x v="0"/>
    <s v="Laptop"/>
    <s v="Laptop - Technology"/>
    <n v="548.46"/>
    <n v="1"/>
    <n v="24"/>
    <n v="22.49"/>
    <x v="0"/>
    <x v="2"/>
    <x v="10"/>
    <x v="1"/>
    <n v="4.100572512124858E-2"/>
    <s v="Profit"/>
    <s v="High (&gt;20%)"/>
  </r>
  <r>
    <x v="861"/>
    <x v="92"/>
    <s v="Kriti Desai"/>
    <x v="2"/>
    <s v="Bangalore"/>
    <x v="0"/>
    <s v="Mobile"/>
    <s v="Mobile - Technology"/>
    <n v="1897.2"/>
    <n v="10"/>
    <n v="11"/>
    <n v="341"/>
    <x v="1"/>
    <x v="1"/>
    <x v="4"/>
    <x v="0"/>
    <n v="0.17973856209150327"/>
    <s v="Profit"/>
    <s v="Mid (11-20%)"/>
  </r>
  <r>
    <x v="862"/>
    <x v="227"/>
    <s v="Anaya Singh"/>
    <x v="3"/>
    <s v="Indore"/>
    <x v="1"/>
    <s v="Cupboard"/>
    <s v="Cupboard - Furniture"/>
    <n v="1264.75"/>
    <n v="5"/>
    <n v="10"/>
    <n v="235.03"/>
    <x v="1"/>
    <x v="1"/>
    <x v="5"/>
    <x v="1"/>
    <n v="0.18583119193516506"/>
    <s v="Profit"/>
    <s v="Low (1-10%)"/>
  </r>
  <r>
    <x v="863"/>
    <x v="128"/>
    <s v="Arjun Verma"/>
    <x v="1"/>
    <s v="Lucknow"/>
    <x v="2"/>
    <s v="Pen"/>
    <s v="Pen - Office Supplies"/>
    <n v="1582.74"/>
    <n v="1"/>
    <n v="27"/>
    <n v="145.09"/>
    <x v="1"/>
    <x v="0"/>
    <x v="6"/>
    <x v="0"/>
    <n v="9.1670141653082626E-2"/>
    <s v="Profit"/>
    <s v="High (&gt;20%)"/>
  </r>
  <r>
    <x v="864"/>
    <x v="278"/>
    <s v="Meera Joshi"/>
    <x v="2"/>
    <s v="Chennai"/>
    <x v="1"/>
    <s v="Chair"/>
    <s v="Chair - Furniture"/>
    <n v="5842.92"/>
    <n v="4"/>
    <n v="15"/>
    <n v="1196.26"/>
    <x v="1"/>
    <x v="3"/>
    <x v="7"/>
    <x v="1"/>
    <n v="0.20473667275951066"/>
    <s v="Profit"/>
    <s v="Mid (11-20%)"/>
  </r>
  <r>
    <x v="865"/>
    <x v="331"/>
    <s v="Diya Sharma"/>
    <x v="1"/>
    <s v="Jaipur"/>
    <x v="1"/>
    <s v="Table"/>
    <s v="Table - Furniture"/>
    <n v="3775.83"/>
    <n v="3"/>
    <n v="28"/>
    <n v="645.46"/>
    <x v="1"/>
    <x v="1"/>
    <x v="5"/>
    <x v="1"/>
    <n v="0.17094519615554726"/>
    <s v="Profit"/>
    <s v="High (&gt;20%)"/>
  </r>
  <r>
    <x v="866"/>
    <x v="192"/>
    <s v="Sneha Reddy"/>
    <x v="3"/>
    <s v="Ahmedabad"/>
    <x v="0"/>
    <s v="Printer"/>
    <s v="Printer - Technology"/>
    <n v="15228"/>
    <n v="9"/>
    <n v="17"/>
    <n v="2050.6799999999998"/>
    <x v="1"/>
    <x v="3"/>
    <x v="9"/>
    <x v="1"/>
    <n v="0.13466509062253743"/>
    <s v="Profit"/>
    <s v="Mid (11-20%)"/>
  </r>
  <r>
    <x v="867"/>
    <x v="306"/>
    <s v="Saanvi Iyer"/>
    <x v="2"/>
    <s v="Hyderabad"/>
    <x v="0"/>
    <s v="Mobile"/>
    <s v="Mobile - Technology"/>
    <n v="11171.84"/>
    <n v="8"/>
    <n v="1"/>
    <n v="2236.56"/>
    <x v="0"/>
    <x v="0"/>
    <x v="1"/>
    <x v="1"/>
    <n v="0.20019620760769935"/>
    <s v="Profit"/>
    <s v="Low (1-10%)"/>
  </r>
  <r>
    <x v="868"/>
    <x v="290"/>
    <s v="Riya Kapoor"/>
    <x v="1"/>
    <s v="Jaipur"/>
    <x v="1"/>
    <s v="Table"/>
    <s v="Table - Furniture"/>
    <n v="10296.24"/>
    <n v="6"/>
    <n v="28"/>
    <n v="1243.8499999999999"/>
    <x v="2"/>
    <x v="0"/>
    <x v="10"/>
    <x v="1"/>
    <n v="0.12080623606287343"/>
    <s v="Profit"/>
    <s v="High (&gt;20%)"/>
  </r>
  <r>
    <x v="869"/>
    <x v="333"/>
    <s v="Meera Joshi"/>
    <x v="1"/>
    <s v="Chandigarh"/>
    <x v="1"/>
    <s v="Chair"/>
    <s v="Chair - Furniture"/>
    <n v="6321.07"/>
    <n v="7"/>
    <n v="11"/>
    <n v="556.62"/>
    <x v="0"/>
    <x v="1"/>
    <x v="5"/>
    <x v="1"/>
    <n v="8.8057876277275848E-2"/>
    <s v="Profit"/>
    <s v="Mid (11-20%)"/>
  </r>
  <r>
    <x v="870"/>
    <x v="91"/>
    <s v="Anaya Singh"/>
    <x v="0"/>
    <s v="Kolkata"/>
    <x v="1"/>
    <s v="Cupboard"/>
    <s v="Cupboard - Furniture"/>
    <n v="7489.3"/>
    <n v="10"/>
    <n v="8"/>
    <n v="1147.53"/>
    <x v="2"/>
    <x v="1"/>
    <x v="1"/>
    <x v="1"/>
    <n v="0.15322259757253681"/>
    <s v="Profit"/>
    <s v="Low (1-10%)"/>
  </r>
  <r>
    <x v="871"/>
    <x v="102"/>
    <s v="Arjun Verma"/>
    <x v="1"/>
    <s v="Chandigarh"/>
    <x v="1"/>
    <s v="Cupboard"/>
    <s v="Cupboard - Furniture"/>
    <n v="2180.2800000000002"/>
    <n v="4"/>
    <n v="14"/>
    <n v="208.99"/>
    <x v="1"/>
    <x v="3"/>
    <x v="2"/>
    <x v="0"/>
    <n v="9.5854660869246142E-2"/>
    <s v="Profit"/>
    <s v="Mid (11-20%)"/>
  </r>
  <r>
    <x v="872"/>
    <x v="76"/>
    <s v="Aarav Patel"/>
    <x v="1"/>
    <s v="Delhi"/>
    <x v="0"/>
    <s v="Tablet"/>
    <s v="Tablet - Technology"/>
    <n v="3084.66"/>
    <n v="9"/>
    <n v="14"/>
    <n v="645.59"/>
    <x v="0"/>
    <x v="0"/>
    <x v="3"/>
    <x v="1"/>
    <n v="0.20929048906524547"/>
    <s v="Profit"/>
    <s v="Mid (11-20%)"/>
  </r>
  <r>
    <x v="873"/>
    <x v="335"/>
    <s v="Vivaan Shah"/>
    <x v="1"/>
    <s v="Chandigarh"/>
    <x v="2"/>
    <s v="Pen"/>
    <s v="Pen - Office Supplies"/>
    <n v="2533.16"/>
    <n v="7"/>
    <n v="22"/>
    <n v="258.10000000000002"/>
    <x v="0"/>
    <x v="2"/>
    <x v="10"/>
    <x v="1"/>
    <n v="0.10188855026922897"/>
    <s v="Profit"/>
    <s v="High (&gt;20%)"/>
  </r>
  <r>
    <x v="874"/>
    <x v="206"/>
    <s v="Arjun Verma"/>
    <x v="3"/>
    <s v="Nagpur"/>
    <x v="1"/>
    <s v="Table"/>
    <s v="Table - Furniture"/>
    <n v="14603.13"/>
    <n v="9"/>
    <n v="9"/>
    <n v="1017.9"/>
    <x v="0"/>
    <x v="1"/>
    <x v="4"/>
    <x v="0"/>
    <n v="6.9704234640107984E-2"/>
    <s v="Profit"/>
    <s v="Low (1-10%)"/>
  </r>
  <r>
    <x v="875"/>
    <x v="277"/>
    <s v="Tanishq Ghosh"/>
    <x v="1"/>
    <s v="Chandigarh"/>
    <x v="2"/>
    <s v="Notebook"/>
    <s v="Notebook - Office Supplies"/>
    <n v="6008.84"/>
    <n v="4"/>
    <n v="18"/>
    <n v="666.36"/>
    <x v="0"/>
    <x v="0"/>
    <x v="1"/>
    <x v="1"/>
    <n v="0.11089661232450855"/>
    <s v="Profit"/>
    <s v="Mid (11-20%)"/>
  </r>
  <r>
    <x v="876"/>
    <x v="273"/>
    <s v="Riya Kapoor"/>
    <x v="1"/>
    <s v="Lucknow"/>
    <x v="1"/>
    <s v="Chair"/>
    <s v="Chair - Furniture"/>
    <n v="4860.45"/>
    <n v="5"/>
    <n v="2"/>
    <n v="935.8"/>
    <x v="2"/>
    <x v="3"/>
    <x v="3"/>
    <x v="1"/>
    <n v="0.192533613142816"/>
    <s v="Profit"/>
    <s v="Low (1-10%)"/>
  </r>
  <r>
    <x v="877"/>
    <x v="328"/>
    <s v="Krishna Das"/>
    <x v="2"/>
    <s v="Hyderabad"/>
    <x v="1"/>
    <s v="Sofa"/>
    <s v="Sofa - Furniture"/>
    <n v="9004.94"/>
    <n v="7"/>
    <n v="5"/>
    <n v="1330.41"/>
    <x v="0"/>
    <x v="0"/>
    <x v="2"/>
    <x v="0"/>
    <n v="0.14774223925978408"/>
    <s v="Profit"/>
    <s v="Low (1-10%)"/>
  </r>
  <r>
    <x v="878"/>
    <x v="269"/>
    <s v="Kabir Nair"/>
    <x v="3"/>
    <s v="Indore"/>
    <x v="2"/>
    <s v="Notebook"/>
    <s v="Notebook - Office Supplies"/>
    <n v="1773.02"/>
    <n v="2"/>
    <n v="28"/>
    <n v="254.55"/>
    <x v="0"/>
    <x v="3"/>
    <x v="4"/>
    <x v="0"/>
    <n v="0.14356860046699982"/>
    <s v="Profit"/>
    <s v="High (&gt;20%)"/>
  </r>
  <r>
    <x v="879"/>
    <x v="159"/>
    <s v="Ishaan Mehta"/>
    <x v="1"/>
    <s v="Delhi"/>
    <x v="1"/>
    <s v="Cupboard"/>
    <s v="Cupboard - Furniture"/>
    <n v="4637.24"/>
    <n v="4"/>
    <n v="8"/>
    <n v="555.17999999999995"/>
    <x v="0"/>
    <x v="1"/>
    <x v="6"/>
    <x v="0"/>
    <n v="0.11972207606248544"/>
    <s v="Profit"/>
    <s v="Low (1-10%)"/>
  </r>
  <r>
    <x v="880"/>
    <x v="151"/>
    <s v="Aarav Patel"/>
    <x v="1"/>
    <s v="Delhi"/>
    <x v="1"/>
    <s v="Chair"/>
    <s v="Chair - Furniture"/>
    <n v="3497.46"/>
    <n v="6"/>
    <n v="17"/>
    <n v="520.75"/>
    <x v="2"/>
    <x v="3"/>
    <x v="6"/>
    <x v="0"/>
    <n v="0.14889376862065612"/>
    <s v="Profit"/>
    <s v="Mid (11-20%)"/>
  </r>
  <r>
    <x v="881"/>
    <x v="318"/>
    <s v="Vivaan Shah"/>
    <x v="2"/>
    <s v="Hyderabad"/>
    <x v="0"/>
    <s v="Mobile"/>
    <s v="Mobile - Technology"/>
    <n v="2838"/>
    <n v="10"/>
    <n v="6"/>
    <n v="219.38"/>
    <x v="0"/>
    <x v="2"/>
    <x v="3"/>
    <x v="1"/>
    <n v="7.7300916138125439E-2"/>
    <s v="Profit"/>
    <s v="Low (1-10%)"/>
  </r>
  <r>
    <x v="882"/>
    <x v="132"/>
    <s v="Anaya Singh"/>
    <x v="1"/>
    <s v="Lucknow"/>
    <x v="0"/>
    <s v="Tablet"/>
    <s v="Tablet - Technology"/>
    <n v="7165.65"/>
    <n v="5"/>
    <n v="29"/>
    <n v="903.11"/>
    <x v="2"/>
    <x v="3"/>
    <x v="7"/>
    <x v="1"/>
    <n v="0.12603322796954919"/>
    <s v="Profit"/>
    <s v="High (&gt;20%)"/>
  </r>
  <r>
    <x v="883"/>
    <x v="79"/>
    <s v="Kabir Nair"/>
    <x v="2"/>
    <s v="Bangalore"/>
    <x v="2"/>
    <s v="Stapler"/>
    <s v="Stapler - Office Supplies"/>
    <n v="15267.52"/>
    <n v="8"/>
    <n v="5"/>
    <n v="1279.6099999999999"/>
    <x v="2"/>
    <x v="2"/>
    <x v="9"/>
    <x v="1"/>
    <n v="8.3812564188551902E-2"/>
    <s v="Profit"/>
    <s v="Low (1-10%)"/>
  </r>
  <r>
    <x v="884"/>
    <x v="14"/>
    <s v="Kabir Nair"/>
    <x v="0"/>
    <s v="Kolkata"/>
    <x v="0"/>
    <s v="Tablet"/>
    <s v="Tablet - Technology"/>
    <n v="1977.18"/>
    <n v="2"/>
    <n v="16"/>
    <n v="93.63"/>
    <x v="2"/>
    <x v="3"/>
    <x v="1"/>
    <x v="1"/>
    <n v="4.7355324249688947E-2"/>
    <s v="Profit"/>
    <s v="Mid (11-20%)"/>
  </r>
  <r>
    <x v="885"/>
    <x v="185"/>
    <s v="Tanishq Ghosh"/>
    <x v="0"/>
    <s v="Kolkata"/>
    <x v="2"/>
    <s v="Envelope"/>
    <s v="Envelope - Office Supplies"/>
    <n v="6201.7"/>
    <n v="5"/>
    <n v="15"/>
    <n v="1298.6199999999999"/>
    <x v="0"/>
    <x v="2"/>
    <x v="8"/>
    <x v="0"/>
    <n v="0.20939742328716318"/>
    <s v="Profit"/>
    <s v="Mid (11-20%)"/>
  </r>
  <r>
    <x v="886"/>
    <x v="292"/>
    <s v="Riya Kapoor"/>
    <x v="3"/>
    <s v="Nagpur"/>
    <x v="2"/>
    <s v="Envelope"/>
    <s v="Envelope - Office Supplies"/>
    <n v="3568.92"/>
    <n v="6"/>
    <n v="19"/>
    <n v="234.81"/>
    <x v="2"/>
    <x v="1"/>
    <x v="10"/>
    <x v="1"/>
    <n v="6.5793013012339863E-2"/>
    <s v="Profit"/>
    <s v="Mid (11-20%)"/>
  </r>
  <r>
    <x v="887"/>
    <x v="21"/>
    <s v="Tanishq Ghosh"/>
    <x v="2"/>
    <s v="Bangalore"/>
    <x v="1"/>
    <s v="Cupboard"/>
    <s v="Cupboard - Furniture"/>
    <n v="6698.4"/>
    <n v="10"/>
    <n v="22"/>
    <n v="1088.74"/>
    <x v="0"/>
    <x v="0"/>
    <x v="5"/>
    <x v="1"/>
    <n v="0.16253732234563478"/>
    <s v="Profit"/>
    <s v="High (&gt;20%)"/>
  </r>
  <r>
    <x v="888"/>
    <x v="247"/>
    <s v="Anaya Singh"/>
    <x v="2"/>
    <s v="Chennai"/>
    <x v="1"/>
    <s v="Cupboard"/>
    <s v="Cupboard - Furniture"/>
    <n v="8369.76"/>
    <n v="6"/>
    <n v="2"/>
    <n v="434.92"/>
    <x v="2"/>
    <x v="2"/>
    <x v="11"/>
    <x v="1"/>
    <n v="5.1963258205731111E-2"/>
    <s v="Profit"/>
    <s v="Low (1-10%)"/>
  </r>
  <r>
    <x v="889"/>
    <x v="236"/>
    <s v="Yuvraj Chauhan"/>
    <x v="3"/>
    <s v="Pune"/>
    <x v="2"/>
    <s v="Notebook"/>
    <s v="Notebook - Office Supplies"/>
    <n v="1410.56"/>
    <n v="4"/>
    <n v="17"/>
    <n v="177.21"/>
    <x v="2"/>
    <x v="0"/>
    <x v="9"/>
    <x v="1"/>
    <n v="0.12563095508166972"/>
    <s v="Profit"/>
    <s v="Mid (11-20%)"/>
  </r>
  <r>
    <x v="890"/>
    <x v="258"/>
    <s v="Vivaan Shah"/>
    <x v="3"/>
    <s v="Indore"/>
    <x v="0"/>
    <s v="Mobile"/>
    <s v="Mobile - Technology"/>
    <n v="170.18"/>
    <n v="1"/>
    <n v="27"/>
    <n v="22.09"/>
    <x v="1"/>
    <x v="0"/>
    <x v="4"/>
    <x v="0"/>
    <n v="0.12980373721941474"/>
    <s v="Profit"/>
    <s v="High (&gt;20%)"/>
  </r>
  <r>
    <x v="891"/>
    <x v="315"/>
    <s v="Ishaan Mehta"/>
    <x v="0"/>
    <s v="Bhubaneswar"/>
    <x v="0"/>
    <s v="Tablet"/>
    <s v="Tablet - Technology"/>
    <n v="1095.8399999999999"/>
    <n v="9"/>
    <n v="21"/>
    <n v="148.99"/>
    <x v="2"/>
    <x v="3"/>
    <x v="2"/>
    <x v="0"/>
    <n v="0.1359596291429406"/>
    <s v="Profit"/>
    <s v="High (&gt;20%)"/>
  </r>
  <r>
    <x v="892"/>
    <x v="239"/>
    <s v="Riya Kapoor"/>
    <x v="3"/>
    <s v="Mumbai"/>
    <x v="1"/>
    <s v="Chair"/>
    <s v="Chair - Furniture"/>
    <n v="871.26"/>
    <n v="3"/>
    <n v="12"/>
    <n v="166.77"/>
    <x v="2"/>
    <x v="3"/>
    <x v="0"/>
    <x v="0"/>
    <n v="0.19141243715997522"/>
    <s v="Profit"/>
    <s v="Mid (11-20%)"/>
  </r>
  <r>
    <x v="893"/>
    <x v="314"/>
    <s v="Kriti Desai"/>
    <x v="2"/>
    <s v="Bangalore"/>
    <x v="1"/>
    <s v="Sofa"/>
    <s v="Sofa - Furniture"/>
    <n v="822.07"/>
    <n v="1"/>
    <n v="27"/>
    <n v="62.91"/>
    <x v="2"/>
    <x v="3"/>
    <x v="8"/>
    <x v="0"/>
    <n v="7.6526329874584881E-2"/>
    <s v="Profit"/>
    <s v="High (&gt;20%)"/>
  </r>
  <r>
    <x v="894"/>
    <x v="108"/>
    <s v="Anaya Singh"/>
    <x v="1"/>
    <s v="Chandigarh"/>
    <x v="1"/>
    <s v="Sofa"/>
    <s v="Sofa - Furniture"/>
    <n v="3441.33"/>
    <n v="9"/>
    <n v="6"/>
    <n v="782.56"/>
    <x v="0"/>
    <x v="2"/>
    <x v="1"/>
    <x v="1"/>
    <n v="0.22740045273193793"/>
    <s v="Profit"/>
    <s v="Low (1-10%)"/>
  </r>
  <r>
    <x v="895"/>
    <x v="174"/>
    <s v="Krishna Das"/>
    <x v="1"/>
    <s v="Chandigarh"/>
    <x v="1"/>
    <s v="Table"/>
    <s v="Table - Furniture"/>
    <n v="1200.55"/>
    <n v="1"/>
    <n v="3"/>
    <n v="172.11"/>
    <x v="1"/>
    <x v="2"/>
    <x v="6"/>
    <x v="0"/>
    <n v="0.14335929365707387"/>
    <s v="Profit"/>
    <s v="Low (1-10%)"/>
  </r>
  <r>
    <x v="896"/>
    <x v="171"/>
    <s v="Anaya Singh"/>
    <x v="1"/>
    <s v="Lucknow"/>
    <x v="2"/>
    <s v="Notebook"/>
    <s v="Notebook - Office Supplies"/>
    <n v="3094.84"/>
    <n v="7"/>
    <n v="10"/>
    <n v="416.86"/>
    <x v="1"/>
    <x v="3"/>
    <x v="12"/>
    <x v="1"/>
    <n v="0.13469517002494474"/>
    <s v="Profit"/>
    <s v="Low (1-10%)"/>
  </r>
  <r>
    <x v="897"/>
    <x v="336"/>
    <s v="Saanvi Iyer"/>
    <x v="3"/>
    <s v="Mumbai"/>
    <x v="2"/>
    <s v="Notebook"/>
    <s v="Notebook - Office Supplies"/>
    <n v="5350.59"/>
    <n v="7"/>
    <n v="11"/>
    <n v="1184.03"/>
    <x v="0"/>
    <x v="1"/>
    <x v="2"/>
    <x v="0"/>
    <n v="0.22128961479014464"/>
    <s v="Profit"/>
    <s v="Mid (11-20%)"/>
  </r>
  <r>
    <x v="898"/>
    <x v="335"/>
    <s v="Krishna Das"/>
    <x v="0"/>
    <s v="Patna"/>
    <x v="1"/>
    <s v="Table"/>
    <s v="Table - Furniture"/>
    <n v="17243.37"/>
    <n v="9"/>
    <n v="17"/>
    <n v="2074.2800000000002"/>
    <x v="1"/>
    <x v="3"/>
    <x v="10"/>
    <x v="1"/>
    <n v="0.120294350814255"/>
    <s v="Profit"/>
    <s v="Mid (11-20%)"/>
  </r>
  <r>
    <x v="899"/>
    <x v="144"/>
    <s v="Kabir Nair"/>
    <x v="2"/>
    <s v="Bangalore"/>
    <x v="2"/>
    <s v="Notebook"/>
    <s v="Notebook - Office Supplies"/>
    <n v="424.17"/>
    <n v="3"/>
    <n v="13"/>
    <n v="76.23"/>
    <x v="1"/>
    <x v="3"/>
    <x v="3"/>
    <x v="1"/>
    <n v="0.17971568003394867"/>
    <s v="Profit"/>
    <s v="Mid (11-20%)"/>
  </r>
  <r>
    <x v="900"/>
    <x v="121"/>
    <s v="Vivaan Shah"/>
    <x v="0"/>
    <s v="Bhubaneswar"/>
    <x v="0"/>
    <s v="Printer"/>
    <s v="Printer - Technology"/>
    <n v="3233.76"/>
    <n v="3"/>
    <n v="22"/>
    <n v="476.6"/>
    <x v="0"/>
    <x v="3"/>
    <x v="0"/>
    <x v="0"/>
    <n v="0.14738261342833112"/>
    <s v="Profit"/>
    <s v="High (&gt;20%)"/>
  </r>
  <r>
    <x v="901"/>
    <x v="116"/>
    <s v="Kabir Nair"/>
    <x v="3"/>
    <s v="Indore"/>
    <x v="0"/>
    <s v="Tablet"/>
    <s v="Tablet - Technology"/>
    <n v="3606.3"/>
    <n v="5"/>
    <n v="23"/>
    <n v="322.92"/>
    <x v="2"/>
    <x v="3"/>
    <x v="11"/>
    <x v="1"/>
    <n v="8.9543299226353887E-2"/>
    <s v="Profit"/>
    <s v="High (&gt;20%)"/>
  </r>
  <r>
    <x v="902"/>
    <x v="280"/>
    <s v="Kabir Nair"/>
    <x v="3"/>
    <s v="Indore"/>
    <x v="1"/>
    <s v="Chair"/>
    <s v="Chair - Furniture"/>
    <n v="997.18"/>
    <n v="1"/>
    <n v="2"/>
    <n v="183.03"/>
    <x v="2"/>
    <x v="0"/>
    <x v="9"/>
    <x v="1"/>
    <n v="0.18354760424396799"/>
    <s v="Profit"/>
    <s v="Low (1-10%)"/>
  </r>
  <r>
    <x v="903"/>
    <x v="195"/>
    <s v="Anaya Singh"/>
    <x v="1"/>
    <s v="Delhi"/>
    <x v="0"/>
    <s v="Tablet"/>
    <s v="Tablet - Technology"/>
    <n v="10171.040000000001"/>
    <n v="8"/>
    <n v="0"/>
    <n v="1221.69"/>
    <x v="2"/>
    <x v="3"/>
    <x v="4"/>
    <x v="0"/>
    <n v="0.12011456055624596"/>
    <s v="Profit"/>
    <s v="No Discount"/>
  </r>
  <r>
    <x v="904"/>
    <x v="42"/>
    <s v="Diya Sharma"/>
    <x v="1"/>
    <s v="Lucknow"/>
    <x v="1"/>
    <s v="Chair"/>
    <s v="Chair - Furniture"/>
    <n v="1274.55"/>
    <n v="5"/>
    <n v="13"/>
    <n v="230.44"/>
    <x v="2"/>
    <x v="1"/>
    <x v="3"/>
    <x v="1"/>
    <n v="0.18080106704327017"/>
    <s v="Profit"/>
    <s v="Mid (11-20%)"/>
  </r>
  <r>
    <x v="905"/>
    <x v="42"/>
    <s v="Riya Kapoor"/>
    <x v="1"/>
    <s v="Lucknow"/>
    <x v="0"/>
    <s v="Mobile"/>
    <s v="Mobile - Technology"/>
    <n v="7379"/>
    <n v="10"/>
    <n v="29"/>
    <n v="818.96"/>
    <x v="2"/>
    <x v="1"/>
    <x v="3"/>
    <x v="1"/>
    <n v="0.11098522835072504"/>
    <s v="Profit"/>
    <s v="High (&gt;20%)"/>
  </r>
  <r>
    <x v="906"/>
    <x v="62"/>
    <s v="Krishna Das"/>
    <x v="0"/>
    <s v="Patna"/>
    <x v="2"/>
    <s v="Envelope"/>
    <s v="Envelope - Office Supplies"/>
    <n v="6047.4"/>
    <n v="6"/>
    <n v="8"/>
    <n v="796.14"/>
    <x v="0"/>
    <x v="1"/>
    <x v="11"/>
    <x v="1"/>
    <n v="0.13164996527433279"/>
    <s v="Profit"/>
    <s v="Low (1-10%)"/>
  </r>
  <r>
    <x v="907"/>
    <x v="83"/>
    <s v="Arjun Verma"/>
    <x v="3"/>
    <s v="Ahmedabad"/>
    <x v="0"/>
    <s v="Tablet"/>
    <s v="Tablet - Technology"/>
    <n v="904.52"/>
    <n v="4"/>
    <n v="19"/>
    <n v="108.23"/>
    <x v="0"/>
    <x v="1"/>
    <x v="12"/>
    <x v="1"/>
    <n v="0.11965462344668996"/>
    <s v="Profit"/>
    <s v="Mid (11-20%)"/>
  </r>
  <r>
    <x v="908"/>
    <x v="124"/>
    <s v="Riya Kapoor"/>
    <x v="2"/>
    <s v="Hyderabad"/>
    <x v="1"/>
    <s v="Cupboard"/>
    <s v="Cupboard - Furniture"/>
    <n v="6434"/>
    <n v="4"/>
    <n v="5"/>
    <n v="563.72"/>
    <x v="0"/>
    <x v="2"/>
    <x v="4"/>
    <x v="0"/>
    <n v="8.7615791109729571E-2"/>
    <s v="Profit"/>
    <s v="Low (1-10%)"/>
  </r>
  <r>
    <x v="909"/>
    <x v="11"/>
    <s v="Tanishq Ghosh"/>
    <x v="1"/>
    <s v="Lucknow"/>
    <x v="0"/>
    <s v="Laptop"/>
    <s v="Laptop - Technology"/>
    <n v="10950.03"/>
    <n v="7"/>
    <n v="14"/>
    <n v="1930.27"/>
    <x v="0"/>
    <x v="3"/>
    <x v="8"/>
    <x v="0"/>
    <n v="0.17627988233822189"/>
    <s v="Profit"/>
    <s v="Mid (11-20%)"/>
  </r>
  <r>
    <x v="910"/>
    <x v="284"/>
    <s v="Arjun Verma"/>
    <x v="1"/>
    <s v="Delhi"/>
    <x v="2"/>
    <s v="Notebook"/>
    <s v="Notebook - Office Supplies"/>
    <n v="5807.97"/>
    <n v="9"/>
    <n v="16"/>
    <n v="248.42"/>
    <x v="0"/>
    <x v="2"/>
    <x v="0"/>
    <x v="0"/>
    <n v="4.2772259498585562E-2"/>
    <s v="Profit"/>
    <s v="Mid (11-20%)"/>
  </r>
  <r>
    <x v="911"/>
    <x v="46"/>
    <s v="Riya Kapoor"/>
    <x v="1"/>
    <s v="Chandigarh"/>
    <x v="1"/>
    <s v="Sofa"/>
    <s v="Sofa - Furniture"/>
    <n v="2017.1"/>
    <n v="10"/>
    <n v="23"/>
    <n v="225.15"/>
    <x v="2"/>
    <x v="3"/>
    <x v="2"/>
    <x v="0"/>
    <n v="0.11162064349809132"/>
    <s v="Profit"/>
    <s v="High (&gt;20%)"/>
  </r>
  <r>
    <x v="912"/>
    <x v="273"/>
    <s v="Saanvi Iyer"/>
    <x v="2"/>
    <s v="Hyderabad"/>
    <x v="0"/>
    <s v="Mobile"/>
    <s v="Mobile - Technology"/>
    <n v="8688.33"/>
    <n v="7"/>
    <n v="0"/>
    <n v="569.9"/>
    <x v="2"/>
    <x v="1"/>
    <x v="3"/>
    <x v="1"/>
    <n v="6.5593733203043625E-2"/>
    <s v="Profit"/>
    <s v="No Discount"/>
  </r>
  <r>
    <x v="913"/>
    <x v="147"/>
    <s v="Kriti Desai"/>
    <x v="1"/>
    <s v="Chandigarh"/>
    <x v="1"/>
    <s v="Table"/>
    <s v="Table - Furniture"/>
    <n v="9049.5"/>
    <n v="10"/>
    <n v="9"/>
    <n v="751.97"/>
    <x v="0"/>
    <x v="3"/>
    <x v="5"/>
    <x v="1"/>
    <n v="8.309519862975856E-2"/>
    <s v="Profit"/>
    <s v="Low (1-10%)"/>
  </r>
  <r>
    <x v="914"/>
    <x v="147"/>
    <s v="Tanishq Ghosh"/>
    <x v="1"/>
    <s v="Lucknow"/>
    <x v="0"/>
    <s v="Tablet"/>
    <s v="Tablet - Technology"/>
    <n v="13887.52"/>
    <n v="8"/>
    <n v="10"/>
    <n v="889.19"/>
    <x v="2"/>
    <x v="1"/>
    <x v="5"/>
    <x v="1"/>
    <n v="6.4027990598753415E-2"/>
    <s v="Profit"/>
    <s v="Low (1-10%)"/>
  </r>
  <r>
    <x v="915"/>
    <x v="128"/>
    <s v="Saanvi Iyer"/>
    <x v="3"/>
    <s v="Indore"/>
    <x v="0"/>
    <s v="Laptop"/>
    <s v="Laptop - Technology"/>
    <n v="1412.78"/>
    <n v="2"/>
    <n v="27"/>
    <n v="133.56"/>
    <x v="1"/>
    <x v="2"/>
    <x v="6"/>
    <x v="0"/>
    <n v="9.4537012132108328E-2"/>
    <s v="Profit"/>
    <s v="High (&gt;20%)"/>
  </r>
  <r>
    <x v="916"/>
    <x v="222"/>
    <s v="Yuvraj Chauhan"/>
    <x v="1"/>
    <s v="Jaipur"/>
    <x v="0"/>
    <s v="Printer"/>
    <s v="Printer - Technology"/>
    <n v="8595.36"/>
    <n v="6"/>
    <n v="12"/>
    <n v="1266.48"/>
    <x v="2"/>
    <x v="0"/>
    <x v="9"/>
    <x v="1"/>
    <n v="0.14734461383816383"/>
    <s v="Profit"/>
    <s v="Mid (11-20%)"/>
  </r>
  <r>
    <x v="917"/>
    <x v="311"/>
    <s v="Tanishq Ghosh"/>
    <x v="0"/>
    <s v="Patna"/>
    <x v="0"/>
    <s v="Printer"/>
    <s v="Printer - Technology"/>
    <n v="4603.2"/>
    <n v="8"/>
    <n v="13"/>
    <n v="538.96"/>
    <x v="2"/>
    <x v="2"/>
    <x v="10"/>
    <x v="1"/>
    <n v="0.11708376781369484"/>
    <s v="Profit"/>
    <s v="Mid (11-20%)"/>
  </r>
  <r>
    <x v="918"/>
    <x v="213"/>
    <s v="Riya Kapoor"/>
    <x v="2"/>
    <s v="Chennai"/>
    <x v="1"/>
    <s v="Sofa"/>
    <s v="Sofa - Furniture"/>
    <n v="7423.3"/>
    <n v="10"/>
    <n v="23"/>
    <n v="692.83"/>
    <x v="2"/>
    <x v="1"/>
    <x v="2"/>
    <x v="0"/>
    <n v="9.333180660892057E-2"/>
    <s v="Profit"/>
    <s v="High (&gt;20%)"/>
  </r>
  <r>
    <x v="919"/>
    <x v="337"/>
    <s v="Yuvraj Chauhan"/>
    <x v="0"/>
    <s v="Kolkata"/>
    <x v="1"/>
    <s v="Table"/>
    <s v="Table - Furniture"/>
    <n v="6911.44"/>
    <n v="8"/>
    <n v="24"/>
    <n v="1287.47"/>
    <x v="2"/>
    <x v="2"/>
    <x v="0"/>
    <x v="0"/>
    <n v="0.18628100656303173"/>
    <s v="Profit"/>
    <s v="High (&gt;20%)"/>
  </r>
  <r>
    <x v="920"/>
    <x v="103"/>
    <s v="Ishaan Mehta"/>
    <x v="0"/>
    <s v="Kolkata"/>
    <x v="0"/>
    <s v="Tablet"/>
    <s v="Tablet - Technology"/>
    <n v="5355.98"/>
    <n v="7"/>
    <n v="16"/>
    <n v="491.6"/>
    <x v="1"/>
    <x v="0"/>
    <x v="4"/>
    <x v="0"/>
    <n v="9.1785256853087582E-2"/>
    <s v="Profit"/>
    <s v="Mid (11-20%)"/>
  </r>
  <r>
    <x v="921"/>
    <x v="268"/>
    <s v="Riya Kapoor"/>
    <x v="3"/>
    <s v="Ahmedabad"/>
    <x v="1"/>
    <s v="Chair"/>
    <s v="Chair - Furniture"/>
    <n v="1129.52"/>
    <n v="1"/>
    <n v="7.0000000000000009"/>
    <n v="213.39"/>
    <x v="0"/>
    <x v="0"/>
    <x v="1"/>
    <x v="1"/>
    <n v="0.18892095757489907"/>
    <s v="Profit"/>
    <s v="Low (1-10%)"/>
  </r>
  <r>
    <x v="922"/>
    <x v="61"/>
    <s v="Vivaan Shah"/>
    <x v="0"/>
    <s v="Patna"/>
    <x v="0"/>
    <s v="Tablet"/>
    <s v="Tablet - Technology"/>
    <n v="3572.13"/>
    <n v="3"/>
    <n v="6"/>
    <n v="625.66999999999996"/>
    <x v="1"/>
    <x v="0"/>
    <x v="12"/>
    <x v="1"/>
    <n v="0.17515319991153736"/>
    <s v="Profit"/>
    <s v="Low (1-10%)"/>
  </r>
  <r>
    <x v="923"/>
    <x v="299"/>
    <s v="Krishna Das"/>
    <x v="1"/>
    <s v="Jaipur"/>
    <x v="0"/>
    <s v="Tablet"/>
    <s v="Tablet - Technology"/>
    <n v="3581"/>
    <n v="5"/>
    <n v="10"/>
    <n v="589.19000000000005"/>
    <x v="2"/>
    <x v="0"/>
    <x v="2"/>
    <x v="0"/>
    <n v="0.16453225356045798"/>
    <s v="Profit"/>
    <s v="Low (1-10%)"/>
  </r>
  <r>
    <x v="924"/>
    <x v="338"/>
    <s v="Ishaan Mehta"/>
    <x v="0"/>
    <s v="Kolkata"/>
    <x v="0"/>
    <s v="Mobile"/>
    <s v="Mobile - Technology"/>
    <n v="4371.3900000000003"/>
    <n v="9"/>
    <n v="23"/>
    <n v="677.41"/>
    <x v="1"/>
    <x v="1"/>
    <x v="1"/>
    <x v="1"/>
    <n v="0.15496443922871214"/>
    <s v="Profit"/>
    <s v="High (&gt;20%)"/>
  </r>
  <r>
    <x v="925"/>
    <x v="105"/>
    <s v="Saanvi Iyer"/>
    <x v="3"/>
    <s v="Ahmedabad"/>
    <x v="2"/>
    <s v="Notebook"/>
    <s v="Notebook - Office Supplies"/>
    <n v="6161.6"/>
    <n v="10"/>
    <n v="29"/>
    <n v="627.5"/>
    <x v="1"/>
    <x v="2"/>
    <x v="11"/>
    <x v="1"/>
    <n v="0.10184043105686834"/>
    <s v="Profit"/>
    <s v="High (&gt;20%)"/>
  </r>
  <r>
    <x v="926"/>
    <x v="180"/>
    <s v="Krishna Das"/>
    <x v="1"/>
    <s v="Lucknow"/>
    <x v="2"/>
    <s v="Envelope"/>
    <s v="Envelope - Office Supplies"/>
    <n v="14756.5"/>
    <n v="10"/>
    <n v="11"/>
    <n v="767.39"/>
    <x v="2"/>
    <x v="3"/>
    <x v="3"/>
    <x v="1"/>
    <n v="5.2003523870836579E-2"/>
    <s v="Profit"/>
    <s v="Mid (11-20%)"/>
  </r>
  <r>
    <x v="927"/>
    <x v="339"/>
    <s v="Ishaan Mehta"/>
    <x v="1"/>
    <s v="Chandigarh"/>
    <x v="2"/>
    <s v="Stapler"/>
    <s v="Stapler - Office Supplies"/>
    <n v="3923.31"/>
    <n v="3"/>
    <n v="13"/>
    <n v="717.44"/>
    <x v="2"/>
    <x v="3"/>
    <x v="11"/>
    <x v="1"/>
    <n v="0.18286599835343118"/>
    <s v="Profit"/>
    <s v="Mid (11-20%)"/>
  </r>
  <r>
    <x v="928"/>
    <x v="90"/>
    <s v="Aarav Patel"/>
    <x v="0"/>
    <s v="Bhubaneswar"/>
    <x v="2"/>
    <s v="Stapler"/>
    <s v="Stapler - Office Supplies"/>
    <n v="7072.12"/>
    <n v="4"/>
    <n v="25"/>
    <n v="820.47"/>
    <x v="1"/>
    <x v="0"/>
    <x v="3"/>
    <x v="1"/>
    <n v="0.11601471694484823"/>
    <s v="Profit"/>
    <s v="High (&gt;20%)"/>
  </r>
  <r>
    <x v="929"/>
    <x v="336"/>
    <s v="Aarav Patel"/>
    <x v="0"/>
    <s v="Patna"/>
    <x v="2"/>
    <s v="Envelope"/>
    <s v="Envelope - Office Supplies"/>
    <n v="9693"/>
    <n v="5"/>
    <n v="15"/>
    <n v="1697.4"/>
    <x v="1"/>
    <x v="2"/>
    <x v="2"/>
    <x v="0"/>
    <n v="0.17511606313834727"/>
    <s v="Profit"/>
    <s v="Mid (11-20%)"/>
  </r>
  <r>
    <x v="930"/>
    <x v="322"/>
    <s v="Krishna Das"/>
    <x v="2"/>
    <s v="Bangalore"/>
    <x v="2"/>
    <s v="Envelope"/>
    <s v="Envelope - Office Supplies"/>
    <n v="1899.69"/>
    <n v="3"/>
    <n v="24"/>
    <n v="213.32"/>
    <x v="0"/>
    <x v="1"/>
    <x v="2"/>
    <x v="0"/>
    <n v="0.11229200553774563"/>
    <s v="Profit"/>
    <s v="High (&gt;20%)"/>
  </r>
  <r>
    <x v="931"/>
    <x v="45"/>
    <s v="Vivaan Shah"/>
    <x v="0"/>
    <s v="Patna"/>
    <x v="0"/>
    <s v="Mobile"/>
    <s v="Mobile - Technology"/>
    <n v="1414.4"/>
    <n v="10"/>
    <n v="19"/>
    <n v="155.97999999999999"/>
    <x v="2"/>
    <x v="2"/>
    <x v="12"/>
    <x v="1"/>
    <n v="0.11027997737556559"/>
    <s v="Profit"/>
    <s v="Mid (11-20%)"/>
  </r>
  <r>
    <x v="932"/>
    <x v="312"/>
    <s v="Vivaan Shah"/>
    <x v="1"/>
    <s v="Lucknow"/>
    <x v="2"/>
    <s v="Notebook"/>
    <s v="Notebook - Office Supplies"/>
    <n v="9395.2800000000007"/>
    <n v="6"/>
    <n v="21"/>
    <n v="756.37"/>
    <x v="1"/>
    <x v="1"/>
    <x v="4"/>
    <x v="0"/>
    <n v="8.0505317563712833E-2"/>
    <s v="Profit"/>
    <s v="High (&gt;20%)"/>
  </r>
  <r>
    <x v="933"/>
    <x v="340"/>
    <s v="Arjun Verma"/>
    <x v="2"/>
    <s v="Hyderabad"/>
    <x v="0"/>
    <s v="Printer"/>
    <s v="Printer - Technology"/>
    <n v="11818.26"/>
    <n v="6"/>
    <n v="15"/>
    <n v="2022.04"/>
    <x v="2"/>
    <x v="3"/>
    <x v="6"/>
    <x v="0"/>
    <n v="0.17109456045136931"/>
    <s v="Profit"/>
    <s v="Mid (11-20%)"/>
  </r>
  <r>
    <x v="934"/>
    <x v="9"/>
    <s v="Kriti Desai"/>
    <x v="2"/>
    <s v="Chennai"/>
    <x v="1"/>
    <s v="Table"/>
    <s v="Table - Furniture"/>
    <n v="4266.6000000000004"/>
    <n v="6"/>
    <n v="9"/>
    <n v="216.06"/>
    <x v="1"/>
    <x v="1"/>
    <x v="6"/>
    <x v="0"/>
    <n v="5.0639853747714805E-2"/>
    <s v="Profit"/>
    <s v="Low (1-10%)"/>
  </r>
  <r>
    <x v="935"/>
    <x v="278"/>
    <s v="Diya Sharma"/>
    <x v="2"/>
    <s v="Hyderabad"/>
    <x v="0"/>
    <s v="Laptop"/>
    <s v="Laptop - Technology"/>
    <n v="915.78"/>
    <n v="6"/>
    <n v="29"/>
    <n v="106.86"/>
    <x v="0"/>
    <x v="3"/>
    <x v="7"/>
    <x v="1"/>
    <n v="0.11668741400773111"/>
    <s v="Profit"/>
    <s v="High (&gt;20%)"/>
  </r>
  <r>
    <x v="936"/>
    <x v="6"/>
    <s v="Diya Sharma"/>
    <x v="2"/>
    <s v="Bangalore"/>
    <x v="2"/>
    <s v="Envelope"/>
    <s v="Envelope - Office Supplies"/>
    <n v="6302.55"/>
    <n v="5"/>
    <n v="22"/>
    <n v="898.54"/>
    <x v="2"/>
    <x v="3"/>
    <x v="5"/>
    <x v="1"/>
    <n v="0.14256769085528873"/>
    <s v="Profit"/>
    <s v="High (&gt;20%)"/>
  </r>
  <r>
    <x v="937"/>
    <x v="183"/>
    <s v="Arjun Verma"/>
    <x v="2"/>
    <s v="Chennai"/>
    <x v="0"/>
    <s v="Printer"/>
    <s v="Printer - Technology"/>
    <n v="1547.52"/>
    <n v="8"/>
    <n v="1"/>
    <n v="255.84"/>
    <x v="1"/>
    <x v="2"/>
    <x v="6"/>
    <x v="0"/>
    <n v="0.16532258064516128"/>
    <s v="Profit"/>
    <s v="Low (1-10%)"/>
  </r>
  <r>
    <x v="938"/>
    <x v="228"/>
    <s v="Krishna Das"/>
    <x v="1"/>
    <s v="Chandigarh"/>
    <x v="0"/>
    <s v="Printer"/>
    <s v="Printer - Technology"/>
    <n v="2476.7199999999998"/>
    <n v="8"/>
    <n v="27"/>
    <n v="158.77000000000001"/>
    <x v="2"/>
    <x v="0"/>
    <x v="11"/>
    <x v="1"/>
    <n v="6.410494525016959E-2"/>
    <s v="Profit"/>
    <s v="High (&gt;20%)"/>
  </r>
  <r>
    <x v="939"/>
    <x v="337"/>
    <s v="Kabir Nair"/>
    <x v="0"/>
    <s v="Kolkata"/>
    <x v="2"/>
    <s v="Notebook"/>
    <s v="Notebook - Office Supplies"/>
    <n v="3057.06"/>
    <n v="6"/>
    <n v="25"/>
    <n v="125.21"/>
    <x v="2"/>
    <x v="3"/>
    <x v="0"/>
    <x v="0"/>
    <n v="4.0957652123281847E-2"/>
    <s v="Profit"/>
    <s v="High (&gt;20%)"/>
  </r>
  <r>
    <x v="940"/>
    <x v="173"/>
    <s v="Riya Kapoor"/>
    <x v="1"/>
    <s v="Delhi"/>
    <x v="1"/>
    <s v="Table"/>
    <s v="Table - Furniture"/>
    <n v="7195.05"/>
    <n v="5"/>
    <n v="24"/>
    <n v="696.09"/>
    <x v="0"/>
    <x v="1"/>
    <x v="2"/>
    <x v="0"/>
    <n v="9.6745679321199998E-2"/>
    <s v="Profit"/>
    <s v="High (&gt;20%)"/>
  </r>
  <r>
    <x v="941"/>
    <x v="283"/>
    <s v="Tanishq Ghosh"/>
    <x v="1"/>
    <s v="Chandigarh"/>
    <x v="1"/>
    <s v="Sofa"/>
    <s v="Sofa - Furniture"/>
    <n v="1055.52"/>
    <n v="2"/>
    <n v="29"/>
    <n v="76.08"/>
    <x v="2"/>
    <x v="1"/>
    <x v="12"/>
    <x v="1"/>
    <n v="7.2078217371532513E-2"/>
    <s v="Profit"/>
    <s v="High (&gt;20%)"/>
  </r>
  <r>
    <x v="942"/>
    <x v="318"/>
    <s v="Yuvraj Chauhan"/>
    <x v="0"/>
    <s v="Bhubaneswar"/>
    <x v="0"/>
    <s v="Printer"/>
    <s v="Printer - Technology"/>
    <n v="816.7"/>
    <n v="2"/>
    <n v="8"/>
    <n v="139.36000000000001"/>
    <x v="2"/>
    <x v="3"/>
    <x v="3"/>
    <x v="1"/>
    <n v="0.1706379331455859"/>
    <s v="Profit"/>
    <s v="Low (1-10%)"/>
  </r>
  <r>
    <x v="943"/>
    <x v="14"/>
    <s v="Kabir Nair"/>
    <x v="2"/>
    <s v="Bangalore"/>
    <x v="0"/>
    <s v="Printer"/>
    <s v="Printer - Technology"/>
    <n v="2143.1999999999998"/>
    <n v="2"/>
    <n v="17"/>
    <n v="402.86"/>
    <x v="2"/>
    <x v="3"/>
    <x v="1"/>
    <x v="1"/>
    <n v="0.18797125793206423"/>
    <s v="Profit"/>
    <s v="Mid (11-20%)"/>
  </r>
  <r>
    <x v="944"/>
    <x v="73"/>
    <s v="Saanvi Iyer"/>
    <x v="3"/>
    <s v="Nagpur"/>
    <x v="2"/>
    <s v="Notebook"/>
    <s v="Notebook - Office Supplies"/>
    <n v="5907.3"/>
    <n v="6"/>
    <n v="25"/>
    <n v="679.56"/>
    <x v="1"/>
    <x v="0"/>
    <x v="12"/>
    <x v="1"/>
    <n v="0.11503732669747599"/>
    <s v="Profit"/>
    <s v="High (&gt;20%)"/>
  </r>
  <r>
    <x v="945"/>
    <x v="31"/>
    <s v="Krishna Das"/>
    <x v="3"/>
    <s v="Ahmedabad"/>
    <x v="0"/>
    <s v="Laptop"/>
    <s v="Laptop - Technology"/>
    <n v="15049.6"/>
    <n v="8"/>
    <n v="17"/>
    <n v="2191.15"/>
    <x v="0"/>
    <x v="0"/>
    <x v="0"/>
    <x v="0"/>
    <n v="0.14559523176695727"/>
    <s v="Profit"/>
    <s v="Mid (11-20%)"/>
  </r>
  <r>
    <x v="946"/>
    <x v="341"/>
    <s v="Anaya Singh"/>
    <x v="1"/>
    <s v="Jaipur"/>
    <x v="2"/>
    <s v="Envelope"/>
    <s v="Envelope - Office Supplies"/>
    <n v="7326.45"/>
    <n v="5"/>
    <n v="13"/>
    <n v="465.92"/>
    <x v="2"/>
    <x v="3"/>
    <x v="9"/>
    <x v="1"/>
    <n v="6.3594237318210053E-2"/>
    <s v="Profit"/>
    <s v="Mid (11-20%)"/>
  </r>
  <r>
    <x v="947"/>
    <x v="263"/>
    <s v="Vivaan Shah"/>
    <x v="2"/>
    <s v="Hyderabad"/>
    <x v="1"/>
    <s v="Chair"/>
    <s v="Chair - Furniture"/>
    <n v="11029.69"/>
    <n v="7"/>
    <n v="25"/>
    <n v="1383.81"/>
    <x v="2"/>
    <x v="2"/>
    <x v="10"/>
    <x v="1"/>
    <n v="0.1254622750050092"/>
    <s v="Profit"/>
    <s v="High (&gt;20%)"/>
  </r>
  <r>
    <x v="948"/>
    <x v="337"/>
    <s v="Meera Joshi"/>
    <x v="0"/>
    <s v="Patna"/>
    <x v="1"/>
    <s v="Chair"/>
    <s v="Chair - Furniture"/>
    <n v="13069"/>
    <n v="10"/>
    <n v="29"/>
    <n v="924"/>
    <x v="2"/>
    <x v="2"/>
    <x v="0"/>
    <x v="0"/>
    <n v="7.0701660417782544E-2"/>
    <s v="Profit"/>
    <s v="High (&gt;20%)"/>
  </r>
  <r>
    <x v="949"/>
    <x v="342"/>
    <s v="Arjun Verma"/>
    <x v="0"/>
    <s v="Bhubaneswar"/>
    <x v="1"/>
    <s v="Chair"/>
    <s v="Chair - Furniture"/>
    <n v="2964.12"/>
    <n v="6"/>
    <n v="6"/>
    <n v="629.6"/>
    <x v="1"/>
    <x v="0"/>
    <x v="5"/>
    <x v="1"/>
    <n v="0.21240705504500493"/>
    <s v="Profit"/>
    <s v="Low (1-10%)"/>
  </r>
  <r>
    <x v="950"/>
    <x v="160"/>
    <s v="Meera Joshi"/>
    <x v="3"/>
    <s v="Ahmedabad"/>
    <x v="1"/>
    <s v="Sofa"/>
    <s v="Sofa - Furniture"/>
    <n v="6357.82"/>
    <n v="7"/>
    <n v="18"/>
    <n v="1178.2"/>
    <x v="2"/>
    <x v="2"/>
    <x v="0"/>
    <x v="0"/>
    <n v="0.18531509228005827"/>
    <s v="Profit"/>
    <s v="Mid (11-20%)"/>
  </r>
  <r>
    <x v="951"/>
    <x v="69"/>
    <s v="Yuvraj Chauhan"/>
    <x v="0"/>
    <s v="Patna"/>
    <x v="1"/>
    <s v="Table"/>
    <s v="Table - Furniture"/>
    <n v="3449.2"/>
    <n v="8"/>
    <n v="0"/>
    <n v="516.08000000000004"/>
    <x v="0"/>
    <x v="0"/>
    <x v="7"/>
    <x v="1"/>
    <n v="0.14962310100892962"/>
    <s v="Profit"/>
    <s v="No Discount"/>
  </r>
  <r>
    <x v="952"/>
    <x v="157"/>
    <s v="Arjun Verma"/>
    <x v="3"/>
    <s v="Ahmedabad"/>
    <x v="0"/>
    <s v="Printer"/>
    <s v="Printer - Technology"/>
    <n v="12608.1"/>
    <n v="10"/>
    <n v="22"/>
    <n v="824.91"/>
    <x v="0"/>
    <x v="2"/>
    <x v="7"/>
    <x v="1"/>
    <n v="6.5426987412853632E-2"/>
    <s v="Profit"/>
    <s v="High (&gt;20%)"/>
  </r>
  <r>
    <x v="953"/>
    <x v="343"/>
    <s v="Vivaan Shah"/>
    <x v="3"/>
    <s v="Mumbai"/>
    <x v="2"/>
    <s v="Notebook"/>
    <s v="Notebook - Office Supplies"/>
    <n v="11058.57"/>
    <n v="9"/>
    <n v="16"/>
    <n v="1283.49"/>
    <x v="2"/>
    <x v="0"/>
    <x v="12"/>
    <x v="1"/>
    <n v="0.11606292676177843"/>
    <s v="Profit"/>
    <s v="Mid (11-20%)"/>
  </r>
  <r>
    <x v="954"/>
    <x v="67"/>
    <s v="Arjun Verma"/>
    <x v="1"/>
    <s v="Chandigarh"/>
    <x v="2"/>
    <s v="Stapler"/>
    <s v="Stapler - Office Supplies"/>
    <n v="4401.3599999999997"/>
    <n v="6"/>
    <n v="11"/>
    <n v="731.96"/>
    <x v="2"/>
    <x v="0"/>
    <x v="4"/>
    <x v="0"/>
    <n v="0.16630314266499446"/>
    <s v="Profit"/>
    <s v="Mid (11-20%)"/>
  </r>
  <r>
    <x v="955"/>
    <x v="297"/>
    <s v="Saanvi Iyer"/>
    <x v="3"/>
    <s v="Ahmedabad"/>
    <x v="0"/>
    <s v="Tablet"/>
    <s v="Tablet - Technology"/>
    <n v="662.7"/>
    <n v="1"/>
    <n v="24"/>
    <n v="31.44"/>
    <x v="1"/>
    <x v="3"/>
    <x v="9"/>
    <x v="1"/>
    <n v="4.7442281575373474E-2"/>
    <s v="Profit"/>
    <s v="High (&gt;20%)"/>
  </r>
  <r>
    <x v="956"/>
    <x v="270"/>
    <s v="Vivaan Shah"/>
    <x v="0"/>
    <s v="Kolkata"/>
    <x v="2"/>
    <s v="Stapler"/>
    <s v="Stapler - Office Supplies"/>
    <n v="2628.4"/>
    <n v="8"/>
    <n v="29"/>
    <n v="316.01"/>
    <x v="0"/>
    <x v="3"/>
    <x v="6"/>
    <x v="0"/>
    <n v="0.12022903667630497"/>
    <s v="Profit"/>
    <s v="High (&gt;20%)"/>
  </r>
  <r>
    <x v="957"/>
    <x v="41"/>
    <s v="Arjun Verma"/>
    <x v="1"/>
    <s v="Lucknow"/>
    <x v="2"/>
    <s v="Stapler"/>
    <s v="Stapler - Office Supplies"/>
    <n v="15521.58"/>
    <n v="9"/>
    <n v="17"/>
    <n v="1185.3800000000001"/>
    <x v="0"/>
    <x v="3"/>
    <x v="4"/>
    <x v="0"/>
    <n v="7.6369802558760136E-2"/>
    <s v="Profit"/>
    <s v="Mid (11-20%)"/>
  </r>
  <r>
    <x v="958"/>
    <x v="211"/>
    <s v="Kriti Desai"/>
    <x v="0"/>
    <s v="Kolkata"/>
    <x v="1"/>
    <s v="Cupboard"/>
    <s v="Cupboard - Furniture"/>
    <n v="3120.86"/>
    <n v="2"/>
    <n v="20"/>
    <n v="316.36"/>
    <x v="2"/>
    <x v="1"/>
    <x v="1"/>
    <x v="1"/>
    <n v="0.10136949430605667"/>
    <s v="Profit"/>
    <s v="Mid (11-20%)"/>
  </r>
  <r>
    <x v="959"/>
    <x v="147"/>
    <s v="Kabir Nair"/>
    <x v="0"/>
    <s v="Patna"/>
    <x v="1"/>
    <s v="Cupboard"/>
    <s v="Cupboard - Furniture"/>
    <n v="984.42"/>
    <n v="6"/>
    <n v="26"/>
    <n v="42.99"/>
    <x v="1"/>
    <x v="2"/>
    <x v="5"/>
    <x v="1"/>
    <n v="4.3670384591942467E-2"/>
    <s v="Profit"/>
    <s v="High (&gt;20%)"/>
  </r>
  <r>
    <x v="960"/>
    <x v="321"/>
    <s v="Meera Joshi"/>
    <x v="2"/>
    <s v="Bangalore"/>
    <x v="1"/>
    <s v="Cupboard"/>
    <s v="Cupboard - Furniture"/>
    <n v="18866.7"/>
    <n v="10"/>
    <n v="21"/>
    <n v="983.54"/>
    <x v="0"/>
    <x v="0"/>
    <x v="12"/>
    <x v="1"/>
    <n v="5.2131003302114301E-2"/>
    <s v="Profit"/>
    <s v="High (&gt;20%)"/>
  </r>
  <r>
    <x v="961"/>
    <x v="284"/>
    <s v="Tanishq Ghosh"/>
    <x v="2"/>
    <s v="Bangalore"/>
    <x v="2"/>
    <s v="Stapler"/>
    <s v="Stapler - Office Supplies"/>
    <n v="11023.81"/>
    <n v="7"/>
    <n v="7.0000000000000009"/>
    <n v="1428.42"/>
    <x v="1"/>
    <x v="0"/>
    <x v="0"/>
    <x v="0"/>
    <n v="0.12957589073106304"/>
    <s v="Profit"/>
    <s v="Low (1-10%)"/>
  </r>
  <r>
    <x v="962"/>
    <x v="95"/>
    <s v="Riya Kapoor"/>
    <x v="0"/>
    <s v="Bhubaneswar"/>
    <x v="2"/>
    <s v="Envelope"/>
    <s v="Envelope - Office Supplies"/>
    <n v="16957.53"/>
    <n v="9"/>
    <n v="8"/>
    <n v="927.62"/>
    <x v="0"/>
    <x v="3"/>
    <x v="3"/>
    <x v="1"/>
    <n v="5.4702542174479424E-2"/>
    <s v="Profit"/>
    <s v="Low (1-10%)"/>
  </r>
  <r>
    <x v="963"/>
    <x v="292"/>
    <s v="Kriti Desai"/>
    <x v="1"/>
    <s v="Chandigarh"/>
    <x v="2"/>
    <s v="Stapler"/>
    <s v="Stapler - Office Supplies"/>
    <n v="7717.05"/>
    <n v="5"/>
    <n v="10"/>
    <n v="1560.47"/>
    <x v="0"/>
    <x v="1"/>
    <x v="10"/>
    <x v="1"/>
    <n v="0.20221068931780928"/>
    <s v="Profit"/>
    <s v="Low (1-10%)"/>
  </r>
  <r>
    <x v="964"/>
    <x v="313"/>
    <s v="Kabir Nair"/>
    <x v="2"/>
    <s v="Bangalore"/>
    <x v="2"/>
    <s v="Stapler"/>
    <s v="Stapler - Office Supplies"/>
    <n v="5451.1"/>
    <n v="10"/>
    <n v="23"/>
    <n v="270.42"/>
    <x v="2"/>
    <x v="0"/>
    <x v="9"/>
    <x v="1"/>
    <n v="4.960833593219717E-2"/>
    <s v="Profit"/>
    <s v="High (&gt;20%)"/>
  </r>
  <r>
    <x v="965"/>
    <x v="77"/>
    <s v="Sneha Reddy"/>
    <x v="1"/>
    <s v="Jaipur"/>
    <x v="0"/>
    <s v="Mobile"/>
    <s v="Mobile - Technology"/>
    <n v="13162.32"/>
    <n v="9"/>
    <n v="7.0000000000000009"/>
    <n v="620.02"/>
    <x v="0"/>
    <x v="3"/>
    <x v="6"/>
    <x v="0"/>
    <n v="4.7105677418570586E-2"/>
    <s v="Profit"/>
    <s v="Low (1-10%)"/>
  </r>
  <r>
    <x v="966"/>
    <x v="344"/>
    <s v="Aarav Patel"/>
    <x v="2"/>
    <s v="Bangalore"/>
    <x v="1"/>
    <s v="Table"/>
    <s v="Table - Furniture"/>
    <n v="3216.72"/>
    <n v="6"/>
    <n v="17"/>
    <n v="198.9"/>
    <x v="1"/>
    <x v="0"/>
    <x v="2"/>
    <x v="0"/>
    <n v="6.1833171677982544E-2"/>
    <s v="Profit"/>
    <s v="Mid (11-20%)"/>
  </r>
  <r>
    <x v="967"/>
    <x v="39"/>
    <s v="Sneha Reddy"/>
    <x v="1"/>
    <s v="Chandigarh"/>
    <x v="2"/>
    <s v="Notebook"/>
    <s v="Notebook - Office Supplies"/>
    <n v="3678.6"/>
    <n v="4"/>
    <n v="29"/>
    <n v="216"/>
    <x v="2"/>
    <x v="1"/>
    <x v="9"/>
    <x v="1"/>
    <n v="5.8717990539879306E-2"/>
    <s v="Profit"/>
    <s v="High (&gt;20%)"/>
  </r>
  <r>
    <x v="968"/>
    <x v="313"/>
    <s v="Riya Kapoor"/>
    <x v="3"/>
    <s v="Nagpur"/>
    <x v="2"/>
    <s v="Pen"/>
    <s v="Pen - Office Supplies"/>
    <n v="2549.7600000000002"/>
    <n v="2"/>
    <n v="16"/>
    <n v="382.32"/>
    <x v="0"/>
    <x v="2"/>
    <x v="9"/>
    <x v="1"/>
    <n v="0.14994352409638553"/>
    <s v="Profit"/>
    <s v="Mid (11-20%)"/>
  </r>
  <r>
    <x v="969"/>
    <x v="51"/>
    <s v="Aarav Patel"/>
    <x v="2"/>
    <s v="Chennai"/>
    <x v="2"/>
    <s v="Notebook"/>
    <s v="Notebook - Office Supplies"/>
    <n v="12784.59"/>
    <n v="9"/>
    <n v="23"/>
    <n v="1064.1400000000001"/>
    <x v="1"/>
    <x v="3"/>
    <x v="3"/>
    <x v="1"/>
    <n v="8.3236146016415088E-2"/>
    <s v="Profit"/>
    <s v="High (&gt;20%)"/>
  </r>
  <r>
    <x v="970"/>
    <x v="345"/>
    <s v="Riya Kapoor"/>
    <x v="3"/>
    <s v="Pune"/>
    <x v="2"/>
    <s v="Stapler"/>
    <s v="Stapler - Office Supplies"/>
    <n v="6400.8"/>
    <n v="9"/>
    <n v="15"/>
    <n v="1086.23"/>
    <x v="1"/>
    <x v="3"/>
    <x v="12"/>
    <x v="1"/>
    <n v="0.16970222472190977"/>
    <s v="Profit"/>
    <s v="Mid (11-20%)"/>
  </r>
  <r>
    <x v="971"/>
    <x v="346"/>
    <s v="Vivaan Shah"/>
    <x v="2"/>
    <s v="Bangalore"/>
    <x v="2"/>
    <s v="Notebook"/>
    <s v="Notebook - Office Supplies"/>
    <n v="1641.3"/>
    <n v="6"/>
    <n v="21"/>
    <n v="147.22999999999999"/>
    <x v="2"/>
    <x v="1"/>
    <x v="6"/>
    <x v="0"/>
    <n v="8.9703283982209225E-2"/>
    <s v="Profit"/>
    <s v="High (&gt;20%)"/>
  </r>
  <r>
    <x v="972"/>
    <x v="72"/>
    <s v="Anaya Singh"/>
    <x v="1"/>
    <s v="Delhi"/>
    <x v="1"/>
    <s v="Cupboard"/>
    <s v="Cupboard - Furniture"/>
    <n v="11669.4"/>
    <n v="9"/>
    <n v="9"/>
    <n v="879.18"/>
    <x v="1"/>
    <x v="2"/>
    <x v="4"/>
    <x v="0"/>
    <n v="7.5340634479921842E-2"/>
    <s v="Profit"/>
    <s v="Low (1-10%)"/>
  </r>
  <r>
    <x v="973"/>
    <x v="52"/>
    <s v="Arjun Verma"/>
    <x v="1"/>
    <s v="Delhi"/>
    <x v="2"/>
    <s v="Envelope"/>
    <s v="Envelope - Office Supplies"/>
    <n v="12182.1"/>
    <n v="10"/>
    <n v="11"/>
    <n v="1673.58"/>
    <x v="0"/>
    <x v="0"/>
    <x v="0"/>
    <x v="0"/>
    <n v="0.1373802546359002"/>
    <s v="Profit"/>
    <s v="Mid (11-20%)"/>
  </r>
  <r>
    <x v="974"/>
    <x v="347"/>
    <s v="Anaya Singh"/>
    <x v="3"/>
    <s v="Pune"/>
    <x v="0"/>
    <s v="Tablet"/>
    <s v="Tablet - Technology"/>
    <n v="1160.31"/>
    <n v="3"/>
    <n v="7.0000000000000009"/>
    <n v="164.79"/>
    <x v="1"/>
    <x v="0"/>
    <x v="7"/>
    <x v="1"/>
    <n v="0.14202239056803787"/>
    <s v="Profit"/>
    <s v="Low (1-10%)"/>
  </r>
  <r>
    <x v="975"/>
    <x v="0"/>
    <s v="Diya Sharma"/>
    <x v="3"/>
    <s v="Pune"/>
    <x v="1"/>
    <s v="Chair"/>
    <s v="Chair - Furniture"/>
    <n v="11867.84"/>
    <n v="8"/>
    <n v="20"/>
    <n v="1893.69"/>
    <x v="2"/>
    <x v="1"/>
    <x v="0"/>
    <x v="0"/>
    <n v="0.15956484077978808"/>
    <s v="Profit"/>
    <s v="Mid (11-20%)"/>
  </r>
  <r>
    <x v="976"/>
    <x v="160"/>
    <s v="Kriti Desai"/>
    <x v="0"/>
    <s v="Bhubaneswar"/>
    <x v="1"/>
    <s v="Chair"/>
    <s v="Chair - Furniture"/>
    <n v="5741.89"/>
    <n v="7"/>
    <n v="13"/>
    <n v="877.84"/>
    <x v="0"/>
    <x v="2"/>
    <x v="0"/>
    <x v="0"/>
    <n v="0.15288345823413546"/>
    <s v="Profit"/>
    <s v="Mid (11-20%)"/>
  </r>
  <r>
    <x v="977"/>
    <x v="17"/>
    <s v="Ishaan Mehta"/>
    <x v="0"/>
    <s v="Kolkata"/>
    <x v="1"/>
    <s v="Cupboard"/>
    <s v="Cupboard - Furniture"/>
    <n v="7258.62"/>
    <n v="6"/>
    <n v="7.0000000000000009"/>
    <n v="640.88"/>
    <x v="2"/>
    <x v="1"/>
    <x v="5"/>
    <x v="1"/>
    <n v="8.8292264920880284E-2"/>
    <s v="Profit"/>
    <s v="Low (1-10%)"/>
  </r>
  <r>
    <x v="978"/>
    <x v="165"/>
    <s v="Anaya Singh"/>
    <x v="1"/>
    <s v="Jaipur"/>
    <x v="2"/>
    <s v="Pen"/>
    <s v="Pen - Office Supplies"/>
    <n v="1423.56"/>
    <n v="6"/>
    <n v="25"/>
    <n v="115.57"/>
    <x v="2"/>
    <x v="2"/>
    <x v="7"/>
    <x v="1"/>
    <n v="8.1183792744949274E-2"/>
    <s v="Profit"/>
    <s v="High (&gt;20%)"/>
  </r>
  <r>
    <x v="979"/>
    <x v="9"/>
    <s v="Yuvraj Chauhan"/>
    <x v="3"/>
    <s v="Nagpur"/>
    <x v="0"/>
    <s v="Laptop"/>
    <s v="Laptop - Technology"/>
    <n v="5780.05"/>
    <n v="5"/>
    <n v="16"/>
    <n v="821.55"/>
    <x v="1"/>
    <x v="1"/>
    <x v="6"/>
    <x v="0"/>
    <n v="0.14213544865528843"/>
    <s v="Profit"/>
    <s v="Mid (11-20%)"/>
  </r>
  <r>
    <x v="980"/>
    <x v="252"/>
    <s v="Riya Kapoor"/>
    <x v="2"/>
    <s v="Bangalore"/>
    <x v="2"/>
    <s v="Envelope"/>
    <s v="Envelope - Office Supplies"/>
    <n v="11335.8"/>
    <n v="6"/>
    <n v="28"/>
    <n v="997.88"/>
    <x v="0"/>
    <x v="0"/>
    <x v="3"/>
    <x v="1"/>
    <n v="8.8029076024629935E-2"/>
    <s v="Profit"/>
    <s v="High (&gt;20%)"/>
  </r>
  <r>
    <x v="981"/>
    <x v="72"/>
    <s v="Riya Kapoor"/>
    <x v="3"/>
    <s v="Ahmedabad"/>
    <x v="1"/>
    <s v="Sofa"/>
    <s v="Sofa - Furniture"/>
    <n v="2589.84"/>
    <n v="8"/>
    <n v="8"/>
    <n v="409.3"/>
    <x v="1"/>
    <x v="0"/>
    <x v="4"/>
    <x v="0"/>
    <n v="0.15804065115991722"/>
    <s v="Profit"/>
    <s v="Low (1-10%)"/>
  </r>
  <r>
    <x v="982"/>
    <x v="334"/>
    <s v="Vivaan Shah"/>
    <x v="1"/>
    <s v="Chandigarh"/>
    <x v="0"/>
    <s v="Tablet"/>
    <s v="Tablet - Technology"/>
    <n v="7680.16"/>
    <n v="4"/>
    <n v="12"/>
    <n v="621.52"/>
    <x v="2"/>
    <x v="2"/>
    <x v="6"/>
    <x v="0"/>
    <n v="8.0925397387554429E-2"/>
    <s v="Profit"/>
    <s v="Mid (11-20%)"/>
  </r>
  <r>
    <x v="983"/>
    <x v="55"/>
    <s v="Saanvi Iyer"/>
    <x v="0"/>
    <s v="Patna"/>
    <x v="2"/>
    <s v="Envelope"/>
    <s v="Envelope - Office Supplies"/>
    <n v="4378.16"/>
    <n v="8"/>
    <n v="26"/>
    <n v="319.37"/>
    <x v="2"/>
    <x v="0"/>
    <x v="12"/>
    <x v="1"/>
    <n v="7.2946169166955982E-2"/>
    <s v="Profit"/>
    <s v="High (&gt;20%)"/>
  </r>
  <r>
    <x v="984"/>
    <x v="74"/>
    <s v="Vivaan Shah"/>
    <x v="2"/>
    <s v="Hyderabad"/>
    <x v="2"/>
    <s v="Pen"/>
    <s v="Pen - Office Supplies"/>
    <n v="1187.05"/>
    <n v="5"/>
    <n v="19"/>
    <n v="92.22"/>
    <x v="1"/>
    <x v="2"/>
    <x v="1"/>
    <x v="1"/>
    <n v="7.7688387178299151E-2"/>
    <s v="Profit"/>
    <s v="Mid (11-20%)"/>
  </r>
  <r>
    <x v="985"/>
    <x v="84"/>
    <s v="Ishaan Mehta"/>
    <x v="1"/>
    <s v="Delhi"/>
    <x v="0"/>
    <s v="Mobile"/>
    <s v="Mobile - Technology"/>
    <n v="4180.92"/>
    <n v="3"/>
    <n v="8"/>
    <n v="687.94"/>
    <x v="0"/>
    <x v="1"/>
    <x v="0"/>
    <x v="0"/>
    <n v="0.16454273222161631"/>
    <s v="Profit"/>
    <s v="Low (1-10%)"/>
  </r>
  <r>
    <x v="986"/>
    <x v="61"/>
    <s v="Meera Joshi"/>
    <x v="0"/>
    <s v="Bhubaneswar"/>
    <x v="2"/>
    <s v="Stapler"/>
    <s v="Stapler - Office Supplies"/>
    <n v="11123.44"/>
    <n v="8"/>
    <n v="6"/>
    <n v="1246.93"/>
    <x v="1"/>
    <x v="2"/>
    <x v="12"/>
    <x v="1"/>
    <n v="0.11209931460051926"/>
    <s v="Profit"/>
    <s v="Low (1-10%)"/>
  </r>
  <r>
    <x v="987"/>
    <x v="312"/>
    <s v="Diya Sharma"/>
    <x v="3"/>
    <s v="Indore"/>
    <x v="0"/>
    <s v="Tablet"/>
    <s v="Tablet - Technology"/>
    <n v="3706.02"/>
    <n v="9"/>
    <n v="8"/>
    <n v="731.76"/>
    <x v="0"/>
    <x v="0"/>
    <x v="4"/>
    <x v="0"/>
    <n v="0.19745171369825312"/>
    <s v="Profit"/>
    <s v="Low (1-10%)"/>
  </r>
  <r>
    <x v="988"/>
    <x v="304"/>
    <s v="Kriti Desai"/>
    <x v="3"/>
    <s v="Nagpur"/>
    <x v="1"/>
    <s v="Sofa"/>
    <s v="Sofa - Furniture"/>
    <n v="4847.5"/>
    <n v="10"/>
    <n v="28"/>
    <n v="433.23"/>
    <x v="1"/>
    <x v="3"/>
    <x v="9"/>
    <x v="1"/>
    <n v="8.9371841155234666E-2"/>
    <s v="Profit"/>
    <s v="High (&gt;20%)"/>
  </r>
  <r>
    <x v="989"/>
    <x v="270"/>
    <s v="Ishaan Mehta"/>
    <x v="1"/>
    <s v="Chandigarh"/>
    <x v="2"/>
    <s v="Envelope"/>
    <s v="Envelope - Office Supplies"/>
    <n v="3316.38"/>
    <n v="3"/>
    <n v="21"/>
    <n v="387.31"/>
    <x v="1"/>
    <x v="0"/>
    <x v="6"/>
    <x v="0"/>
    <n v="0.11678697857302239"/>
    <s v="Profit"/>
    <s v="High (&gt;20%)"/>
  </r>
  <r>
    <x v="990"/>
    <x v="29"/>
    <s v="Aarav Patel"/>
    <x v="1"/>
    <s v="Chandigarh"/>
    <x v="1"/>
    <s v="Chair"/>
    <s v="Chair - Furniture"/>
    <n v="7738"/>
    <n v="8"/>
    <n v="21"/>
    <n v="1499.61"/>
    <x v="0"/>
    <x v="1"/>
    <x v="10"/>
    <x v="1"/>
    <n v="0.1937981390540191"/>
    <s v="Profit"/>
    <s v="High (&gt;20%)"/>
  </r>
  <r>
    <x v="991"/>
    <x v="60"/>
    <s v="Kabir Nair"/>
    <x v="2"/>
    <s v="Hyderabad"/>
    <x v="2"/>
    <s v="Notebook"/>
    <s v="Notebook - Office Supplies"/>
    <n v="5822.55"/>
    <n v="9"/>
    <n v="9"/>
    <n v="1045.74"/>
    <x v="0"/>
    <x v="0"/>
    <x v="8"/>
    <x v="0"/>
    <n v="0.17960172089548393"/>
    <s v="Profit"/>
    <s v="Low (1-10%)"/>
  </r>
  <r>
    <x v="992"/>
    <x v="327"/>
    <s v="Sneha Reddy"/>
    <x v="2"/>
    <s v="Bangalore"/>
    <x v="2"/>
    <s v="Notebook"/>
    <s v="Notebook - Office Supplies"/>
    <n v="2991.56"/>
    <n v="2"/>
    <n v="4"/>
    <n v="236.89"/>
    <x v="1"/>
    <x v="1"/>
    <x v="7"/>
    <x v="1"/>
    <n v="7.9186110256855957E-2"/>
    <s v="Profit"/>
    <s v="Low (1-10%)"/>
  </r>
  <r>
    <x v="993"/>
    <x v="149"/>
    <s v="Vivaan Shah"/>
    <x v="2"/>
    <s v="Hyderabad"/>
    <x v="1"/>
    <s v="Table"/>
    <s v="Table - Furniture"/>
    <n v="7008.68"/>
    <n v="7"/>
    <n v="18"/>
    <n v="1115.99"/>
    <x v="0"/>
    <x v="3"/>
    <x v="2"/>
    <x v="0"/>
    <n v="0.15922969803158368"/>
    <s v="Profit"/>
    <s v="Mid (11-20%)"/>
  </r>
  <r>
    <x v="994"/>
    <x v="243"/>
    <s v="Ishaan Mehta"/>
    <x v="1"/>
    <s v="Jaipur"/>
    <x v="1"/>
    <s v="Sofa"/>
    <s v="Sofa - Furniture"/>
    <n v="8166.9"/>
    <n v="7"/>
    <n v="6"/>
    <n v="529.28"/>
    <x v="0"/>
    <x v="2"/>
    <x v="2"/>
    <x v="0"/>
    <n v="6.4807944262816983E-2"/>
    <s v="Profit"/>
    <s v="Low (1-10%)"/>
  </r>
  <r>
    <x v="995"/>
    <x v="348"/>
    <s v="Yuvraj Chauhan"/>
    <x v="1"/>
    <s v="Jaipur"/>
    <x v="2"/>
    <s v="Stapler"/>
    <s v="Stapler - Office Supplies"/>
    <n v="827.9"/>
    <n v="5"/>
    <n v="29"/>
    <n v="48.27"/>
    <x v="0"/>
    <x v="3"/>
    <x v="7"/>
    <x v="1"/>
    <n v="5.830414301244112E-2"/>
    <s v="Profit"/>
    <s v="High (&gt;20%)"/>
  </r>
  <r>
    <x v="996"/>
    <x v="187"/>
    <s v="Tanishq Ghosh"/>
    <x v="0"/>
    <s v="Patna"/>
    <x v="2"/>
    <s v="Stapler"/>
    <s v="Stapler - Office Supplies"/>
    <n v="1085.76"/>
    <n v="1"/>
    <n v="7.0000000000000009"/>
    <n v="206.51"/>
    <x v="1"/>
    <x v="2"/>
    <x v="5"/>
    <x v="1"/>
    <n v="0.19019857058650161"/>
    <s v="Profit"/>
    <s v="Low (1-10%)"/>
  </r>
  <r>
    <x v="997"/>
    <x v="290"/>
    <s v="Riya Kapoor"/>
    <x v="2"/>
    <s v="Bangalore"/>
    <x v="2"/>
    <s v="Pen"/>
    <s v="Pen - Office Supplies"/>
    <n v="3546.41"/>
    <n v="7"/>
    <n v="27"/>
    <n v="452.98"/>
    <x v="2"/>
    <x v="1"/>
    <x v="10"/>
    <x v="1"/>
    <n v="0.1277291683702674"/>
    <s v="Profit"/>
    <s v="High (&gt;20%)"/>
  </r>
  <r>
    <x v="998"/>
    <x v="167"/>
    <s v="Ishaan Mehta"/>
    <x v="1"/>
    <s v="Delhi"/>
    <x v="2"/>
    <s v="Envelope"/>
    <s v="Envelope - Office Supplies"/>
    <n v="14406.7"/>
    <n v="10"/>
    <n v="17"/>
    <n v="2704.65"/>
    <x v="0"/>
    <x v="2"/>
    <x v="12"/>
    <x v="1"/>
    <n v="0.18773556747902018"/>
    <s v="Profit"/>
    <s v="Mid (11-20%)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">
  <r>
    <n v="1017.94"/>
  </r>
  <r>
    <n v="10652.76"/>
  </r>
  <r>
    <n v="8665.7999999999993"/>
  </r>
  <r>
    <n v="2150.4"/>
  </r>
  <r>
    <n v="16306.4"/>
  </r>
  <r>
    <n v="2537.52"/>
  </r>
  <r>
    <n v="3252.76"/>
  </r>
  <r>
    <n v="1145.98"/>
  </r>
  <r>
    <n v="13863.85"/>
  </r>
  <r>
    <n v="4557.8500000000004"/>
  </r>
  <r>
    <n v="2654.82"/>
  </r>
  <r>
    <n v="1626.72"/>
  </r>
  <r>
    <n v="1879.32"/>
  </r>
  <r>
    <n v="9731.9599999999991"/>
  </r>
  <r>
    <n v="411.1"/>
  </r>
  <r>
    <n v="9701.1"/>
  </r>
  <r>
    <n v="2894.72"/>
  </r>
  <r>
    <n v="15095.8"/>
  </r>
  <r>
    <n v="7913.6"/>
  </r>
  <r>
    <n v="1344.77"/>
  </r>
  <r>
    <n v="7816.32"/>
  </r>
  <r>
    <n v="17681.099999999999"/>
  </r>
  <r>
    <n v="5216.7"/>
  </r>
  <r>
    <n v="9898.4699999999993"/>
  </r>
  <r>
    <n v="15473"/>
  </r>
  <r>
    <n v="8638.56"/>
  </r>
  <r>
    <n v="1242.6600000000001"/>
  </r>
  <r>
    <n v="802.35"/>
  </r>
  <r>
    <n v="3375.2"/>
  </r>
  <r>
    <n v="2209.2800000000002"/>
  </r>
  <r>
    <n v="6503.75"/>
  </r>
  <r>
    <n v="7153.4"/>
  </r>
  <r>
    <n v="8470.5499999999993"/>
  </r>
  <r>
    <n v="6147.72"/>
  </r>
  <r>
    <n v="2836.5"/>
  </r>
  <r>
    <n v="1870.92"/>
  </r>
  <r>
    <n v="9352.85"/>
  </r>
  <r>
    <n v="4498.8599999999997"/>
  </r>
  <r>
    <n v="4073.37"/>
  </r>
  <r>
    <n v="4120.0600000000004"/>
  </r>
  <r>
    <n v="4954.95"/>
  </r>
  <r>
    <n v="13218.4"/>
  </r>
  <r>
    <n v="8531.8799999999992"/>
  </r>
  <r>
    <n v="2359.92"/>
  </r>
  <r>
    <n v="655.93"/>
  </r>
  <r>
    <n v="358.98"/>
  </r>
  <r>
    <n v="1902.93"/>
  </r>
  <r>
    <n v="5095.6499999999996"/>
  </r>
  <r>
    <n v="11397.75"/>
  </r>
  <r>
    <n v="947.64"/>
  </r>
  <r>
    <n v="3094.56"/>
  </r>
  <r>
    <n v="9718.73"/>
  </r>
  <r>
    <n v="13397.79"/>
  </r>
  <r>
    <n v="3592.82"/>
  </r>
  <r>
    <n v="1613.09"/>
  </r>
  <r>
    <n v="10848.16"/>
  </r>
  <r>
    <n v="11803.92"/>
  </r>
  <r>
    <n v="4463.4799999999996"/>
  </r>
  <r>
    <n v="649.30999999999995"/>
  </r>
  <r>
    <n v="1693.85"/>
  </r>
  <r>
    <n v="1530.08"/>
  </r>
  <r>
    <n v="12486.95"/>
  </r>
  <r>
    <n v="4574.22"/>
  </r>
  <r>
    <n v="7773.93"/>
  </r>
  <r>
    <n v="9476.4"/>
  </r>
  <r>
    <n v="3774.96"/>
  </r>
  <r>
    <n v="11246.04"/>
  </r>
  <r>
    <n v="3300.72"/>
  </r>
  <r>
    <n v="8488.2000000000007"/>
  </r>
  <r>
    <n v="2992.53"/>
  </r>
  <r>
    <n v="1637.42"/>
  </r>
  <r>
    <n v="11379.96"/>
  </r>
  <r>
    <n v="7066.55"/>
  </r>
  <r>
    <n v="1577.94"/>
  </r>
  <r>
    <n v="763.96"/>
  </r>
  <r>
    <n v="13950.09"/>
  </r>
  <r>
    <n v="8912.76"/>
  </r>
  <r>
    <n v="9077.0400000000009"/>
  </r>
  <r>
    <n v="8681.76"/>
  </r>
  <r>
    <n v="15324.96"/>
  </r>
  <r>
    <n v="4456.62"/>
  </r>
  <r>
    <n v="13463.12"/>
  </r>
  <r>
    <n v="12675.39"/>
  </r>
  <r>
    <n v="12314.64"/>
  </r>
  <r>
    <n v="13555.1"/>
  </r>
  <r>
    <n v="3461.64"/>
  </r>
  <r>
    <n v="8002.98"/>
  </r>
  <r>
    <n v="14939.73"/>
  </r>
  <r>
    <n v="11401.1"/>
  </r>
  <r>
    <n v="7994.22"/>
  </r>
  <r>
    <n v="6333.35"/>
  </r>
  <r>
    <n v="10863.04"/>
  </r>
  <r>
    <n v="15379.2"/>
  </r>
  <r>
    <n v="10251.01"/>
  </r>
  <r>
    <n v="437.48"/>
  </r>
  <r>
    <n v="640.4"/>
  </r>
  <r>
    <n v="5637.84"/>
  </r>
  <r>
    <n v="16167.51"/>
  </r>
  <r>
    <n v="8236.48"/>
  </r>
  <r>
    <n v="12156.5"/>
  </r>
  <r>
    <n v="1007.37"/>
  </r>
  <r>
    <n v="948.24"/>
  </r>
  <r>
    <n v="7304.5"/>
  </r>
  <r>
    <n v="4409.01"/>
  </r>
  <r>
    <n v="736.65"/>
  </r>
  <r>
    <n v="12407.84"/>
  </r>
  <r>
    <n v="6470.3"/>
  </r>
  <r>
    <n v="1823.95"/>
  </r>
  <r>
    <n v="6669.96"/>
  </r>
  <r>
    <n v="9728.82"/>
  </r>
  <r>
    <n v="1967.21"/>
  </r>
  <r>
    <n v="5833.08"/>
  </r>
  <r>
    <n v="9606.7999999999993"/>
  </r>
  <r>
    <n v="7294.2"/>
  </r>
  <r>
    <n v="1341.38"/>
  </r>
  <r>
    <n v="1912.92"/>
  </r>
  <r>
    <n v="890.28"/>
  </r>
  <r>
    <n v="1513.36"/>
  </r>
  <r>
    <n v="1000.8"/>
  </r>
  <r>
    <n v="619.34"/>
  </r>
  <r>
    <n v="8766.27"/>
  </r>
  <r>
    <n v="1486.48"/>
  </r>
  <r>
    <n v="6517.32"/>
  </r>
  <r>
    <n v="2619.36"/>
  </r>
  <r>
    <n v="1695.55"/>
  </r>
  <r>
    <n v="6987.68"/>
  </r>
  <r>
    <n v="17292.7"/>
  </r>
  <r>
    <n v="10338.780000000001"/>
  </r>
  <r>
    <n v="14036.8"/>
  </r>
  <r>
    <n v="2229.44"/>
  </r>
  <r>
    <n v="19121.8"/>
  </r>
  <r>
    <n v="10600.5"/>
  </r>
  <r>
    <n v="10089.73"/>
  </r>
  <r>
    <n v="1979.31"/>
  </r>
  <r>
    <n v="1115.3399999999999"/>
  </r>
  <r>
    <n v="4203.96"/>
  </r>
  <r>
    <n v="6056.12"/>
  </r>
  <r>
    <n v="492.6"/>
  </r>
  <r>
    <n v="919.57"/>
  </r>
  <r>
    <n v="442.16"/>
  </r>
  <r>
    <n v="9037.7999999999993"/>
  </r>
  <r>
    <n v="7139.36"/>
  </r>
  <r>
    <n v="4531.2299999999996"/>
  </r>
  <r>
    <n v="3483.96"/>
  </r>
  <r>
    <n v="6450.84"/>
  </r>
  <r>
    <n v="4442"/>
  </r>
  <r>
    <n v="12996.06"/>
  </r>
  <r>
    <n v="4391.1000000000004"/>
  </r>
  <r>
    <n v="3591.69"/>
  </r>
  <r>
    <n v="6595.83"/>
  </r>
  <r>
    <n v="4142.7299999999996"/>
  </r>
  <r>
    <n v="3859.52"/>
  </r>
  <r>
    <n v="10372.24"/>
  </r>
  <r>
    <n v="11876.5"/>
  </r>
  <r>
    <n v="14732.55"/>
  </r>
  <r>
    <n v="3590.58"/>
  </r>
  <r>
    <n v="4343.99"/>
  </r>
  <r>
    <n v="15587.19"/>
  </r>
  <r>
    <n v="4379.3999999999996"/>
  </r>
  <r>
    <n v="2772.1"/>
  </r>
  <r>
    <n v="11917.2"/>
  </r>
  <r>
    <n v="9498.6"/>
  </r>
  <r>
    <n v="8882.65"/>
  </r>
  <r>
    <n v="1852.25"/>
  </r>
  <r>
    <n v="10395.5"/>
  </r>
  <r>
    <n v="7116.42"/>
  </r>
  <r>
    <n v="3946.5"/>
  </r>
  <r>
    <n v="2214.9299999999998"/>
  </r>
  <r>
    <n v="9732.1"/>
  </r>
  <r>
    <n v="17231.13"/>
  </r>
  <r>
    <n v="9196.14"/>
  </r>
  <r>
    <n v="4732.3"/>
  </r>
  <r>
    <n v="6921.88"/>
  </r>
  <r>
    <n v="2244.7800000000002"/>
  </r>
  <r>
    <n v="8847.27"/>
  </r>
  <r>
    <n v="2469.96"/>
  </r>
  <r>
    <n v="10313.73"/>
  </r>
  <r>
    <n v="101.77"/>
  </r>
  <r>
    <n v="3335.01"/>
  </r>
  <r>
    <n v="13470.31"/>
  </r>
  <r>
    <n v="2413.6799999999998"/>
  </r>
  <r>
    <n v="7224.75"/>
  </r>
  <r>
    <n v="2271.2800000000002"/>
  </r>
  <r>
    <n v="3736.77"/>
  </r>
  <r>
    <n v="1517"/>
  </r>
  <r>
    <n v="17223.3"/>
  </r>
  <r>
    <n v="10844.9"/>
  </r>
  <r>
    <n v="9623.16"/>
  </r>
  <r>
    <n v="3266.86"/>
  </r>
  <r>
    <n v="4641.6499999999996"/>
  </r>
  <r>
    <n v="11174.49"/>
  </r>
  <r>
    <n v="2500.3200000000002"/>
  </r>
  <r>
    <n v="2427.1999999999998"/>
  </r>
  <r>
    <n v="19110"/>
  </r>
  <r>
    <n v="3605.9"/>
  </r>
  <r>
    <n v="12837.7"/>
  </r>
  <r>
    <n v="4183.8999999999996"/>
  </r>
  <r>
    <n v="6681.15"/>
  </r>
  <r>
    <n v="2800.82"/>
  </r>
  <r>
    <n v="7698.16"/>
  </r>
  <r>
    <n v="10236.299999999999"/>
  </r>
  <r>
    <n v="11839.1"/>
  </r>
  <r>
    <n v="5352.92"/>
  </r>
  <r>
    <n v="18896.599999999999"/>
  </r>
  <r>
    <n v="1281.1500000000001"/>
  </r>
  <r>
    <n v="1060.56"/>
  </r>
  <r>
    <n v="17271.36"/>
  </r>
  <r>
    <n v="4685.04"/>
  </r>
  <r>
    <n v="6836.25"/>
  </r>
  <r>
    <n v="215.93"/>
  </r>
  <r>
    <n v="14407.38"/>
  </r>
  <r>
    <n v="10486.8"/>
  </r>
  <r>
    <n v="4445.3500000000004"/>
  </r>
  <r>
    <n v="7692.25"/>
  </r>
  <r>
    <n v="3414.66"/>
  </r>
  <r>
    <n v="2605.9499999999998"/>
  </r>
  <r>
    <n v="17874.900000000001"/>
  </r>
  <r>
    <n v="5003.25"/>
  </r>
  <r>
    <n v="8370.8799999999992"/>
  </r>
  <r>
    <n v="9669.65"/>
  </r>
  <r>
    <n v="9181.92"/>
  </r>
  <r>
    <n v="3552.7"/>
  </r>
  <r>
    <n v="1928.3"/>
  </r>
  <r>
    <n v="343.38"/>
  </r>
  <r>
    <n v="9572.48"/>
  </r>
  <r>
    <n v="739.16"/>
  </r>
  <r>
    <n v="2875.23"/>
  </r>
  <r>
    <n v="7136.99"/>
  </r>
  <r>
    <n v="1971.63"/>
  </r>
  <r>
    <n v="5002.2"/>
  </r>
  <r>
    <n v="2988.94"/>
  </r>
  <r>
    <n v="6342.48"/>
  </r>
  <r>
    <n v="5731.28"/>
  </r>
  <r>
    <n v="8702.56"/>
  </r>
  <r>
    <n v="9942.64"/>
  </r>
  <r>
    <n v="11650.23"/>
  </r>
  <r>
    <n v="5543.2"/>
  </r>
  <r>
    <n v="5827.16"/>
  </r>
  <r>
    <n v="10705.8"/>
  </r>
  <r>
    <n v="7004.7"/>
  </r>
  <r>
    <n v="14542.3"/>
  </r>
  <r>
    <n v="12935.86"/>
  </r>
  <r>
    <n v="9876.2000000000007"/>
  </r>
  <r>
    <n v="469.36"/>
  </r>
  <r>
    <n v="3696.08"/>
  </r>
  <r>
    <n v="9126.6"/>
  </r>
  <r>
    <n v="2047.2"/>
  </r>
  <r>
    <n v="10615.38"/>
  </r>
  <r>
    <n v="18725.2"/>
  </r>
  <r>
    <n v="8717.0499999999993"/>
  </r>
  <r>
    <n v="10953.44"/>
  </r>
  <r>
    <n v="5761.32"/>
  </r>
  <r>
    <n v="2648.88"/>
  </r>
  <r>
    <n v="13710.6"/>
  </r>
  <r>
    <n v="1834.04"/>
  </r>
  <r>
    <n v="3243.4"/>
  </r>
  <r>
    <n v="9303.68"/>
  </r>
  <r>
    <n v="961.04"/>
  </r>
  <r>
    <n v="6185.4"/>
  </r>
  <r>
    <n v="890.76"/>
  </r>
  <r>
    <n v="17465"/>
  </r>
  <r>
    <n v="5031.55"/>
  </r>
  <r>
    <n v="1916.2"/>
  </r>
  <r>
    <n v="9407.4"/>
  </r>
  <r>
    <n v="1808.13"/>
  </r>
  <r>
    <n v="2468.46"/>
  </r>
  <r>
    <n v="2580"/>
  </r>
  <r>
    <n v="13564.8"/>
  </r>
  <r>
    <n v="641.17999999999995"/>
  </r>
  <r>
    <n v="12137.3"/>
  </r>
  <r>
    <n v="5395.14"/>
  </r>
  <r>
    <n v="1286.3"/>
  </r>
  <r>
    <n v="4079.6"/>
  </r>
  <r>
    <n v="2245.86"/>
  </r>
  <r>
    <n v="12438.86"/>
  </r>
  <r>
    <n v="5064.3599999999997"/>
  </r>
  <r>
    <n v="472.86"/>
  </r>
  <r>
    <n v="1478.69"/>
  </r>
  <r>
    <n v="18644.2"/>
  </r>
  <r>
    <n v="4942.0200000000004"/>
  </r>
  <r>
    <n v="5029.0200000000004"/>
  </r>
  <r>
    <n v="2464.6799999999998"/>
  </r>
  <r>
    <n v="3877.72"/>
  </r>
  <r>
    <n v="6679.44"/>
  </r>
  <r>
    <n v="4123.8"/>
  </r>
  <r>
    <n v="2261.34"/>
  </r>
  <r>
    <n v="3802.44"/>
  </r>
  <r>
    <n v="4210.0200000000004"/>
  </r>
  <r>
    <n v="2581.6"/>
  </r>
  <r>
    <n v="7488.6"/>
  </r>
  <r>
    <n v="14933.12"/>
  </r>
  <r>
    <n v="5846.7"/>
  </r>
  <r>
    <n v="13209.21"/>
  </r>
  <r>
    <n v="1213.32"/>
  </r>
  <r>
    <n v="2540.7600000000002"/>
  </r>
  <r>
    <n v="6833.76"/>
  </r>
  <r>
    <n v="13150.88"/>
  </r>
  <r>
    <n v="6603"/>
  </r>
  <r>
    <n v="7474.92"/>
  </r>
  <r>
    <n v="7753.2"/>
  </r>
  <r>
    <n v="4486.2"/>
  </r>
  <r>
    <n v="3678.36"/>
  </r>
  <r>
    <n v="1635.62"/>
  </r>
  <r>
    <n v="5816.9"/>
  </r>
  <r>
    <n v="2113.75"/>
  </r>
  <r>
    <n v="5635.68"/>
  </r>
  <r>
    <n v="1873.53"/>
  </r>
  <r>
    <n v="3115.26"/>
  </r>
  <r>
    <n v="5687"/>
  </r>
  <r>
    <n v="7704.48"/>
  </r>
  <r>
    <n v="8439.6"/>
  </r>
  <r>
    <n v="3395.94"/>
  </r>
  <r>
    <n v="3477.48"/>
  </r>
  <r>
    <n v="415.86"/>
  </r>
  <r>
    <n v="8754.5400000000009"/>
  </r>
  <r>
    <n v="1419.44"/>
  </r>
  <r>
    <n v="3688.48"/>
  </r>
  <r>
    <n v="532.09"/>
  </r>
  <r>
    <n v="358.86"/>
  </r>
  <r>
    <n v="3260.24"/>
  </r>
  <r>
    <n v="1331.07"/>
  </r>
  <r>
    <n v="3054.02"/>
  </r>
  <r>
    <n v="804.38"/>
  </r>
  <r>
    <n v="2328"/>
  </r>
  <r>
    <n v="12077.12"/>
  </r>
  <r>
    <n v="8844.7999999999993"/>
  </r>
  <r>
    <n v="9259.2999999999993"/>
  </r>
  <r>
    <n v="2628.6"/>
  </r>
  <r>
    <n v="1033.49"/>
  </r>
  <r>
    <n v="2148.36"/>
  </r>
  <r>
    <n v="7124.11"/>
  </r>
  <r>
    <n v="1482.28"/>
  </r>
  <r>
    <n v="2994.2"/>
  </r>
  <r>
    <n v="3711.04"/>
  </r>
  <r>
    <n v="3015.84"/>
  </r>
  <r>
    <n v="5041.8"/>
  </r>
  <r>
    <n v="6595.6"/>
  </r>
  <r>
    <n v="1803.52"/>
  </r>
  <r>
    <n v="1528.38"/>
  </r>
  <r>
    <n v="3866.16"/>
  </r>
  <r>
    <n v="1992.24"/>
  </r>
  <r>
    <n v="1066.3499999999999"/>
  </r>
  <r>
    <n v="3256.5"/>
  </r>
  <r>
    <n v="3086.4"/>
  </r>
  <r>
    <n v="3828.66"/>
  </r>
  <r>
    <n v="1490.85"/>
  </r>
  <r>
    <n v="7593.6"/>
  </r>
  <r>
    <n v="10440.08"/>
  </r>
  <r>
    <n v="1530.21"/>
  </r>
  <r>
    <n v="4381.8"/>
  </r>
  <r>
    <n v="12574.98"/>
  </r>
  <r>
    <n v="2649.95"/>
  </r>
  <r>
    <n v="1186.8599999999999"/>
  </r>
  <r>
    <n v="649.16"/>
  </r>
  <r>
    <n v="607.6"/>
  </r>
  <r>
    <n v="125.5"/>
  </r>
  <r>
    <n v="4103.13"/>
  </r>
  <r>
    <n v="638.14"/>
  </r>
  <r>
    <n v="2355.9"/>
  </r>
  <r>
    <n v="6929.82"/>
  </r>
  <r>
    <n v="1120.5"/>
  </r>
  <r>
    <n v="10397.700000000001"/>
  </r>
  <r>
    <n v="2427.3000000000002"/>
  </r>
  <r>
    <n v="1987.68"/>
  </r>
  <r>
    <n v="5859.12"/>
  </r>
  <r>
    <n v="3915.3"/>
  </r>
  <r>
    <n v="3355.4"/>
  </r>
  <r>
    <n v="6153.66"/>
  </r>
  <r>
    <n v="18243.5"/>
  </r>
  <r>
    <n v="3586.23"/>
  </r>
  <r>
    <n v="14273.52"/>
  </r>
  <r>
    <n v="2922.58"/>
  </r>
  <r>
    <n v="848.16"/>
  </r>
  <r>
    <n v="7435.68"/>
  </r>
  <r>
    <n v="4694.08"/>
  </r>
  <r>
    <n v="3252.08"/>
  </r>
  <r>
    <n v="7742.07"/>
  </r>
  <r>
    <n v="9138.5"/>
  </r>
  <r>
    <n v="7986.75"/>
  </r>
  <r>
    <n v="266.87"/>
  </r>
  <r>
    <n v="2537.46"/>
  </r>
  <r>
    <n v="7377.39"/>
  </r>
  <r>
    <n v="4547.34"/>
  </r>
  <r>
    <n v="1055.52"/>
  </r>
  <r>
    <n v="4521.84"/>
  </r>
  <r>
    <n v="10116.81"/>
  </r>
  <r>
    <n v="2999.14"/>
  </r>
  <r>
    <n v="1576.13"/>
  </r>
  <r>
    <n v="869.13"/>
  </r>
  <r>
    <n v="8414.4"/>
  </r>
  <r>
    <n v="5007.7"/>
  </r>
  <r>
    <n v="3023.52"/>
  </r>
  <r>
    <n v="1089.1199999999999"/>
  </r>
  <r>
    <n v="5421.92"/>
  </r>
  <r>
    <n v="19339.5"/>
  </r>
  <r>
    <n v="2727.08"/>
  </r>
  <r>
    <n v="2193.7600000000002"/>
  </r>
  <r>
    <n v="5009.6000000000004"/>
  </r>
  <r>
    <n v="658.31"/>
  </r>
  <r>
    <n v="659.76"/>
  </r>
  <r>
    <n v="2151.0300000000002"/>
  </r>
  <r>
    <n v="809.87"/>
  </r>
  <r>
    <n v="1478.61"/>
  </r>
  <r>
    <n v="1823.5"/>
  </r>
  <r>
    <n v="15487.1"/>
  </r>
  <r>
    <n v="2943.81"/>
  </r>
  <r>
    <n v="884.9"/>
  </r>
  <r>
    <n v="6923.2"/>
  </r>
  <r>
    <n v="10001.82"/>
  </r>
  <r>
    <n v="10358.549999999999"/>
  </r>
  <r>
    <n v="7133.31"/>
  </r>
  <r>
    <n v="402.28"/>
  </r>
  <r>
    <n v="6086.15"/>
  </r>
  <r>
    <n v="4336.4399999999996"/>
  </r>
  <r>
    <n v="13799.25"/>
  </r>
  <r>
    <n v="3555.92"/>
  </r>
  <r>
    <n v="1187.6400000000001"/>
  </r>
  <r>
    <n v="1644.98"/>
  </r>
  <r>
    <n v="5907.76"/>
  </r>
  <r>
    <n v="13279.05"/>
  </r>
  <r>
    <n v="799.85"/>
  </r>
  <r>
    <n v="4185.3599999999997"/>
  </r>
  <r>
    <n v="809.01"/>
  </r>
  <r>
    <n v="3162.5"/>
  </r>
  <r>
    <n v="1839.52"/>
  </r>
  <r>
    <n v="14450.88"/>
  </r>
  <r>
    <n v="3433.4"/>
  </r>
  <r>
    <n v="1898.12"/>
  </r>
  <r>
    <n v="5968.56"/>
  </r>
  <r>
    <n v="3195.22"/>
  </r>
  <r>
    <n v="1828.48"/>
  </r>
  <r>
    <n v="16129"/>
  </r>
  <r>
    <n v="11391.66"/>
  </r>
  <r>
    <n v="3618.7"/>
  </r>
  <r>
    <n v="5355.15"/>
  </r>
  <r>
    <n v="3079.56"/>
  </r>
  <r>
    <n v="7547.08"/>
  </r>
  <r>
    <n v="15011.52"/>
  </r>
  <r>
    <n v="7821.18"/>
  </r>
  <r>
    <n v="9684.2900000000009"/>
  </r>
  <r>
    <n v="5386.98"/>
  </r>
  <r>
    <n v="806.29"/>
  </r>
  <r>
    <n v="1989.9"/>
  </r>
  <r>
    <n v="1562.72"/>
  </r>
  <r>
    <n v="7923.72"/>
  </r>
  <r>
    <n v="1859.2"/>
  </r>
  <r>
    <n v="1533.83"/>
  </r>
  <r>
    <n v="547.46"/>
  </r>
  <r>
    <n v="6749.25"/>
  </r>
  <r>
    <n v="2614.7199999999998"/>
  </r>
  <r>
    <n v="6753.56"/>
  </r>
  <r>
    <n v="6772.96"/>
  </r>
  <r>
    <n v="10265.58"/>
  </r>
  <r>
    <n v="11289.6"/>
  </r>
  <r>
    <n v="3249.63"/>
  </r>
  <r>
    <n v="1781.29"/>
  </r>
  <r>
    <n v="6193.14"/>
  </r>
  <r>
    <n v="2979.78"/>
  </r>
  <r>
    <n v="1562.9"/>
  </r>
  <r>
    <n v="11724.48"/>
  </r>
  <r>
    <n v="6873.28"/>
  </r>
  <r>
    <n v="19101.599999999999"/>
  </r>
  <r>
    <n v="1723.88"/>
  </r>
  <r>
    <n v="4581"/>
  </r>
  <r>
    <n v="3902.22"/>
  </r>
  <r>
    <n v="1888.88"/>
  </r>
  <r>
    <n v="1120.5899999999999"/>
  </r>
  <r>
    <n v="3132.08"/>
  </r>
  <r>
    <n v="2402.8000000000002"/>
  </r>
  <r>
    <n v="2426.02"/>
  </r>
  <r>
    <n v="2629.72"/>
  </r>
  <r>
    <n v="3678.78"/>
  </r>
  <r>
    <n v="6706"/>
  </r>
  <r>
    <n v="11771.37"/>
  </r>
  <r>
    <n v="12484.64"/>
  </r>
  <r>
    <n v="11969.04"/>
  </r>
  <r>
    <n v="15043.5"/>
  </r>
  <r>
    <n v="1383.89"/>
  </r>
  <r>
    <n v="3145.7"/>
  </r>
  <r>
    <n v="9973.44"/>
  </r>
  <r>
    <n v="761.84"/>
  </r>
  <r>
    <n v="8936.15"/>
  </r>
  <r>
    <n v="2313.46"/>
  </r>
  <r>
    <n v="1281.55"/>
  </r>
  <r>
    <n v="530.74"/>
  </r>
  <r>
    <n v="491.79"/>
  </r>
  <r>
    <n v="3736.05"/>
  </r>
  <r>
    <n v="7353.8"/>
  </r>
  <r>
    <n v="1414.56"/>
  </r>
  <r>
    <n v="9984.33"/>
  </r>
  <r>
    <n v="2103.2600000000002"/>
  </r>
  <r>
    <n v="7538.86"/>
  </r>
  <r>
    <n v="2970.4"/>
  </r>
  <r>
    <n v="5463.93"/>
  </r>
  <r>
    <n v="14389.68"/>
  </r>
  <r>
    <n v="4511.71"/>
  </r>
  <r>
    <n v="1581.54"/>
  </r>
  <r>
    <n v="4494.21"/>
  </r>
  <r>
    <n v="6534.72"/>
  </r>
  <r>
    <n v="6106.1"/>
  </r>
  <r>
    <n v="2830.18"/>
  </r>
  <r>
    <n v="437.66"/>
  </r>
  <r>
    <n v="749.52"/>
  </r>
  <r>
    <n v="8828"/>
  </r>
  <r>
    <n v="14981.92"/>
  </r>
  <r>
    <n v="11329.52"/>
  </r>
  <r>
    <n v="9266.8799999999992"/>
  </r>
  <r>
    <n v="272.92"/>
  </r>
  <r>
    <n v="4504.24"/>
  </r>
  <r>
    <n v="10977.06"/>
  </r>
  <r>
    <n v="2171.56"/>
  </r>
  <r>
    <n v="11193.66"/>
  </r>
  <r>
    <n v="4010.25"/>
  </r>
  <r>
    <n v="4750.32"/>
  </r>
  <r>
    <n v="10634.96"/>
  </r>
  <r>
    <n v="8077.59"/>
  </r>
  <r>
    <n v="6500.83"/>
  </r>
  <r>
    <n v="1274.67"/>
  </r>
  <r>
    <n v="691.44"/>
  </r>
  <r>
    <n v="4727.04"/>
  </r>
  <r>
    <n v="1537.62"/>
  </r>
  <r>
    <n v="1810.43"/>
  </r>
  <r>
    <n v="3655.08"/>
  </r>
  <r>
    <n v="13777.2"/>
  </r>
  <r>
    <n v="885.69"/>
  </r>
  <r>
    <n v="2487.84"/>
  </r>
  <r>
    <n v="5495.37"/>
  </r>
  <r>
    <n v="1442.88"/>
  </r>
  <r>
    <n v="2633.13"/>
  </r>
  <r>
    <n v="5779.32"/>
  </r>
  <r>
    <n v="7465.05"/>
  </r>
  <r>
    <n v="6946.32"/>
  </r>
  <r>
    <n v="10411.74"/>
  </r>
  <r>
    <n v="1582.35"/>
  </r>
  <r>
    <n v="1563.73"/>
  </r>
  <r>
    <n v="1193.28"/>
  </r>
  <r>
    <n v="7703.04"/>
  </r>
  <r>
    <n v="12330.24"/>
  </r>
  <r>
    <n v="11304.72"/>
  </r>
  <r>
    <n v="3331.86"/>
  </r>
  <r>
    <n v="7056.28"/>
  </r>
  <r>
    <n v="2086.17"/>
  </r>
  <r>
    <n v="837.46"/>
  </r>
  <r>
    <n v="7676.41"/>
  </r>
  <r>
    <n v="969.92"/>
  </r>
  <r>
    <n v="12568.68"/>
  </r>
  <r>
    <n v="8860.14"/>
  </r>
  <r>
    <n v="2646.76"/>
  </r>
  <r>
    <n v="1081.3"/>
  </r>
  <r>
    <n v="17384.400000000001"/>
  </r>
  <r>
    <n v="3729.4"/>
  </r>
  <r>
    <n v="3866.1"/>
  </r>
  <r>
    <n v="1176.28"/>
  </r>
  <r>
    <n v="13053.96"/>
  </r>
  <r>
    <n v="442.52"/>
  </r>
  <r>
    <n v="936.36"/>
  </r>
  <r>
    <n v="1536.12"/>
  </r>
  <r>
    <n v="3472.4"/>
  </r>
  <r>
    <n v="4139.75"/>
  </r>
  <r>
    <n v="8556.1"/>
  </r>
  <r>
    <n v="1400.44"/>
  </r>
  <r>
    <n v="4545.78"/>
  </r>
  <r>
    <n v="1652.52"/>
  </r>
  <r>
    <n v="3630.51"/>
  </r>
  <r>
    <n v="1238.2"/>
  </r>
  <r>
    <n v="2098.92"/>
  </r>
  <r>
    <n v="6905.52"/>
  </r>
  <r>
    <n v="12893.86"/>
  </r>
  <r>
    <n v="8175.72"/>
  </r>
  <r>
    <n v="4367.93"/>
  </r>
  <r>
    <n v="10519.28"/>
  </r>
  <r>
    <n v="1444.83"/>
  </r>
  <r>
    <n v="3491.76"/>
  </r>
  <r>
    <n v="11430.9"/>
  </r>
  <r>
    <n v="3166.76"/>
  </r>
  <r>
    <n v="856.76"/>
  </r>
  <r>
    <n v="1069.23"/>
  </r>
  <r>
    <n v="3036.87"/>
  </r>
  <r>
    <n v="4858.2299999999996"/>
  </r>
  <r>
    <n v="10236.66"/>
  </r>
  <r>
    <n v="2373.0700000000002"/>
  </r>
  <r>
    <n v="2021.7"/>
  </r>
  <r>
    <n v="6057.84"/>
  </r>
  <r>
    <n v="7139.45"/>
  </r>
  <r>
    <n v="3958.12"/>
  </r>
  <r>
    <n v="7614.9"/>
  </r>
  <r>
    <n v="11656.89"/>
  </r>
  <r>
    <n v="6883.2"/>
  </r>
  <r>
    <n v="6766.4"/>
  </r>
  <r>
    <n v="6433.2"/>
  </r>
  <r>
    <n v="1884.54"/>
  </r>
  <r>
    <n v="11388"/>
  </r>
  <r>
    <n v="13398.88"/>
  </r>
  <r>
    <n v="3769.52"/>
  </r>
  <r>
    <n v="5757.12"/>
  </r>
  <r>
    <n v="2788.24"/>
  </r>
  <r>
    <n v="781.54"/>
  </r>
  <r>
    <n v="10760.54"/>
  </r>
  <r>
    <n v="2020.76"/>
  </r>
  <r>
    <n v="8489.61"/>
  </r>
  <r>
    <n v="2632.42"/>
  </r>
  <r>
    <n v="17339.7"/>
  </r>
  <r>
    <n v="1460.66"/>
  </r>
  <r>
    <n v="1684.83"/>
  </r>
  <r>
    <n v="1716.78"/>
  </r>
  <r>
    <n v="1598.49"/>
  </r>
  <r>
    <n v="5999.95"/>
  </r>
  <r>
    <n v="6678"/>
  </r>
  <r>
    <n v="11411.28"/>
  </r>
  <r>
    <n v="2686.46"/>
  </r>
  <r>
    <n v="6493.45"/>
  </r>
  <r>
    <n v="961.74"/>
  </r>
  <r>
    <n v="5743.92"/>
  </r>
  <r>
    <n v="4253.7"/>
  </r>
  <r>
    <n v="3986"/>
  </r>
  <r>
    <n v="795.3"/>
  </r>
  <r>
    <n v="4142.72"/>
  </r>
  <r>
    <n v="2052.88"/>
  </r>
  <r>
    <n v="4379.97"/>
  </r>
  <r>
    <n v="19417.400000000001"/>
  </r>
  <r>
    <n v="8662.2000000000007"/>
  </r>
  <r>
    <n v="1542.29"/>
  </r>
  <r>
    <n v="3257.82"/>
  </r>
  <r>
    <n v="3457.2"/>
  </r>
  <r>
    <n v="5518.32"/>
  </r>
  <r>
    <n v="4429.28"/>
  </r>
  <r>
    <n v="1295.57"/>
  </r>
  <r>
    <n v="4256.2"/>
  </r>
  <r>
    <n v="11003.44"/>
  </r>
  <r>
    <n v="4075.35"/>
  </r>
  <r>
    <n v="1748.1"/>
  </r>
  <r>
    <n v="5792.5"/>
  </r>
  <r>
    <n v="16064.5"/>
  </r>
  <r>
    <n v="4338.24"/>
  </r>
  <r>
    <n v="1541.85"/>
  </r>
  <r>
    <n v="1259.8599999999999"/>
  </r>
  <r>
    <n v="1962.14"/>
  </r>
  <r>
    <n v="1836.3"/>
  </r>
  <r>
    <n v="2857.02"/>
  </r>
  <r>
    <n v="3438.66"/>
  </r>
  <r>
    <n v="3167.46"/>
  </r>
  <r>
    <n v="4706.6400000000003"/>
  </r>
  <r>
    <n v="3504.84"/>
  </r>
  <r>
    <n v="8740.7199999999993"/>
  </r>
  <r>
    <n v="3478.44"/>
  </r>
  <r>
    <n v="5088.42"/>
  </r>
  <r>
    <n v="1832.31"/>
  </r>
  <r>
    <n v="794.83"/>
  </r>
  <r>
    <n v="959.22"/>
  </r>
  <r>
    <n v="519.83000000000004"/>
  </r>
  <r>
    <n v="1648.8"/>
  </r>
  <r>
    <n v="11750.76"/>
  </r>
  <r>
    <n v="2755.54"/>
  </r>
  <r>
    <n v="11043.09"/>
  </r>
  <r>
    <n v="2290.83"/>
  </r>
  <r>
    <n v="3224.28"/>
  </r>
  <r>
    <n v="15193.6"/>
  </r>
  <r>
    <n v="4082.94"/>
  </r>
  <r>
    <n v="17802.45"/>
  </r>
  <r>
    <n v="7840.32"/>
  </r>
  <r>
    <n v="11398.16"/>
  </r>
  <r>
    <n v="4837.5"/>
  </r>
  <r>
    <n v="3542.05"/>
  </r>
  <r>
    <n v="740.57"/>
  </r>
  <r>
    <n v="3839.38"/>
  </r>
  <r>
    <n v="12652.32"/>
  </r>
  <r>
    <n v="3580.86"/>
  </r>
  <r>
    <n v="870.48"/>
  </r>
  <r>
    <n v="7080"/>
  </r>
  <r>
    <n v="3597.22"/>
  </r>
  <r>
    <n v="2567.1"/>
  </r>
  <r>
    <n v="10719.06"/>
  </r>
  <r>
    <n v="7946.1"/>
  </r>
  <r>
    <n v="800.15"/>
  </r>
  <r>
    <n v="1962.31"/>
  </r>
  <r>
    <n v="5341.23"/>
  </r>
  <r>
    <n v="4656.3500000000004"/>
  </r>
  <r>
    <n v="2345.2199999999998"/>
  </r>
  <r>
    <n v="2666.49"/>
  </r>
  <r>
    <n v="541.16"/>
  </r>
  <r>
    <n v="2959.17"/>
  </r>
  <r>
    <n v="12937.6"/>
  </r>
  <r>
    <n v="11775.9"/>
  </r>
  <r>
    <n v="5024.08"/>
  </r>
  <r>
    <n v="9625.52"/>
  </r>
  <r>
    <n v="727.42"/>
  </r>
  <r>
    <n v="318.62"/>
  </r>
  <r>
    <n v="4790.08"/>
  </r>
  <r>
    <n v="13613.46"/>
  </r>
  <r>
    <n v="1723.04"/>
  </r>
  <r>
    <n v="17058.599999999999"/>
  </r>
  <r>
    <n v="11789.61"/>
  </r>
  <r>
    <n v="5344.32"/>
  </r>
  <r>
    <n v="605.1"/>
  </r>
  <r>
    <n v="6667.57"/>
  </r>
  <r>
    <n v="5276.11"/>
  </r>
  <r>
    <n v="9638.65"/>
  </r>
  <r>
    <n v="6034.68"/>
  </r>
  <r>
    <n v="2456.86"/>
  </r>
  <r>
    <n v="8436.33"/>
  </r>
  <r>
    <n v="1277.92"/>
  </r>
  <r>
    <n v="6384.69"/>
  </r>
  <r>
    <n v="2963.08"/>
  </r>
  <r>
    <n v="7077.76"/>
  </r>
  <r>
    <n v="1605.16"/>
  </r>
  <r>
    <n v="2792.44"/>
  </r>
  <r>
    <n v="9324.4"/>
  </r>
  <r>
    <n v="6054.3"/>
  </r>
  <r>
    <n v="14239.04"/>
  </r>
  <r>
    <n v="19512.599999999999"/>
  </r>
  <r>
    <n v="7368.66"/>
  </r>
  <r>
    <n v="7462.08"/>
  </r>
  <r>
    <n v="4548.18"/>
  </r>
  <r>
    <n v="1063.07"/>
  </r>
  <r>
    <n v="3950.3"/>
  </r>
  <r>
    <n v="14664.69"/>
  </r>
  <r>
    <n v="2766.74"/>
  </r>
  <r>
    <n v="7824.04"/>
  </r>
  <r>
    <n v="5342.88"/>
  </r>
  <r>
    <n v="3960.99"/>
  </r>
  <r>
    <n v="2156.67"/>
  </r>
  <r>
    <n v="7058.6"/>
  </r>
  <r>
    <n v="11275.38"/>
  </r>
  <r>
    <n v="10349.52"/>
  </r>
  <r>
    <n v="1365.84"/>
  </r>
  <r>
    <n v="9685.6"/>
  </r>
  <r>
    <n v="1841.97"/>
  </r>
  <r>
    <n v="16761.3"/>
  </r>
  <r>
    <n v="5697"/>
  </r>
  <r>
    <n v="6520.08"/>
  </r>
  <r>
    <n v="8746.2999999999993"/>
  </r>
  <r>
    <n v="3774.06"/>
  </r>
  <r>
    <n v="6311.3"/>
  </r>
  <r>
    <n v="8120"/>
  </r>
  <r>
    <n v="945.72"/>
  </r>
  <r>
    <n v="12494.8"/>
  </r>
  <r>
    <n v="13088.08"/>
  </r>
  <r>
    <n v="9505.4"/>
  </r>
  <r>
    <n v="10082.43"/>
  </r>
  <r>
    <n v="906.55"/>
  </r>
  <r>
    <n v="15569.73"/>
  </r>
  <r>
    <n v="16686.400000000001"/>
  </r>
  <r>
    <n v="2118.96"/>
  </r>
  <r>
    <n v="2815.68"/>
  </r>
  <r>
    <n v="4671.04"/>
  </r>
  <r>
    <n v="1778.04"/>
  </r>
  <r>
    <n v="12463.15"/>
  </r>
  <r>
    <n v="4602.57"/>
  </r>
  <r>
    <n v="8567.25"/>
  </r>
  <r>
    <n v="1196.8599999999999"/>
  </r>
  <r>
    <n v="5192.7299999999996"/>
  </r>
  <r>
    <n v="13622.13"/>
  </r>
  <r>
    <n v="17284.099999999999"/>
  </r>
  <r>
    <n v="1062.8499999999999"/>
  </r>
  <r>
    <n v="6195.9"/>
  </r>
  <r>
    <n v="4253.5200000000004"/>
  </r>
  <r>
    <n v="6102.92"/>
  </r>
  <r>
    <n v="11149.98"/>
  </r>
  <r>
    <n v="18614.400000000001"/>
  </r>
  <r>
    <n v="2791.88"/>
  </r>
  <r>
    <n v="4522.68"/>
  </r>
  <r>
    <n v="10717.36"/>
  </r>
  <r>
    <n v="2928.16"/>
  </r>
  <r>
    <n v="6467.55"/>
  </r>
  <r>
    <n v="2542.0500000000002"/>
  </r>
  <r>
    <n v="9668.5"/>
  </r>
  <r>
    <n v="16881.48"/>
  </r>
  <r>
    <n v="5009.24"/>
  </r>
  <r>
    <n v="7640.78"/>
  </r>
  <r>
    <n v="11262.24"/>
  </r>
  <r>
    <n v="2918.64"/>
  </r>
  <r>
    <n v="976.08"/>
  </r>
  <r>
    <n v="2285.88"/>
  </r>
  <r>
    <n v="2272.27"/>
  </r>
  <r>
    <n v="5561.43"/>
  </r>
  <r>
    <n v="2975.28"/>
  </r>
  <r>
    <n v="11932.83"/>
  </r>
  <r>
    <n v="10058.719999999999"/>
  </r>
  <r>
    <n v="1005.37"/>
  </r>
  <r>
    <n v="1281.24"/>
  </r>
  <r>
    <n v="8910.75"/>
  </r>
  <r>
    <n v="9302.2999999999993"/>
  </r>
  <r>
    <n v="5747.82"/>
  </r>
  <r>
    <n v="1848.78"/>
  </r>
  <r>
    <n v="1089.54"/>
  </r>
  <r>
    <n v="6915.87"/>
  </r>
  <r>
    <n v="8697.36"/>
  </r>
  <r>
    <n v="1718.18"/>
  </r>
  <r>
    <n v="16347.8"/>
  </r>
  <r>
    <n v="7855.68"/>
  </r>
  <r>
    <n v="5458.65"/>
  </r>
  <r>
    <n v="820.72"/>
  </r>
  <r>
    <n v="4884.16"/>
  </r>
  <r>
    <n v="2843.84"/>
  </r>
  <r>
    <n v="2487.7800000000002"/>
  </r>
  <r>
    <n v="8350.2999999999993"/>
  </r>
  <r>
    <n v="15735.33"/>
  </r>
  <r>
    <n v="2906.24"/>
  </r>
  <r>
    <n v="2712.18"/>
  </r>
  <r>
    <n v="4983.6000000000004"/>
  </r>
  <r>
    <n v="1311.39"/>
  </r>
  <r>
    <n v="763.32"/>
  </r>
  <r>
    <n v="867.27"/>
  </r>
  <r>
    <n v="5939.46"/>
  </r>
  <r>
    <n v="13483.12"/>
  </r>
  <r>
    <n v="5071.0200000000004"/>
  </r>
  <r>
    <n v="1495.69"/>
  </r>
  <r>
    <n v="6508.7"/>
  </r>
  <r>
    <n v="1041.81"/>
  </r>
  <r>
    <n v="3976.59"/>
  </r>
  <r>
    <n v="2747.7"/>
  </r>
  <r>
    <n v="2332.6799999999998"/>
  </r>
  <r>
    <n v="5194.5"/>
  </r>
  <r>
    <n v="4929.1899999999996"/>
  </r>
  <r>
    <n v="1587.18"/>
  </r>
  <r>
    <n v="3225"/>
  </r>
  <r>
    <n v="13721.54"/>
  </r>
  <r>
    <n v="12752.6"/>
  </r>
  <r>
    <n v="5371.96"/>
  </r>
  <r>
    <n v="12371.76"/>
  </r>
  <r>
    <n v="3975.35"/>
  </r>
  <r>
    <n v="4039.7"/>
  </r>
  <r>
    <n v="330.18"/>
  </r>
  <r>
    <n v="12039.48"/>
  </r>
  <r>
    <n v="628.98"/>
  </r>
  <r>
    <n v="10712.97"/>
  </r>
  <r>
    <n v="1656.48"/>
  </r>
  <r>
    <n v="8279.85"/>
  </r>
  <r>
    <n v="7192.14"/>
  </r>
  <r>
    <n v="2520.3000000000002"/>
  </r>
  <r>
    <n v="3159.51"/>
  </r>
  <r>
    <n v="1567.68"/>
  </r>
  <r>
    <n v="3507.18"/>
  </r>
  <r>
    <n v="6779.04"/>
  </r>
  <r>
    <n v="1188.78"/>
  </r>
  <r>
    <n v="6671.43"/>
  </r>
  <r>
    <n v="3274.08"/>
  </r>
  <r>
    <n v="6254"/>
  </r>
  <r>
    <n v="3457.88"/>
  </r>
  <r>
    <n v="2268.14"/>
  </r>
  <r>
    <n v="1266.57"/>
  </r>
  <r>
    <n v="701.7"/>
  </r>
  <r>
    <n v="1194.8699999999999"/>
  </r>
  <r>
    <n v="7021.05"/>
  </r>
  <r>
    <n v="1005.06"/>
  </r>
  <r>
    <n v="8064.6"/>
  </r>
  <r>
    <n v="5198.24"/>
  </r>
  <r>
    <n v="8254.89"/>
  </r>
  <r>
    <n v="16609.3"/>
  </r>
  <r>
    <n v="10279.98"/>
  </r>
  <r>
    <n v="1683.09"/>
  </r>
  <r>
    <n v="16597.8"/>
  </r>
  <r>
    <n v="1801.34"/>
  </r>
  <r>
    <n v="5823.96"/>
  </r>
  <r>
    <n v="11546.76"/>
  </r>
  <r>
    <n v="8941.41"/>
  </r>
  <r>
    <n v="515.98"/>
  </r>
  <r>
    <n v="2846.58"/>
  </r>
  <r>
    <n v="9961.1200000000008"/>
  </r>
  <r>
    <n v="548.46"/>
  </r>
  <r>
    <n v="1897.2"/>
  </r>
  <r>
    <n v="1264.75"/>
  </r>
  <r>
    <n v="1582.74"/>
  </r>
  <r>
    <n v="5842.92"/>
  </r>
  <r>
    <n v="3775.83"/>
  </r>
  <r>
    <n v="15228"/>
  </r>
  <r>
    <n v="11171.84"/>
  </r>
  <r>
    <n v="10296.24"/>
  </r>
  <r>
    <n v="6321.07"/>
  </r>
  <r>
    <n v="7489.3"/>
  </r>
  <r>
    <n v="2180.2800000000002"/>
  </r>
  <r>
    <n v="3084.66"/>
  </r>
  <r>
    <n v="2533.16"/>
  </r>
  <r>
    <n v="14603.13"/>
  </r>
  <r>
    <n v="6008.84"/>
  </r>
  <r>
    <n v="4860.45"/>
  </r>
  <r>
    <n v="9004.94"/>
  </r>
  <r>
    <n v="1773.02"/>
  </r>
  <r>
    <n v="4637.24"/>
  </r>
  <r>
    <n v="3497.46"/>
  </r>
  <r>
    <n v="2838"/>
  </r>
  <r>
    <n v="7165.65"/>
  </r>
  <r>
    <n v="15267.52"/>
  </r>
  <r>
    <n v="1977.18"/>
  </r>
  <r>
    <n v="6201.7"/>
  </r>
  <r>
    <n v="3568.92"/>
  </r>
  <r>
    <n v="6698.4"/>
  </r>
  <r>
    <n v="8369.76"/>
  </r>
  <r>
    <n v="1410.56"/>
  </r>
  <r>
    <n v="170.18"/>
  </r>
  <r>
    <n v="1095.8399999999999"/>
  </r>
  <r>
    <n v="871.26"/>
  </r>
  <r>
    <n v="822.07"/>
  </r>
  <r>
    <n v="3441.33"/>
  </r>
  <r>
    <n v="1200.55"/>
  </r>
  <r>
    <n v="3094.84"/>
  </r>
  <r>
    <n v="5350.59"/>
  </r>
  <r>
    <n v="17243.37"/>
  </r>
  <r>
    <n v="424.17"/>
  </r>
  <r>
    <n v="3233.76"/>
  </r>
  <r>
    <n v="3606.3"/>
  </r>
  <r>
    <n v="997.18"/>
  </r>
  <r>
    <n v="10171.040000000001"/>
  </r>
  <r>
    <n v="1274.55"/>
  </r>
  <r>
    <n v="7379"/>
  </r>
  <r>
    <n v="6047.4"/>
  </r>
  <r>
    <n v="904.52"/>
  </r>
  <r>
    <n v="6434"/>
  </r>
  <r>
    <n v="10950.03"/>
  </r>
  <r>
    <n v="5807.97"/>
  </r>
  <r>
    <n v="2017.1"/>
  </r>
  <r>
    <n v="8688.33"/>
  </r>
  <r>
    <n v="9049.5"/>
  </r>
  <r>
    <n v="13887.52"/>
  </r>
  <r>
    <n v="1412.78"/>
  </r>
  <r>
    <n v="8595.36"/>
  </r>
  <r>
    <n v="4603.2"/>
  </r>
  <r>
    <n v="7423.3"/>
  </r>
  <r>
    <n v="6911.44"/>
  </r>
  <r>
    <n v="5355.98"/>
  </r>
  <r>
    <n v="1129.52"/>
  </r>
  <r>
    <n v="3572.13"/>
  </r>
  <r>
    <n v="3581"/>
  </r>
  <r>
    <n v="4371.3900000000003"/>
  </r>
  <r>
    <n v="6161.6"/>
  </r>
  <r>
    <n v="14756.5"/>
  </r>
  <r>
    <n v="3923.31"/>
  </r>
  <r>
    <n v="7072.12"/>
  </r>
  <r>
    <n v="9693"/>
  </r>
  <r>
    <n v="1899.69"/>
  </r>
  <r>
    <n v="1414.4"/>
  </r>
  <r>
    <n v="9395.2800000000007"/>
  </r>
  <r>
    <n v="11818.26"/>
  </r>
  <r>
    <n v="4266.6000000000004"/>
  </r>
  <r>
    <n v="915.78"/>
  </r>
  <r>
    <n v="6302.55"/>
  </r>
  <r>
    <n v="1547.52"/>
  </r>
  <r>
    <n v="2476.7199999999998"/>
  </r>
  <r>
    <n v="3057.06"/>
  </r>
  <r>
    <n v="7195.05"/>
  </r>
  <r>
    <n v="1055.52"/>
  </r>
  <r>
    <n v="816.7"/>
  </r>
  <r>
    <n v="2143.1999999999998"/>
  </r>
  <r>
    <n v="5907.3"/>
  </r>
  <r>
    <n v="15049.6"/>
  </r>
  <r>
    <n v="7326.45"/>
  </r>
  <r>
    <n v="11029.69"/>
  </r>
  <r>
    <n v="13069"/>
  </r>
  <r>
    <n v="2964.12"/>
  </r>
  <r>
    <n v="6357.82"/>
  </r>
  <r>
    <n v="3449.2"/>
  </r>
  <r>
    <n v="12608.1"/>
  </r>
  <r>
    <n v="11058.57"/>
  </r>
  <r>
    <n v="4401.3599999999997"/>
  </r>
  <r>
    <n v="662.7"/>
  </r>
  <r>
    <n v="2628.4"/>
  </r>
  <r>
    <n v="15521.58"/>
  </r>
  <r>
    <n v="3120.86"/>
  </r>
  <r>
    <n v="984.42"/>
  </r>
  <r>
    <n v="18866.7"/>
  </r>
  <r>
    <n v="11023.81"/>
  </r>
  <r>
    <n v="16957.53"/>
  </r>
  <r>
    <n v="7717.05"/>
  </r>
  <r>
    <n v="5451.1"/>
  </r>
  <r>
    <n v="13162.32"/>
  </r>
  <r>
    <n v="3216.72"/>
  </r>
  <r>
    <n v="3678.6"/>
  </r>
  <r>
    <n v="2549.7600000000002"/>
  </r>
  <r>
    <n v="12784.59"/>
  </r>
  <r>
    <n v="6400.8"/>
  </r>
  <r>
    <n v="1641.3"/>
  </r>
  <r>
    <n v="11669.4"/>
  </r>
  <r>
    <n v="12182.1"/>
  </r>
  <r>
    <n v="1160.31"/>
  </r>
  <r>
    <n v="11867.84"/>
  </r>
  <r>
    <n v="5741.89"/>
  </r>
  <r>
    <n v="7258.62"/>
  </r>
  <r>
    <n v="1423.56"/>
  </r>
  <r>
    <n v="5780.05"/>
  </r>
  <r>
    <n v="11335.8"/>
  </r>
  <r>
    <n v="2589.84"/>
  </r>
  <r>
    <n v="7680.16"/>
  </r>
  <r>
    <n v="4378.16"/>
  </r>
  <r>
    <n v="1187.05"/>
  </r>
  <r>
    <n v="4180.92"/>
  </r>
  <r>
    <n v="11123.44"/>
  </r>
  <r>
    <n v="3706.02"/>
  </r>
  <r>
    <n v="4847.5"/>
  </r>
  <r>
    <n v="3316.38"/>
  </r>
  <r>
    <n v="7738"/>
  </r>
  <r>
    <n v="5822.55"/>
  </r>
  <r>
    <n v="2991.56"/>
  </r>
  <r>
    <n v="7008.68"/>
  </r>
  <r>
    <n v="8166.9"/>
  </r>
  <r>
    <n v="827.9"/>
  </r>
  <r>
    <n v="1085.76"/>
  </r>
  <r>
    <n v="3546.41"/>
  </r>
  <r>
    <n v="14406.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269.0999999999999"/>
  </r>
  <r>
    <n v="242.63"/>
  </r>
  <r>
    <n v="859.08"/>
  </r>
  <r>
    <n v="1444.74"/>
  </r>
  <r>
    <n v="267.77"/>
  </r>
  <r>
    <n v="2357.5300000000002"/>
  </r>
  <r>
    <n v="261.63"/>
  </r>
  <r>
    <n v="292.45999999999998"/>
  </r>
  <r>
    <n v="177.37"/>
  </r>
  <r>
    <n v="2735.89"/>
  </r>
  <r>
    <n v="317.76"/>
  </r>
  <r>
    <n v="289.19"/>
  </r>
  <r>
    <n v="104.38"/>
  </r>
  <r>
    <n v="144"/>
  </r>
  <r>
    <n v="1228"/>
  </r>
  <r>
    <n v="35.159999999999997"/>
  </r>
  <r>
    <n v="1420.5"/>
  </r>
  <r>
    <n v="589.64"/>
  </r>
  <r>
    <n v="1791.89"/>
  </r>
  <r>
    <n v="365.9"/>
  </r>
  <r>
    <n v="56.96"/>
  </r>
  <r>
    <n v="1009.31"/>
  </r>
  <r>
    <n v="884.53"/>
  </r>
  <r>
    <n v="259.14999999999998"/>
  </r>
  <r>
    <n v="1292.04"/>
  </r>
  <r>
    <n v="1377.35"/>
  </r>
  <r>
    <n v="1043.43"/>
  </r>
  <r>
    <n v="63.8"/>
  </r>
  <r>
    <n v="57.18"/>
  </r>
  <r>
    <n v="722.26"/>
  </r>
  <r>
    <n v="217.17"/>
  </r>
  <r>
    <n v="510.77"/>
  </r>
  <r>
    <n v="1309.46"/>
  </r>
  <r>
    <n v="1774.25"/>
  </r>
  <r>
    <n v="1020"/>
  </r>
  <r>
    <n v="628.39"/>
  </r>
  <r>
    <n v="104.31"/>
  </r>
  <r>
    <n v="717.65"/>
  </r>
  <r>
    <n v="862.46"/>
  </r>
  <r>
    <n v="528.49"/>
  </r>
  <r>
    <n v="565.57000000000005"/>
  </r>
  <r>
    <n v="884.66"/>
  </r>
  <r>
    <n v="1949.19"/>
  </r>
  <r>
    <n v="1496.19"/>
  </r>
  <r>
    <n v="183.13"/>
  </r>
  <r>
    <n v="62.71"/>
  </r>
  <r>
    <n v="71.81"/>
  </r>
  <r>
    <n v="365.62"/>
  </r>
  <r>
    <n v="808.51"/>
  </r>
  <r>
    <n v="2719.65"/>
  </r>
  <r>
    <n v="185.53"/>
  </r>
  <r>
    <n v="261.86"/>
  </r>
  <r>
    <n v="356.81"/>
  </r>
  <r>
    <n v="2309.5500000000002"/>
  </r>
  <r>
    <n v="841.7"/>
  </r>
  <r>
    <n v="205.51"/>
  </r>
  <r>
    <n v="1581.16"/>
  </r>
  <r>
    <n v="856.03"/>
  </r>
  <r>
    <n v="591.73"/>
  </r>
  <r>
    <n v="53.76"/>
  </r>
  <r>
    <n v="182.97"/>
  </r>
  <r>
    <n v="216.71"/>
  </r>
  <r>
    <n v="2799.04"/>
  </r>
  <r>
    <n v="727.68"/>
  </r>
  <r>
    <n v="1104.03"/>
  </r>
  <r>
    <n v="703.64"/>
  </r>
  <r>
    <n v="163.01"/>
  </r>
  <r>
    <n v="2435.79"/>
  </r>
  <r>
    <n v="578.44000000000005"/>
  </r>
  <r>
    <n v="873.92"/>
  </r>
  <r>
    <n v="335.06"/>
  </r>
  <r>
    <n v="248.33"/>
  </r>
  <r>
    <n v="636.80999999999995"/>
  </r>
  <r>
    <n v="1479.7"/>
  </r>
  <r>
    <n v="229.33"/>
  </r>
  <r>
    <n v="39.58"/>
  </r>
  <r>
    <n v="1635.16"/>
  </r>
  <r>
    <n v="1590.24"/>
  </r>
  <r>
    <n v="1162.69"/>
  </r>
  <r>
    <n v="914.67"/>
  </r>
  <r>
    <n v="630.78"/>
  </r>
  <r>
    <n v="803.43"/>
  </r>
  <r>
    <n v="1135.76"/>
  </r>
  <r>
    <n v="768.8"/>
  </r>
  <r>
    <n v="1574.18"/>
  </r>
  <r>
    <n v="788.7"/>
  </r>
  <r>
    <n v="530.79999999999995"/>
  </r>
  <r>
    <n v="800.58"/>
  </r>
  <r>
    <n v="2876.37"/>
  </r>
  <r>
    <n v="1794.61"/>
  </r>
  <r>
    <n v="895.16"/>
  </r>
  <r>
    <n v="853.27"/>
  </r>
  <r>
    <n v="1093.22"/>
  </r>
  <r>
    <n v="3526.58"/>
  </r>
  <r>
    <n v="2263.8200000000002"/>
  </r>
  <r>
    <n v="28.55"/>
  </r>
  <r>
    <n v="40.450000000000003"/>
  </r>
  <r>
    <n v="366.61"/>
  </r>
  <r>
    <n v="1210.18"/>
  </r>
  <r>
    <n v="1095.97"/>
  </r>
  <r>
    <n v="2302.3000000000002"/>
  </r>
  <r>
    <n v="167.76"/>
  </r>
  <r>
    <n v="34.909999999999997"/>
  </r>
  <r>
    <n v="461.1"/>
  </r>
  <r>
    <n v="466.16"/>
  </r>
  <r>
    <n v="123.05"/>
  </r>
  <r>
    <n v="1510"/>
  </r>
  <r>
    <n v="1412.01"/>
  </r>
  <r>
    <n v="372.97"/>
  </r>
  <r>
    <n v="1226.27"/>
  </r>
  <r>
    <n v="1193.55"/>
  </r>
  <r>
    <n v="266.68"/>
  </r>
  <r>
    <n v="603.82000000000005"/>
  </r>
  <r>
    <n v="490.28"/>
  </r>
  <r>
    <n v="1264.71"/>
  </r>
  <r>
    <n v="298.27"/>
  </r>
  <r>
    <n v="334.38"/>
  </r>
  <r>
    <n v="90.24"/>
  </r>
  <r>
    <n v="90.69"/>
  </r>
  <r>
    <n v="170.82"/>
  </r>
  <r>
    <n v="42.8"/>
  </r>
  <r>
    <n v="769.54"/>
  </r>
  <r>
    <n v="111.09"/>
  </r>
  <r>
    <n v="1083.0999999999999"/>
  </r>
  <r>
    <n v="423.72"/>
  </r>
  <r>
    <n v="114.02"/>
  </r>
  <r>
    <n v="854.53"/>
  </r>
  <r>
    <n v="2378.5100000000002"/>
  </r>
  <r>
    <n v="758.29"/>
  </r>
  <r>
    <n v="2716.89"/>
  </r>
  <r>
    <n v="365.63"/>
  </r>
  <r>
    <n v="1486.94"/>
  </r>
  <r>
    <n v="1499.91"/>
  </r>
  <r>
    <n v="961.58"/>
  </r>
  <r>
    <n v="261.05"/>
  </r>
  <r>
    <n v="198.33"/>
  </r>
  <r>
    <n v="435.13"/>
  </r>
  <r>
    <n v="548.38"/>
  </r>
  <r>
    <n v="26.51"/>
  </r>
  <r>
    <n v="124.44"/>
  </r>
  <r>
    <n v="64.290000000000006"/>
  </r>
  <r>
    <n v="508.45"/>
  </r>
  <r>
    <n v="415.54"/>
  </r>
  <r>
    <n v="427.21"/>
  </r>
  <r>
    <n v="712.61"/>
  </r>
  <r>
    <n v="1088.03"/>
  </r>
  <r>
    <n v="426.32"/>
  </r>
  <r>
    <n v="1717.82"/>
  </r>
  <r>
    <n v="221.69"/>
  </r>
  <r>
    <n v="486.14"/>
  </r>
  <r>
    <n v="406.17"/>
  </r>
  <r>
    <n v="464.48"/>
  </r>
  <r>
    <n v="479.18"/>
  </r>
  <r>
    <n v="2174.37"/>
  </r>
  <r>
    <n v="1489.68"/>
  </r>
  <r>
    <n v="911.76"/>
  </r>
  <r>
    <n v="849"/>
  </r>
  <r>
    <n v="477.35"/>
  </r>
  <r>
    <n v="1698.78"/>
  </r>
  <r>
    <n v="393.79"/>
  </r>
  <r>
    <n v="183.66"/>
  </r>
  <r>
    <n v="1195.47"/>
  </r>
  <r>
    <n v="433.48"/>
  </r>
  <r>
    <n v="644.29"/>
  </r>
  <r>
    <n v="345.86"/>
  </r>
  <r>
    <n v="1678.52"/>
  </r>
  <r>
    <n v="526"/>
  </r>
  <r>
    <n v="748.19"/>
  </r>
  <r>
    <n v="231.26"/>
  </r>
  <r>
    <n v="494.42"/>
  </r>
  <r>
    <n v="2441.5"/>
  </r>
  <r>
    <n v="1180.01"/>
  </r>
  <r>
    <n v="660.9"/>
  </r>
  <r>
    <n v="975.88"/>
  </r>
  <r>
    <n v="282.76"/>
  </r>
  <r>
    <n v="581.4"/>
  </r>
  <r>
    <n v="531.04"/>
  </r>
  <r>
    <n v="597.27"/>
  </r>
  <r>
    <n v="8.2899999999999991"/>
  </r>
  <r>
    <n v="259.43"/>
  </r>
  <r>
    <n v="1078.8900000000001"/>
  </r>
  <r>
    <n v="223.22"/>
  </r>
  <r>
    <n v="896.59"/>
  </r>
  <r>
    <n v="376.88"/>
  </r>
  <r>
    <n v="520.99"/>
  </r>
  <r>
    <n v="124.92"/>
  </r>
  <r>
    <n v="2658.31"/>
  </r>
  <r>
    <n v="2260.62"/>
  </r>
  <r>
    <n v="1197.52"/>
  </r>
  <r>
    <n v="415.14"/>
  </r>
  <r>
    <n v="662.36"/>
  </r>
  <r>
    <n v="2088.23"/>
  </r>
  <r>
    <n v="273.24"/>
  </r>
  <r>
    <n v="335.5"/>
  </r>
  <r>
    <n v="1844.09"/>
  </r>
  <r>
    <n v="544.07000000000005"/>
  </r>
  <r>
    <n v="2477.79"/>
  </r>
  <r>
    <n v="700.63"/>
  </r>
  <r>
    <n v="1222.27"/>
  </r>
  <r>
    <n v="675.93"/>
  </r>
  <r>
    <n v="570.99"/>
  </r>
  <r>
    <n v="1226.0899999999999"/>
  </r>
  <r>
    <n v="1919.48"/>
  </r>
  <r>
    <n v="839.31"/>
  </r>
  <r>
    <n v="1483.08"/>
  </r>
  <r>
    <n v="269.27"/>
  </r>
  <r>
    <n v="46.17"/>
  </r>
  <r>
    <n v="1929.15"/>
  </r>
  <r>
    <n v="271.33"/>
  </r>
  <r>
    <n v="577.97"/>
  </r>
  <r>
    <n v="49.7"/>
  </r>
  <r>
    <n v="1182.69"/>
  </r>
  <r>
    <n v="1813.34"/>
  </r>
  <r>
    <n v="877.73"/>
  </r>
  <r>
    <n v="1235.53"/>
  </r>
  <r>
    <n v="328.18"/>
  </r>
  <r>
    <n v="301.38"/>
  </r>
  <r>
    <n v="1396.63"/>
  </r>
  <r>
    <n v="750.73"/>
  </r>
  <r>
    <n v="1136.53"/>
  </r>
  <r>
    <n v="1033.82"/>
  </r>
  <r>
    <n v="979.43"/>
  </r>
  <r>
    <n v="249.77"/>
  </r>
  <r>
    <n v="278.29000000000002"/>
  </r>
  <r>
    <n v="23.8"/>
  </r>
  <r>
    <n v="1171.74"/>
  </r>
  <r>
    <n v="127.81"/>
  </r>
  <r>
    <n v="360.89"/>
  </r>
  <r>
    <n v="641.97"/>
  </r>
  <r>
    <n v="288.76"/>
  </r>
  <r>
    <n v="718.97"/>
  </r>
  <r>
    <n v="492.27"/>
  </r>
  <r>
    <n v="249.15"/>
  </r>
  <r>
    <n v="651.47"/>
  </r>
  <r>
    <n v="1031.06"/>
  </r>
  <r>
    <n v="1874.78"/>
  </r>
  <r>
    <n v="2249.7600000000002"/>
  </r>
  <r>
    <n v="1054.68"/>
  </r>
  <r>
    <n v="549.95000000000005"/>
  </r>
  <r>
    <n v="1248.94"/>
  </r>
  <r>
    <n v="1287.23"/>
  </r>
  <r>
    <n v="1404.2"/>
  </r>
  <r>
    <n v="552.78"/>
  </r>
  <r>
    <n v="810.68"/>
  </r>
  <r>
    <n v="108.43"/>
  </r>
  <r>
    <n v="651.95000000000005"/>
  </r>
  <r>
    <n v="965.89"/>
  </r>
  <r>
    <n v="397.8"/>
  </r>
  <r>
    <n v="781.74"/>
  </r>
  <r>
    <n v="2590.7800000000002"/>
  </r>
  <r>
    <n v="1195.8499999999999"/>
  </r>
  <r>
    <n v="572.64"/>
  </r>
  <r>
    <n v="1180.47"/>
  </r>
  <r>
    <n v="439.61"/>
  </r>
  <r>
    <n v="1371.34"/>
  </r>
  <r>
    <n v="189.55"/>
  </r>
  <r>
    <n v="344.83"/>
  </r>
  <r>
    <n v="818.19"/>
  </r>
  <r>
    <n v="52.23"/>
  </r>
  <r>
    <n v="755.07"/>
  </r>
  <r>
    <n v="127.15"/>
  </r>
  <r>
    <n v="2087.16"/>
  </r>
  <r>
    <n v="332.29"/>
  </r>
  <r>
    <n v="298.97000000000003"/>
  </r>
  <r>
    <n v="1067.6199999999999"/>
  </r>
  <r>
    <n v="156.77000000000001"/>
  </r>
  <r>
    <n v="108.13"/>
  </r>
  <r>
    <n v="203.39"/>
  </r>
  <r>
    <n v="3074.62"/>
  </r>
  <r>
    <n v="98.47"/>
  </r>
  <r>
    <n v="1336.04"/>
  </r>
  <r>
    <n v="803.26"/>
  </r>
  <r>
    <n v="128.87"/>
  </r>
  <r>
    <n v="908.73"/>
  </r>
  <r>
    <n v="361.41"/>
  </r>
  <r>
    <n v="2097.65"/>
  </r>
  <r>
    <n v="507.66"/>
  </r>
  <r>
    <n v="94.75"/>
  </r>
  <r>
    <n v="275.02999999999997"/>
  </r>
  <r>
    <n v="2363.31"/>
  </r>
  <r>
    <n v="631.66"/>
  </r>
  <r>
    <n v="486.97"/>
  </r>
  <r>
    <n v="438.25"/>
  </r>
  <r>
    <n v="722.87"/>
  </r>
  <r>
    <n v="807.7"/>
  </r>
  <r>
    <n v="593.76"/>
  </r>
  <r>
    <n v="509.97"/>
  </r>
  <r>
    <n v="845.87"/>
  </r>
  <r>
    <n v="273.68"/>
  </r>
  <r>
    <n v="417.01"/>
  </r>
  <r>
    <n v="1006.99"/>
  </r>
  <r>
    <n v="1934.32"/>
  </r>
  <r>
    <n v="295.01"/>
  </r>
  <r>
    <n v="968.94"/>
  </r>
  <r>
    <n v="265.82"/>
  </r>
  <r>
    <n v="289.39"/>
  </r>
  <r>
    <n v="899.79"/>
  </r>
  <r>
    <n v="1750.48"/>
  </r>
  <r>
    <n v="922.36"/>
  </r>
  <r>
    <n v="981.6"/>
  </r>
  <r>
    <n v="1136.17"/>
  </r>
  <r>
    <n v="450.58"/>
  </r>
  <r>
    <n v="174.5"/>
  </r>
  <r>
    <n v="165.3"/>
  </r>
  <r>
    <n v="955.4"/>
  </r>
  <r>
    <n v="285.45"/>
  </r>
  <r>
    <n v="804.34"/>
  </r>
  <r>
    <n v="365.97"/>
  </r>
  <r>
    <n v="345.2"/>
  </r>
  <r>
    <n v="574.04999999999995"/>
  </r>
  <r>
    <n v="405.89"/>
  </r>
  <r>
    <n v="907.33"/>
  </r>
  <r>
    <n v="634.03"/>
  </r>
  <r>
    <n v="249.99"/>
  </r>
  <r>
    <n v="56.97"/>
  </r>
  <r>
    <n v="1955.03"/>
  </r>
  <r>
    <n v="304.38"/>
  </r>
  <r>
    <n v="216.22"/>
  </r>
  <r>
    <n v="63.65"/>
  </r>
  <r>
    <n v="66.47"/>
  </r>
  <r>
    <n v="249.27"/>
  </r>
  <r>
    <n v="165.94"/>
  </r>
  <r>
    <n v="614.72"/>
  </r>
  <r>
    <n v="157.79"/>
  </r>
  <r>
    <n v="435.9"/>
  </r>
  <r>
    <n v="1936.97"/>
  </r>
  <r>
    <n v="1924.11"/>
  </r>
  <r>
    <n v="706.01"/>
  </r>
  <r>
    <n v="375.05"/>
  </r>
  <r>
    <n v="212.27"/>
  </r>
  <r>
    <n v="360.59"/>
  </r>
  <r>
    <n v="1534.65"/>
  </r>
  <r>
    <n v="208.11"/>
  </r>
  <r>
    <n v="669.55"/>
  </r>
  <r>
    <n v="516.16999999999996"/>
  </r>
  <r>
    <n v="148.22999999999999"/>
  </r>
  <r>
    <n v="832.98"/>
  </r>
  <r>
    <n v="1450.17"/>
  </r>
  <r>
    <n v="146.33000000000001"/>
  </r>
  <r>
    <n v="257.32"/>
  </r>
  <r>
    <n v="454.36"/>
  </r>
  <r>
    <n v="317.91000000000003"/>
  </r>
  <r>
    <n v="203.27"/>
  </r>
  <r>
    <n v="430.26"/>
  </r>
  <r>
    <n v="541.91"/>
  </r>
  <r>
    <n v="572.72"/>
  </r>
  <r>
    <n v="243.51"/>
  </r>
  <r>
    <n v="686.94"/>
  </r>
  <r>
    <n v="2315.37"/>
  </r>
  <r>
    <n v="358.53"/>
  </r>
  <r>
    <n v="346.29"/>
  </r>
  <r>
    <n v="2293.2800000000002"/>
  </r>
  <r>
    <n v="241.79"/>
  </r>
  <r>
    <n v="81.53"/>
  </r>
  <r>
    <n v="95.89"/>
  </r>
  <r>
    <n v="82.34"/>
  </r>
  <r>
    <n v="25.78"/>
  </r>
  <r>
    <n v="612.36"/>
  </r>
  <r>
    <n v="75.63"/>
  </r>
  <r>
    <n v="94.95"/>
  </r>
  <r>
    <n v="970.58"/>
  </r>
  <r>
    <n v="130.99"/>
  </r>
  <r>
    <n v="1979.25"/>
  </r>
  <r>
    <n v="229.71"/>
  </r>
  <r>
    <n v="201.27"/>
  </r>
  <r>
    <n v="537.89"/>
  </r>
  <r>
    <n v="264.56"/>
  </r>
  <r>
    <n v="243.86"/>
  </r>
  <r>
    <n v="1157.21"/>
  </r>
  <r>
    <n v="2512.92"/>
  </r>
  <r>
    <n v="412.87"/>
  </r>
  <r>
    <n v="2538.7800000000002"/>
  </r>
  <r>
    <n v="150.24"/>
  </r>
  <r>
    <n v="103.34"/>
  </r>
  <r>
    <n v="1366.4"/>
  </r>
  <r>
    <n v="279.85000000000002"/>
  </r>
  <r>
    <n v="623.16999999999996"/>
  </r>
  <r>
    <n v="794.37"/>
  </r>
  <r>
    <n v="1421.7"/>
  </r>
  <r>
    <n v="812.1"/>
  </r>
  <r>
    <n v="40.72"/>
  </r>
  <r>
    <n v="501.71"/>
  </r>
  <r>
    <n v="908.57"/>
  </r>
  <r>
    <n v="392.98"/>
  </r>
  <r>
    <n v="187"/>
  </r>
  <r>
    <n v="516.24"/>
  </r>
  <r>
    <n v="586.13"/>
  </r>
  <r>
    <n v="505.06"/>
  </r>
  <r>
    <n v="288.45999999999998"/>
  </r>
  <r>
    <n v="150.25"/>
  </r>
  <r>
    <n v="430.15"/>
  </r>
  <r>
    <n v="498"/>
  </r>
  <r>
    <n v="140.82"/>
  </r>
  <r>
    <n v="260.64999999999998"/>
  </r>
  <r>
    <n v="895.38"/>
  </r>
  <r>
    <n v="4044.33"/>
  </r>
  <r>
    <n v="337.83"/>
  </r>
  <r>
    <n v="142.44999999999999"/>
  </r>
  <r>
    <n v="515.53"/>
  </r>
  <r>
    <n v="99.43"/>
  </r>
  <r>
    <n v="85.88"/>
  </r>
  <r>
    <n v="378.63"/>
  </r>
  <r>
    <n v="70.05"/>
  </r>
  <r>
    <n v="178.68"/>
  </r>
  <r>
    <n v="347.94"/>
  </r>
  <r>
    <n v="3530.67"/>
  </r>
  <r>
    <n v="291.51"/>
  </r>
  <r>
    <n v="128.82"/>
  </r>
  <r>
    <n v="624.34"/>
  </r>
  <r>
    <n v="1262.75"/>
  </r>
  <r>
    <n v="1155.9000000000001"/>
  </r>
  <r>
    <n v="461.08"/>
  </r>
  <r>
    <n v="78.58"/>
  </r>
  <r>
    <n v="411.71"/>
  </r>
  <r>
    <n v="393.77"/>
  </r>
  <r>
    <n v="963.98"/>
  </r>
  <r>
    <n v="190.25"/>
  </r>
  <r>
    <n v="104.72"/>
  </r>
  <r>
    <n v="73.59"/>
  </r>
  <r>
    <n v="391.28"/>
  </r>
  <r>
    <n v="1501.59"/>
  </r>
  <r>
    <n v="56.32"/>
  </r>
  <r>
    <n v="695.6"/>
  </r>
  <r>
    <n v="107.92"/>
  </r>
  <r>
    <n v="612.22"/>
  </r>
  <r>
    <n v="372.79"/>
  </r>
  <r>
    <n v="1507.94"/>
  </r>
  <r>
    <n v="295.5"/>
  </r>
  <r>
    <n v="215.71"/>
  </r>
  <r>
    <n v="1257.33"/>
  </r>
  <r>
    <n v="439.12"/>
  </r>
  <r>
    <n v="112.01"/>
  </r>
  <r>
    <n v="3056.75"/>
  </r>
  <r>
    <n v="671.2"/>
  </r>
  <r>
    <n v="578.73"/>
  </r>
  <r>
    <n v="947.2"/>
  </r>
  <r>
    <n v="437.82"/>
  </r>
  <r>
    <n v="1319.79"/>
  </r>
  <r>
    <n v="905.87"/>
  </r>
  <r>
    <n v="1140.8900000000001"/>
  </r>
  <r>
    <n v="780.24"/>
  </r>
  <r>
    <n v="502.76"/>
  </r>
  <r>
    <n v="53.37"/>
  </r>
  <r>
    <n v="261.93"/>
  </r>
  <r>
    <n v="211.59"/>
  </r>
  <r>
    <n v="458.29"/>
  </r>
  <r>
    <n v="432.33"/>
  </r>
  <r>
    <n v="280.70999999999998"/>
  </r>
  <r>
    <n v="107.38"/>
  </r>
  <r>
    <n v="824.83"/>
  </r>
  <r>
    <n v="410.09"/>
  </r>
  <r>
    <n v="472.39"/>
  </r>
  <r>
    <n v="798.98"/>
  </r>
  <r>
    <n v="798.1"/>
  </r>
  <r>
    <n v="2079.86"/>
  </r>
  <r>
    <n v="499.06"/>
  </r>
  <r>
    <n v="185.71"/>
  </r>
  <r>
    <n v="809.53"/>
  </r>
  <r>
    <n v="632.73"/>
  </r>
  <r>
    <n v="226.19"/>
  </r>
  <r>
    <n v="824.02"/>
  </r>
  <r>
    <n v="942.15"/>
  </r>
  <r>
    <n v="3452.88"/>
  </r>
  <r>
    <n v="216.23"/>
  </r>
  <r>
    <n v="287.27"/>
  </r>
  <r>
    <n v="863.68"/>
  </r>
  <r>
    <n v="304.52"/>
  </r>
  <r>
    <n v="102.41"/>
  </r>
  <r>
    <n v="669.01"/>
  </r>
  <r>
    <n v="191.63"/>
  </r>
  <r>
    <n v="267.33"/>
  </r>
  <r>
    <n v="430.2"/>
  </r>
  <r>
    <n v="625.54999999999995"/>
  </r>
  <r>
    <n v="1322.59"/>
  </r>
  <r>
    <n v="554.23"/>
  </r>
  <r>
    <n v="1533.35"/>
  </r>
  <r>
    <n v="1715.91"/>
  </r>
  <r>
    <n v="1197.47"/>
  </r>
  <r>
    <n v="200.29"/>
  </r>
  <r>
    <n v="420.84"/>
  </r>
  <r>
    <n v="1481.17"/>
  </r>
  <r>
    <n v="166.02"/>
  </r>
  <r>
    <n v="1054.9100000000001"/>
  </r>
  <r>
    <n v="222.39"/>
  </r>
  <r>
    <n v="222.4"/>
  </r>
  <r>
    <n v="28.29"/>
  </r>
  <r>
    <n v="87.76"/>
  </r>
  <r>
    <n v="717.16"/>
  </r>
  <r>
    <n v="455.34"/>
  </r>
  <r>
    <n v="234.02"/>
  </r>
  <r>
    <n v="898.2"/>
  </r>
  <r>
    <n v="99.21"/>
  </r>
  <r>
    <n v="716.85"/>
  </r>
  <r>
    <n v="386.71"/>
  </r>
  <r>
    <n v="754.17"/>
  </r>
  <r>
    <n v="2077"/>
  </r>
  <r>
    <n v="356.29"/>
  </r>
  <r>
    <n v="158.66"/>
  </r>
  <r>
    <n v="653.80999999999995"/>
  </r>
  <r>
    <n v="1102.28"/>
  </r>
  <r>
    <n v="1300.79"/>
  </r>
  <r>
    <n v="175.67"/>
  </r>
  <r>
    <n v="67.23"/>
  </r>
  <r>
    <n v="74.08"/>
  </r>
  <r>
    <n v="497.23"/>
  </r>
  <r>
    <n v="2340.39"/>
  </r>
  <r>
    <n v="2116.16"/>
  </r>
  <r>
    <n v="1156.0999999999999"/>
  </r>
  <r>
    <n v="10.89"/>
  </r>
  <r>
    <n v="247.2"/>
  </r>
  <r>
    <n v="1104.0899999999999"/>
  </r>
  <r>
    <n v="280.95999999999998"/>
  </r>
  <r>
    <n v="1395.31"/>
  </r>
  <r>
    <n v="727.88"/>
  </r>
  <r>
    <n v="734.25"/>
  </r>
  <r>
    <n v="1835.22"/>
  </r>
  <r>
    <n v="1715"/>
  </r>
  <r>
    <n v="487.42"/>
  </r>
  <r>
    <n v="80.58"/>
  </r>
  <r>
    <n v="70.819999999999993"/>
  </r>
  <r>
    <n v="897.77"/>
  </r>
  <r>
    <n v="200.98"/>
  </r>
  <r>
    <n v="137.33000000000001"/>
  </r>
  <r>
    <n v="312.39999999999998"/>
  </r>
  <r>
    <n v="1489.44"/>
  </r>
  <r>
    <n v="163.4"/>
  </r>
  <r>
    <n v="238.19"/>
  </r>
  <r>
    <n v="446.3"/>
  </r>
  <r>
    <n v="102.37"/>
  </r>
  <r>
    <n v="115.07"/>
  </r>
  <r>
    <n v="942.97"/>
  </r>
  <r>
    <n v="1321.87"/>
  </r>
  <r>
    <n v="1002.14"/>
  </r>
  <r>
    <n v="1770.95"/>
  </r>
  <r>
    <n v="68.91"/>
  </r>
  <r>
    <n v="222.25"/>
  </r>
  <r>
    <n v="136.03"/>
  </r>
  <r>
    <n v="723.5"/>
  </r>
  <r>
    <n v="2302.37"/>
  </r>
  <r>
    <n v="1564.3"/>
  </r>
  <r>
    <n v="357.4"/>
  </r>
  <r>
    <n v="488.69"/>
  </r>
  <r>
    <n v="120.58"/>
  </r>
  <r>
    <n v="95.36"/>
  </r>
  <r>
    <n v="1189.1099999999999"/>
  </r>
  <r>
    <n v="173.87"/>
  </r>
  <r>
    <n v="1653.34"/>
  </r>
  <r>
    <n v="1403.77"/>
  </r>
  <r>
    <n v="180.54"/>
  </r>
  <r>
    <n v="99.58"/>
  </r>
  <r>
    <n v="1893.67"/>
  </r>
  <r>
    <n v="471.29"/>
  </r>
  <r>
    <n v="677.94"/>
  </r>
  <r>
    <n v="140.07"/>
  </r>
  <r>
    <n v="1666.06"/>
  </r>
  <r>
    <n v="52.32"/>
  </r>
  <r>
    <n v="51.62"/>
  </r>
  <r>
    <n v="214.72"/>
  </r>
  <r>
    <n v="314.35000000000002"/>
  </r>
  <r>
    <n v="667.72"/>
  </r>
  <r>
    <n v="1058.4000000000001"/>
  </r>
  <r>
    <n v="241.99"/>
  </r>
  <r>
    <n v="734.68"/>
  </r>
  <r>
    <n v="316.77999999999997"/>
  </r>
  <r>
    <n v="836.66"/>
  </r>
  <r>
    <n v="66.989999999999995"/>
  </r>
  <r>
    <n v="376.02"/>
  </r>
  <r>
    <n v="752.44"/>
  </r>
  <r>
    <n v="1242.29"/>
  </r>
  <r>
    <n v="1221.26"/>
  </r>
  <r>
    <n v="823.5"/>
  </r>
  <r>
    <n v="757.19"/>
  </r>
  <r>
    <n v="76.34"/>
  </r>
  <r>
    <n v="338.33"/>
  </r>
  <r>
    <n v="1144.23"/>
  </r>
  <r>
    <n v="516.66999999999996"/>
  </r>
  <r>
    <n v="38.93"/>
  </r>
  <r>
    <n v="193.82"/>
  </r>
  <r>
    <n v="438.58"/>
  </r>
  <r>
    <n v="404.52"/>
  </r>
  <r>
    <n v="1205.33"/>
  </r>
  <r>
    <n v="384.75"/>
  </r>
  <r>
    <n v="232.18"/>
  </r>
  <r>
    <n v="644.24"/>
  </r>
  <r>
    <n v="1005.84"/>
  </r>
  <r>
    <n v="191.19"/>
  </r>
  <r>
    <n v="1454.45"/>
  </r>
  <r>
    <n v="1976.75"/>
  </r>
  <r>
    <n v="1526.41"/>
  </r>
  <r>
    <n v="779.13"/>
  </r>
  <r>
    <n v="409.14"/>
  </r>
  <r>
    <n v="248.75"/>
  </r>
  <r>
    <n v="867.85"/>
  </r>
  <r>
    <n v="2078.2399999999998"/>
  </r>
  <r>
    <n v="183.51"/>
  </r>
  <r>
    <n v="919.56"/>
  </r>
  <r>
    <n v="141.96"/>
  </r>
  <r>
    <n v="42.9"/>
  </r>
  <r>
    <n v="2000.97"/>
  </r>
  <r>
    <n v="426.28"/>
  </r>
  <r>
    <n v="1169.5999999999999"/>
  </r>
  <r>
    <n v="233"/>
  </r>
  <r>
    <n v="1648.2"/>
  </r>
  <r>
    <n v="270.74"/>
  </r>
  <r>
    <n v="149.69"/>
  </r>
  <r>
    <n v="358.87"/>
  </r>
  <r>
    <n v="91.21"/>
  </r>
  <r>
    <n v="1117.8499999999999"/>
  </r>
  <r>
    <n v="1076.3599999999999"/>
  </r>
  <r>
    <n v="2601.56"/>
  </r>
  <r>
    <n v="109.91"/>
  </r>
  <r>
    <n v="335.5"/>
  </r>
  <r>
    <n v="53.96"/>
  </r>
  <r>
    <n v="1236.45"/>
  </r>
  <r>
    <n v="818.64"/>
  </r>
  <r>
    <n v="546.29999999999995"/>
  </r>
  <r>
    <n v="143.65"/>
  </r>
  <r>
    <n v="348.36"/>
  </r>
  <r>
    <n v="284.85000000000002"/>
  </r>
  <r>
    <n v="361.35"/>
  </r>
  <r>
    <n v="2752.59"/>
  </r>
  <r>
    <n v="1372.43"/>
  </r>
  <r>
    <n v="328.41"/>
  </r>
  <r>
    <n v="212.09"/>
  </r>
  <r>
    <n v="259.33999999999997"/>
  </r>
  <r>
    <n v="785.52"/>
  </r>
  <r>
    <n v="800.15"/>
  </r>
  <r>
    <n v="72.48"/>
  </r>
  <r>
    <n v="579.57000000000005"/>
  </r>
  <r>
    <n v="1129.8699999999999"/>
  </r>
  <r>
    <n v="417.64"/>
  </r>
  <r>
    <n v="67.69"/>
  </r>
  <r>
    <n v="624.83000000000004"/>
  </r>
  <r>
    <n v="2814.72"/>
  </r>
  <r>
    <n v="478.99"/>
  </r>
  <r>
    <n v="92.36"/>
  </r>
  <r>
    <n v="152.04"/>
  </r>
  <r>
    <n v="342.14"/>
  </r>
  <r>
    <n v="205.32"/>
  </r>
  <r>
    <n v="588.44000000000005"/>
  </r>
  <r>
    <n v="335.2"/>
  </r>
  <r>
    <n v="321.82"/>
  </r>
  <r>
    <n v="284.01"/>
  </r>
  <r>
    <n v="196.8"/>
  </r>
  <r>
    <n v="506.29"/>
  </r>
  <r>
    <n v="653.04999999999995"/>
  </r>
  <r>
    <n v="326.14"/>
  </r>
  <r>
    <n v="290.74"/>
  </r>
  <r>
    <n v="173.66"/>
  </r>
  <r>
    <n v="133.4"/>
  </r>
  <r>
    <n v="70.459999999999994"/>
  </r>
  <r>
    <n v="140.06"/>
  </r>
  <r>
    <n v="1978.88"/>
  </r>
  <r>
    <n v="218.5"/>
  </r>
  <r>
    <n v="573.4"/>
  </r>
  <r>
    <n v="187.52"/>
  </r>
  <r>
    <n v="413.26"/>
  </r>
  <r>
    <n v="1693.93"/>
  </r>
  <r>
    <n v="803.66"/>
  </r>
  <r>
    <n v="3892.55"/>
  </r>
  <r>
    <n v="499.78"/>
  </r>
  <r>
    <n v="1723.1"/>
  </r>
  <r>
    <n v="256.85000000000002"/>
  </r>
  <r>
    <n v="521.67999999999995"/>
  </r>
  <r>
    <n v="160.55000000000001"/>
  </r>
  <r>
    <n v="893.26"/>
  </r>
  <r>
    <n v="1349.14"/>
  </r>
  <r>
    <n v="510.73"/>
  </r>
  <r>
    <n v="74.239999999999995"/>
  </r>
  <r>
    <n v="839.27"/>
  </r>
  <r>
    <n v="501.27"/>
  </r>
  <r>
    <n v="465.37"/>
  </r>
  <r>
    <n v="1665.32"/>
  </r>
  <r>
    <n v="799.37"/>
  </r>
  <r>
    <n v="74.14"/>
  </r>
  <r>
    <n v="88.93"/>
  </r>
  <r>
    <n v="588.92999999999995"/>
  </r>
  <r>
    <n v="293.39"/>
  </r>
  <r>
    <n v="472.29"/>
  </r>
  <r>
    <n v="300.47000000000003"/>
  </r>
  <r>
    <n v="53.38"/>
  </r>
  <r>
    <n v="179.4"/>
  </r>
  <r>
    <n v="910.9"/>
  </r>
  <r>
    <n v="1197.94"/>
  </r>
  <r>
    <n v="705.7"/>
  </r>
  <r>
    <n v="539.09"/>
  </r>
  <r>
    <n v="55.51"/>
  </r>
  <r>
    <n v="44.92"/>
  </r>
  <r>
    <n v="262.10000000000002"/>
  </r>
  <r>
    <n v="2292.65"/>
  </r>
  <r>
    <n v="363.38"/>
  </r>
  <r>
    <n v="1184.94"/>
  </r>
  <r>
    <n v="876.45"/>
  </r>
  <r>
    <n v="659.67"/>
  </r>
  <r>
    <n v="55.69"/>
  </r>
  <r>
    <n v="989.97"/>
  </r>
  <r>
    <n v="675.83"/>
  </r>
  <r>
    <n v="1586.64"/>
  </r>
  <r>
    <n v="946.33"/>
  </r>
  <r>
    <n v="226.08"/>
  </r>
  <r>
    <n v="1680.98"/>
  </r>
  <r>
    <n v="182.53"/>
  </r>
  <r>
    <n v="305.61"/>
  </r>
  <r>
    <n v="690.45"/>
  </r>
  <r>
    <n v="794.85"/>
  </r>
  <r>
    <n v="300.94"/>
  </r>
  <r>
    <n v="500.35"/>
  </r>
  <r>
    <n v="1754.87"/>
  </r>
  <r>
    <n v="502.63"/>
  </r>
  <r>
    <n v="552.21"/>
  </r>
  <r>
    <n v="1091.53"/>
  </r>
  <r>
    <n v="983.75"/>
  </r>
  <r>
    <n v="805.92"/>
  </r>
  <r>
    <n v="399.48"/>
  </r>
  <r>
    <n v="111.51"/>
  </r>
  <r>
    <n v="200.27"/>
  </r>
  <r>
    <n v="1909.54"/>
  </r>
  <r>
    <n v="495.67"/>
  </r>
  <r>
    <n v="611.62"/>
  </r>
  <r>
    <n v="1116.1400000000001"/>
  </r>
  <r>
    <n v="296.75"/>
  </r>
  <r>
    <n v="340.33"/>
  </r>
  <r>
    <n v="955.66"/>
  </r>
  <r>
    <n v="820.54"/>
  </r>
  <r>
    <n v="1020.26"/>
  </r>
  <r>
    <n v="169.1"/>
  </r>
  <r>
    <n v="1117.0899999999999"/>
  </r>
  <r>
    <n v="141.38"/>
  </r>
  <r>
    <n v="1467.37"/>
  </r>
  <r>
    <n v="486.23"/>
  </r>
  <r>
    <n v="469.73"/>
  </r>
  <r>
    <n v="928.17"/>
  </r>
  <r>
    <n v="460.27"/>
  </r>
  <r>
    <n v="1188.54"/>
  </r>
  <r>
    <n v="1381.16"/>
  </r>
  <r>
    <n v="179.14"/>
  </r>
  <r>
    <n v="1633.95"/>
  </r>
  <r>
    <n v="864.94"/>
  </r>
  <r>
    <n v="1412.52"/>
  </r>
  <r>
    <n v="442.02"/>
  </r>
  <r>
    <n v="141.61000000000001"/>
  </r>
  <r>
    <n v="1936.89"/>
  </r>
  <r>
    <n v="1598.71"/>
  </r>
  <r>
    <n v="195.79"/>
  </r>
  <r>
    <n v="602.45000000000005"/>
  </r>
  <r>
    <n v="809.44"/>
  </r>
  <r>
    <n v="234.19"/>
  </r>
  <r>
    <n v="945.75"/>
  </r>
  <r>
    <n v="651.08000000000004"/>
  </r>
  <r>
    <n v="1075.51"/>
  </r>
  <r>
    <n v="106.43"/>
  </r>
  <r>
    <n v="227.88"/>
  </r>
  <r>
    <n v="3065.99"/>
  </r>
  <r>
    <n v="3043.46"/>
  </r>
  <r>
    <n v="102.68"/>
  </r>
  <r>
    <n v="852.86"/>
  </r>
  <r>
    <n v="297.99"/>
  </r>
  <r>
    <n v="553.41999999999996"/>
  </r>
  <r>
    <n v="550.69000000000005"/>
  </r>
  <r>
    <n v="3359.62"/>
  </r>
  <r>
    <n v="326.77"/>
  </r>
  <r>
    <n v="294.75"/>
  </r>
  <r>
    <n v="776.96"/>
  </r>
  <r>
    <n v="262.06"/>
  </r>
  <r>
    <n v="444.3"/>
  </r>
  <r>
    <n v="346.02"/>
  </r>
  <r>
    <n v="856.08"/>
  </r>
  <r>
    <n v="2096.96"/>
  </r>
  <r>
    <n v="780.02"/>
  </r>
  <r>
    <n v="829.5"/>
  </r>
  <r>
    <n v="733.61"/>
  </r>
  <r>
    <n v="174.34"/>
  </r>
  <r>
    <n v="44.68"/>
  </r>
  <r>
    <n v="425.77"/>
  </r>
  <r>
    <n v="347.48"/>
  </r>
  <r>
    <n v="570.20000000000005"/>
  </r>
  <r>
    <n v="570.04999999999995"/>
  </r>
  <r>
    <n v="1583.17"/>
  </r>
  <r>
    <n v="749.4"/>
  </r>
  <r>
    <n v="104.35"/>
  </r>
  <r>
    <n v="117.17"/>
  </r>
  <r>
    <n v="835.33"/>
  </r>
  <r>
    <n v="1993.84"/>
  </r>
  <r>
    <n v="556.46"/>
  </r>
  <r>
    <n v="237.59"/>
  </r>
  <r>
    <n v="93.64"/>
  </r>
  <r>
    <n v="563.84"/>
  </r>
  <r>
    <n v="1283.9000000000001"/>
  </r>
  <r>
    <n v="306.25"/>
  </r>
  <r>
    <n v="1663.24"/>
  </r>
  <r>
    <n v="554.11"/>
  </r>
  <r>
    <n v="736.14"/>
  </r>
  <r>
    <n v="180.26"/>
  </r>
  <r>
    <n v="386.71"/>
  </r>
  <r>
    <n v="336.82"/>
  </r>
  <r>
    <n v="374.55"/>
  </r>
  <r>
    <n v="869.55"/>
  </r>
  <r>
    <n v="2157.83"/>
  </r>
  <r>
    <n v="327.16000000000003"/>
  </r>
  <r>
    <n v="399"/>
  </r>
  <r>
    <n v="908.04"/>
  </r>
  <r>
    <n v="95.24"/>
  </r>
  <r>
    <n v="68.72"/>
  </r>
  <r>
    <n v="140.68"/>
  </r>
  <r>
    <n v="352.18"/>
  </r>
  <r>
    <n v="2114.42"/>
  </r>
  <r>
    <n v="841.74"/>
  </r>
  <r>
    <n v="279.8"/>
  </r>
  <r>
    <n v="335.09"/>
  </r>
  <r>
    <n v="146.04"/>
  </r>
  <r>
    <n v="577.5"/>
  </r>
  <r>
    <n v="519.14"/>
  </r>
  <r>
    <n v="137.13"/>
  </r>
  <r>
    <n v="199.22"/>
  </r>
  <r>
    <n v="955.68"/>
  </r>
  <r>
    <n v="274.35000000000002"/>
  </r>
  <r>
    <n v="648.48"/>
  </r>
  <r>
    <n v="2122.98"/>
  </r>
  <r>
    <n v="2130.5700000000002"/>
  </r>
  <r>
    <n v="737.69"/>
  </r>
  <r>
    <n v="1010.97"/>
  </r>
  <r>
    <n v="474.95"/>
  </r>
  <r>
    <n v="226.87"/>
  </r>
  <r>
    <n v="42.83"/>
  </r>
  <r>
    <n v="2484.9699999999998"/>
  </r>
  <r>
    <n v="84.47"/>
  </r>
  <r>
    <n v="2237.8000000000002"/>
  </r>
  <r>
    <n v="82.31"/>
  </r>
  <r>
    <n v="1425.47"/>
  </r>
  <r>
    <n v="727.52"/>
  </r>
  <r>
    <n v="262.43"/>
  </r>
  <r>
    <n v="170"/>
  </r>
  <r>
    <n v="78.709999999999994"/>
  </r>
  <r>
    <n v="489.59"/>
  </r>
  <r>
    <n v="422.15"/>
  </r>
  <r>
    <n v="81.67"/>
  </r>
  <r>
    <n v="796.8"/>
  </r>
  <r>
    <n v="437.36"/>
  </r>
  <r>
    <n v="890.82"/>
  </r>
  <r>
    <n v="276.37"/>
  </r>
  <r>
    <n v="249.14"/>
  </r>
  <r>
    <n v="160.6"/>
  </r>
  <r>
    <n v="35.25"/>
  </r>
  <r>
    <n v="151.02000000000001"/>
  </r>
  <r>
    <n v="1264.83"/>
  </r>
  <r>
    <n v="46.25"/>
  </r>
  <r>
    <n v="1365.38"/>
  </r>
  <r>
    <n v="722.81"/>
  </r>
  <r>
    <n v="688.09"/>
  </r>
  <r>
    <n v="2503.6"/>
  </r>
  <r>
    <n v="482.3"/>
  </r>
  <r>
    <n v="270.97000000000003"/>
  </r>
  <r>
    <n v="2692.54"/>
  </r>
  <r>
    <n v="110.46"/>
  </r>
  <r>
    <n v="992.09"/>
  </r>
  <r>
    <n v="1813.43"/>
  </r>
  <r>
    <n v="694.19"/>
  </r>
  <r>
    <n v="47.68"/>
  </r>
  <r>
    <n v="549.17999999999995"/>
  </r>
  <r>
    <n v="1052.79"/>
  </r>
  <r>
    <n v="22.49"/>
  </r>
  <r>
    <n v="341"/>
  </r>
  <r>
    <n v="235.03"/>
  </r>
  <r>
    <n v="145.09"/>
  </r>
  <r>
    <n v="1196.26"/>
  </r>
  <r>
    <n v="645.46"/>
  </r>
  <r>
    <n v="2050.6799999999998"/>
  </r>
  <r>
    <n v="2236.56"/>
  </r>
  <r>
    <n v="1243.8499999999999"/>
  </r>
  <r>
    <n v="556.62"/>
  </r>
  <r>
    <n v="1147.53"/>
  </r>
  <r>
    <n v="208.99"/>
  </r>
  <r>
    <n v="645.59"/>
  </r>
  <r>
    <n v="258.10000000000002"/>
  </r>
  <r>
    <n v="1017.9"/>
  </r>
  <r>
    <n v="666.36"/>
  </r>
  <r>
    <n v="935.8"/>
  </r>
  <r>
    <n v="1330.41"/>
  </r>
  <r>
    <n v="254.55"/>
  </r>
  <r>
    <n v="555.17999999999995"/>
  </r>
  <r>
    <n v="520.75"/>
  </r>
  <r>
    <n v="219.38"/>
  </r>
  <r>
    <n v="903.11"/>
  </r>
  <r>
    <n v="1279.6099999999999"/>
  </r>
  <r>
    <n v="93.63"/>
  </r>
  <r>
    <n v="1298.6199999999999"/>
  </r>
  <r>
    <n v="234.81"/>
  </r>
  <r>
    <n v="1088.74"/>
  </r>
  <r>
    <n v="434.92"/>
  </r>
  <r>
    <n v="177.21"/>
  </r>
  <r>
    <n v="22.09"/>
  </r>
  <r>
    <n v="148.99"/>
  </r>
  <r>
    <n v="166.77"/>
  </r>
  <r>
    <n v="62.91"/>
  </r>
  <r>
    <n v="782.56"/>
  </r>
  <r>
    <n v="172.11"/>
  </r>
  <r>
    <n v="416.86"/>
  </r>
  <r>
    <n v="1184.03"/>
  </r>
  <r>
    <n v="2074.2800000000002"/>
  </r>
  <r>
    <n v="76.23"/>
  </r>
  <r>
    <n v="476.6"/>
  </r>
  <r>
    <n v="322.92"/>
  </r>
  <r>
    <n v="183.03"/>
  </r>
  <r>
    <n v="1221.69"/>
  </r>
  <r>
    <n v="230.44"/>
  </r>
  <r>
    <n v="818.96"/>
  </r>
  <r>
    <n v="796.14"/>
  </r>
  <r>
    <n v="108.23"/>
  </r>
  <r>
    <n v="563.72"/>
  </r>
  <r>
    <n v="1930.27"/>
  </r>
  <r>
    <n v="248.42"/>
  </r>
  <r>
    <n v="225.15"/>
  </r>
  <r>
    <n v="569.9"/>
  </r>
  <r>
    <n v="751.97"/>
  </r>
  <r>
    <n v="889.19"/>
  </r>
  <r>
    <n v="133.56"/>
  </r>
  <r>
    <n v="1266.48"/>
  </r>
  <r>
    <n v="538.96"/>
  </r>
  <r>
    <n v="692.83"/>
  </r>
  <r>
    <n v="1287.47"/>
  </r>
  <r>
    <n v="491.6"/>
  </r>
  <r>
    <n v="213.39"/>
  </r>
  <r>
    <n v="625.66999999999996"/>
  </r>
  <r>
    <n v="589.19000000000005"/>
  </r>
  <r>
    <n v="677.41"/>
  </r>
  <r>
    <n v="627.5"/>
  </r>
  <r>
    <n v="767.39"/>
  </r>
  <r>
    <n v="717.44"/>
  </r>
  <r>
    <n v="820.47"/>
  </r>
  <r>
    <n v="1697.4"/>
  </r>
  <r>
    <n v="213.32"/>
  </r>
  <r>
    <n v="155.97999999999999"/>
  </r>
  <r>
    <n v="756.37"/>
  </r>
  <r>
    <n v="2022.04"/>
  </r>
  <r>
    <n v="216.06"/>
  </r>
  <r>
    <n v="106.86"/>
  </r>
  <r>
    <n v="898.54"/>
  </r>
  <r>
    <n v="255.84"/>
  </r>
  <r>
    <n v="158.77000000000001"/>
  </r>
  <r>
    <n v="125.21"/>
  </r>
  <r>
    <n v="696.09"/>
  </r>
  <r>
    <n v="76.08"/>
  </r>
  <r>
    <n v="139.36000000000001"/>
  </r>
  <r>
    <n v="402.86"/>
  </r>
  <r>
    <n v="679.56"/>
  </r>
  <r>
    <n v="2191.15"/>
  </r>
  <r>
    <n v="465.92"/>
  </r>
  <r>
    <n v="1383.81"/>
  </r>
  <r>
    <n v="924"/>
  </r>
  <r>
    <n v="629.6"/>
  </r>
  <r>
    <n v="1178.2"/>
  </r>
  <r>
    <n v="516.08000000000004"/>
  </r>
  <r>
    <n v="824.91"/>
  </r>
  <r>
    <n v="1283.49"/>
  </r>
  <r>
    <n v="731.96"/>
  </r>
  <r>
    <n v="31.44"/>
  </r>
  <r>
    <n v="316.01"/>
  </r>
  <r>
    <n v="1185.3800000000001"/>
  </r>
  <r>
    <n v="316.36"/>
  </r>
  <r>
    <n v="42.99"/>
  </r>
  <r>
    <n v="983.54"/>
  </r>
  <r>
    <n v="1428.42"/>
  </r>
  <r>
    <n v="927.62"/>
  </r>
  <r>
    <n v="1560.47"/>
  </r>
  <r>
    <n v="270.42"/>
  </r>
  <r>
    <n v="620.02"/>
  </r>
  <r>
    <n v="198.9"/>
  </r>
  <r>
    <n v="216"/>
  </r>
  <r>
    <n v="382.32"/>
  </r>
  <r>
    <n v="1064.1400000000001"/>
  </r>
  <r>
    <n v="1086.23"/>
  </r>
  <r>
    <n v="147.22999999999999"/>
  </r>
  <r>
    <n v="879.18"/>
  </r>
  <r>
    <n v="1673.58"/>
  </r>
  <r>
    <n v="164.79"/>
  </r>
  <r>
    <n v="1893.69"/>
  </r>
  <r>
    <n v="877.84"/>
  </r>
  <r>
    <n v="640.88"/>
  </r>
  <r>
    <n v="115.57"/>
  </r>
  <r>
    <n v="821.55"/>
  </r>
  <r>
    <n v="997.88"/>
  </r>
  <r>
    <n v="409.3"/>
  </r>
  <r>
    <n v="621.52"/>
  </r>
  <r>
    <n v="319.37"/>
  </r>
  <r>
    <n v="92.22"/>
  </r>
  <r>
    <n v="687.94"/>
  </r>
  <r>
    <n v="1246.93"/>
  </r>
  <r>
    <n v="731.76"/>
  </r>
  <r>
    <n v="433.23"/>
  </r>
  <r>
    <n v="387.31"/>
  </r>
  <r>
    <n v="1499.61"/>
  </r>
  <r>
    <n v="1045.74"/>
  </r>
  <r>
    <n v="236.89"/>
  </r>
  <r>
    <n v="1115.99"/>
  </r>
  <r>
    <n v="529.28"/>
  </r>
  <r>
    <n v="48.27"/>
  </r>
  <r>
    <n v="206.51"/>
  </r>
  <r>
    <n v="452.98"/>
  </r>
  <r>
    <n v="2704.65"/>
  </r>
  <r>
    <n v="339"/>
  </r>
  <r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819"/>
  </r>
  <r>
    <x v="820"/>
  </r>
  <r>
    <x v="821"/>
  </r>
  <r>
    <x v="822"/>
  </r>
  <r>
    <x v="823"/>
  </r>
  <r>
    <x v="824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834"/>
  </r>
  <r>
    <x v="835"/>
  </r>
  <r>
    <x v="836"/>
  </r>
  <r>
    <x v="837"/>
  </r>
  <r>
    <x v="838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883"/>
  </r>
  <r>
    <x v="884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926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38"/>
  </r>
  <r>
    <x v="939"/>
  </r>
  <r>
    <x v="940"/>
  </r>
  <r>
    <x v="941"/>
  </r>
  <r>
    <x v="942"/>
  </r>
  <r>
    <x v="943"/>
  </r>
  <r>
    <x v="944"/>
  </r>
  <r>
    <x v="945"/>
  </r>
  <r>
    <x v="946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966"/>
  </r>
  <r>
    <x v="967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980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990"/>
  </r>
  <r>
    <x v="991"/>
  </r>
  <r>
    <x v="992"/>
  </r>
  <r>
    <x v="993"/>
  </r>
  <r>
    <x v="994"/>
  </r>
  <r>
    <x v="995"/>
  </r>
  <r>
    <x v="996"/>
  </r>
  <r>
    <x v="997"/>
  </r>
  <r>
    <x v="998"/>
  </r>
  <r>
    <x v="999"/>
  </r>
  <r>
    <x v="10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0.21433734614189398"/>
  </r>
  <r>
    <n v="0.23835393048706208"/>
  </r>
  <r>
    <n v="8.0643889470897678E-2"/>
  </r>
  <r>
    <n v="0.16671744097486674"/>
  </r>
  <r>
    <n v="0.12452101934523808"/>
  </r>
  <r>
    <n v="0.14457697591129864"/>
  </r>
  <r>
    <n v="0.10310460607207036"/>
  </r>
  <r>
    <n v="8.9911336833950237E-2"/>
  </r>
  <r>
    <n v="0.15477582505802895"/>
  </r>
  <r>
    <n v="0.1973398442712522"/>
  </r>
  <r>
    <n v="6.9717081518698501E-2"/>
  </r>
  <r>
    <n v="0.1089301722904001"/>
  </r>
  <r>
    <n v="6.4165928985934886E-2"/>
  </r>
  <r>
    <n v="7.662345954919865E-2"/>
  </r>
  <r>
    <n v="0.12618218734972195"/>
  </r>
  <r>
    <n v="8.5526635855023098E-2"/>
  </r>
  <r>
    <n v="0.14642669388007545"/>
  </r>
  <r>
    <n v="0.20369500331638293"/>
  </r>
  <r>
    <n v="0.1187012281561759"/>
  </r>
  <r>
    <n v="4.6236858067124943E-2"/>
  </r>
  <r>
    <n v="4.2356685529867565E-2"/>
  </r>
  <r>
    <n v="0.12912854130844181"/>
  </r>
  <r>
    <n v="5.0026864844381853E-2"/>
  </r>
  <r>
    <n v="4.967699886901681E-2"/>
  </r>
  <r>
    <n v="0.13052926361346753"/>
  </r>
  <r>
    <n v="8.9016351063142235E-2"/>
  </r>
  <r>
    <n v="0.12078749235983777"/>
  </r>
  <r>
    <n v="5.134147715384739E-2"/>
  </r>
  <r>
    <n v="7.126565713217424E-2"/>
  </r>
  <r>
    <n v="0.21399028205735957"/>
  </r>
  <r>
    <n v="9.8298993337195814E-2"/>
  </r>
  <r>
    <n v="7.8534691524120695E-2"/>
  </r>
  <r>
    <n v="0.18305421198311295"/>
  </r>
  <r>
    <n v="0.20946101492819241"/>
  </r>
  <r>
    <n v="0.16591516855029181"/>
  </r>
  <r>
    <n v="0.22153710558787237"/>
  </r>
  <r>
    <n v="5.5753319222628439E-2"/>
  </r>
  <r>
    <n v="7.6730622216757458E-2"/>
  </r>
  <r>
    <n v="0.19170634338476861"/>
  </r>
  <r>
    <n v="0.12974269462386182"/>
  </r>
  <r>
    <n v="0.13727227273389223"/>
  </r>
  <r>
    <n v="0.17854065126792398"/>
  </r>
  <r>
    <n v="0.14746035828844642"/>
  </r>
  <r>
    <n v="0.17536463241395803"/>
  </r>
  <r>
    <n v="7.7600088138580964E-2"/>
  </r>
  <r>
    <n v="9.5604713917643663E-2"/>
  </r>
  <r>
    <n v="0.20003899938715247"/>
  </r>
  <r>
    <n v="0.19213528611141764"/>
  </r>
  <r>
    <n v="0.15866670591583018"/>
  </r>
  <r>
    <n v="0.23861288412186615"/>
  </r>
  <r>
    <n v="0.19578109830737411"/>
  </r>
  <r>
    <n v="8.4619461248125749E-2"/>
  </r>
  <r>
    <n v="3.6713644684027651E-2"/>
  </r>
  <r>
    <n v="0.1723829079273522"/>
  </r>
  <r>
    <n v="0.23427279963928058"/>
  </r>
  <r>
    <n v="0.12740144691244754"/>
  </r>
  <r>
    <n v="0.14575374994469109"/>
  </r>
  <r>
    <n v="7.2520823590807124E-2"/>
  </r>
  <r>
    <n v="0.13257144649466338"/>
  </r>
  <r>
    <n v="8.2795583003496029E-2"/>
  </r>
  <r>
    <n v="0.10802019068984857"/>
  </r>
  <r>
    <n v="0.14163311722262889"/>
  </r>
  <r>
    <n v="0.22415722013782388"/>
  </r>
  <r>
    <n v="0.15908286002859501"/>
  </r>
  <r>
    <n v="0.1420169721106313"/>
  </r>
  <r>
    <n v="7.4251825587775946E-2"/>
  </r>
  <r>
    <n v="4.3181914510352422E-2"/>
  </r>
  <r>
    <n v="0.21659090666581302"/>
  </r>
  <r>
    <n v="0.17524661286022447"/>
  </r>
  <r>
    <n v="0.10295704625244456"/>
  </r>
  <r>
    <n v="0.11196546066371932"/>
  </r>
  <r>
    <n v="0.15165931770712462"/>
  </r>
  <r>
    <n v="5.5958896164837131E-2"/>
  </r>
  <r>
    <n v="0.20939496642633251"/>
  </r>
  <r>
    <n v="0.14533505709976299"/>
  </r>
  <r>
    <n v="5.180899523535263E-2"/>
  </r>
  <r>
    <n v="0.11721501438341975"/>
  </r>
  <r>
    <n v="0.17842284544854792"/>
  </r>
  <r>
    <n v="0.12809131611186025"/>
  </r>
  <r>
    <n v="0.1053553657322939"/>
  </r>
  <r>
    <n v="4.1160303191655964E-2"/>
  </r>
  <r>
    <n v="0.18027787875116119"/>
  </r>
  <r>
    <n v="8.4360831664577002E-2"/>
  </r>
  <r>
    <n v="6.0652966102029207E-2"/>
  </r>
  <r>
    <n v="0.12782996498476612"/>
  </r>
  <r>
    <n v="5.8184742274125609E-2"/>
  </r>
  <r>
    <n v="0.1533377243156423"/>
  </r>
  <r>
    <n v="0.10003523687426434"/>
  </r>
  <r>
    <n v="0.19253159193640046"/>
  </r>
  <r>
    <n v="0.1574067414547719"/>
  </r>
  <r>
    <n v="0.11197590258962099"/>
  </r>
  <r>
    <n v="0.13472648756187483"/>
  </r>
  <r>
    <n v="0.10063665419624708"/>
  </r>
  <r>
    <n v="0.22930841656263004"/>
  </r>
  <r>
    <n v="0.22083872711079203"/>
  </r>
  <r>
    <n v="6.5260126177196676E-2"/>
  </r>
  <r>
    <n v="6.3163647720174895E-2"/>
  </r>
  <r>
    <n v="6.5026676883345402E-2"/>
  </r>
  <r>
    <n v="7.4852590163853316E-2"/>
  </r>
  <r>
    <n v="0.13306291036947823"/>
  </r>
  <r>
    <n v="0.18938839304076011"/>
  </r>
  <r>
    <n v="0.16653265433753237"/>
  </r>
  <r>
    <n v="3.6815574116257486E-2"/>
  </r>
  <r>
    <n v="6.3125470600314884E-2"/>
  </r>
  <r>
    <n v="0.10572895049001931"/>
  </r>
  <r>
    <n v="0.1670399782800516"/>
  </r>
  <r>
    <n v="0.12169724948097332"/>
  </r>
  <r>
    <n v="0.21822944840270156"/>
  </r>
  <r>
    <n v="0.20448477206063764"/>
  </r>
  <r>
    <n v="0.18384967825894008"/>
  </r>
  <r>
    <n v="0.12268188742314073"/>
  </r>
  <r>
    <n v="0.1355625479740343"/>
  </r>
  <r>
    <n v="0.10351649557352206"/>
  </r>
  <r>
    <n v="5.1034683765665986E-2"/>
  </r>
  <r>
    <n v="0.17338570370979683"/>
  </r>
  <r>
    <n v="0.22236055405627037"/>
  </r>
  <r>
    <n v="0.17480082805344707"/>
  </r>
  <r>
    <n v="0.1013613694568001"/>
  </r>
  <r>
    <n v="5.9926256806047476E-2"/>
  </r>
  <r>
    <n v="0.17068345323741008"/>
  </r>
  <r>
    <n v="6.9105822326993249E-2"/>
  </r>
  <r>
    <n v="8.7784200121602457E-2"/>
  </r>
  <r>
    <n v="7.4733598837522203E-2"/>
  </r>
  <r>
    <n v="0.1661879422830243"/>
  </r>
  <r>
    <n v="0.16176470588235295"/>
  </r>
  <r>
    <n v="6.7246616142254731E-2"/>
  </r>
  <r>
    <n v="0.12229094635129255"/>
  </r>
  <r>
    <n v="0.13754416603537908"/>
  </r>
  <r>
    <n v="7.3344243711540427E-2"/>
  </r>
  <r>
    <n v="0.19355479881454463"/>
  </r>
  <r>
    <n v="0.16400082531936269"/>
  </r>
  <r>
    <n v="7.776150780784237E-2"/>
  </r>
  <r>
    <n v="0.1414942691382482"/>
  </r>
  <r>
    <n v="9.5302847548943345E-2"/>
  </r>
  <r>
    <n v="0.13188939579954631"/>
  </r>
  <r>
    <n v="0.17782021625692615"/>
  </r>
  <r>
    <n v="0.1035047907211296"/>
  </r>
  <r>
    <n v="9.0549724906375695E-2"/>
  </r>
  <r>
    <n v="5.3816483962647176E-2"/>
  </r>
  <r>
    <n v="0.13532411888165119"/>
  </r>
  <r>
    <n v="0.14539985525601593"/>
  </r>
  <r>
    <n v="5.6258160171723214E-2"/>
  </r>
  <r>
    <n v="5.8204096725756937E-2"/>
  </r>
  <r>
    <n v="9.4281243724110231E-2"/>
  </r>
  <r>
    <n v="0.20454023582360303"/>
  </r>
  <r>
    <n v="0.16866485604975476"/>
  </r>
  <r>
    <n v="9.59747861323728E-2"/>
  </r>
  <r>
    <n v="0.13218006072609698"/>
  </r>
  <r>
    <n v="5.0486210744460379E-2"/>
  </r>
  <r>
    <n v="0.13535132486378279"/>
  </r>
  <r>
    <n v="6.1579816338504782E-2"/>
  </r>
  <r>
    <n v="0.11211930297171191"/>
  </r>
  <r>
    <n v="0.12415533537849266"/>
  </r>
  <r>
    <n v="0.20963359891402436"/>
  </r>
  <r>
    <n v="0.12543089293983919"/>
  </r>
  <r>
    <n v="6.1887453292199926E-2"/>
  </r>
  <r>
    <n v="0.23645204952960247"/>
  </r>
  <r>
    <n v="0.10988745370039987"/>
  </r>
  <r>
    <n v="0.10898564783004505"/>
  </r>
  <r>
    <n v="8.9918710325615395E-2"/>
  </r>
  <r>
    <n v="6.6253021175282284E-2"/>
  </r>
  <r>
    <n v="0.10031467123149733"/>
  </r>
  <r>
    <n v="4.5636199018802774E-2"/>
  </r>
  <r>
    <n v="7.253353447450929E-2"/>
  </r>
  <r>
    <n v="0.18672425428532866"/>
  </r>
  <r>
    <n v="0.16146601895050744"/>
  </r>
  <r>
    <n v="7.3913568901217183E-2"/>
  </r>
  <r>
    <n v="0.18958317496515903"/>
  </r>
  <r>
    <n v="0.10440962016858321"/>
  </r>
  <r>
    <n v="5.080301271051469E-2"/>
  </r>
  <r>
    <n v="0.14169122976844814"/>
  </r>
  <r>
    <n v="0.12831579336547727"/>
  </r>
  <r>
    <n v="0.13965724911776514"/>
  </r>
  <r>
    <n v="0.14098481915317804"/>
  </r>
  <r>
    <n v="0.12596334607400278"/>
  </r>
  <r>
    <n v="6.5715186718614885E-2"/>
  </r>
  <r>
    <n v="0.21499943318920142"/>
  </r>
  <r>
    <n v="5.7910183803531801E-2"/>
  </r>
  <r>
    <n v="8.1458190036356487E-2"/>
  </r>
  <r>
    <n v="7.7789871694537646E-2"/>
  </r>
  <r>
    <n v="8.0093925084129478E-2"/>
  </r>
  <r>
    <n v="9.2481190547214223E-2"/>
  </r>
  <r>
    <n v="0.12409979584068653"/>
  </r>
  <r>
    <n v="0.16593286604910004"/>
  </r>
  <r>
    <n v="0.13942254942102406"/>
  </r>
  <r>
    <n v="8.2346736980883323E-2"/>
  </r>
  <r>
    <n v="0.15434382493482665"/>
  </r>
  <r>
    <n v="0.20845005486449852"/>
  </r>
  <r>
    <n v="0.124441451664526"/>
  </r>
  <r>
    <n v="0.12707615263586439"/>
  </r>
  <r>
    <n v="0.14269925565262354"/>
  </r>
  <r>
    <n v="0.18687474775135152"/>
  </r>
  <r>
    <n v="0.10928201190247648"/>
  </r>
  <r>
    <n v="0.13822511535926171"/>
  </r>
  <r>
    <n v="9.6498691784406065E-2"/>
  </r>
  <r>
    <n v="0.15088327463323997"/>
  </r>
  <r>
    <n v="0.19300887230578684"/>
  </r>
  <r>
    <n v="0.16745859126652168"/>
  </r>
  <r>
    <n v="0.18294305621038295"/>
  </r>
  <r>
    <n v="0.24133289536635696"/>
  </r>
  <r>
    <n v="7.4172269737183952E-2"/>
  </r>
  <r>
    <n v="0.11977863095063646"/>
  </r>
  <r>
    <n v="0.16213056735731601"/>
  </r>
  <r>
    <n v="0.1567947961112813"/>
  </r>
  <r>
    <n v="7.8483960077474255E-2"/>
  </r>
  <r>
    <n v="0.21017835538383481"/>
  </r>
  <r>
    <n v="4.3533604887983711E-2"/>
  </r>
  <r>
    <n v="0.11169647323661831"/>
  </r>
  <r>
    <n v="5.7914126667008174E-2"/>
  </r>
  <r>
    <n v="8.4544889376485646E-2"/>
  </r>
  <r>
    <n v="0.23016718380956791"/>
  </r>
  <r>
    <n v="8.2089179295611006E-2"/>
  </r>
  <r>
    <n v="0.17291642827173209"/>
  </r>
  <r>
    <n v="0.19744901976222343"/>
  </r>
  <r>
    <n v="0.16062010465078488"/>
  </r>
  <r>
    <n v="9.6109129459448384E-2"/>
  </r>
  <r>
    <n v="0.11565072238531054"/>
  </r>
  <r>
    <n v="7.8133583964106093E-2"/>
  </r>
  <r>
    <n v="0.15004846849547795"/>
  </r>
  <r>
    <n v="0.13577186627929203"/>
  </r>
  <r>
    <n v="0.10691390070995331"/>
  </r>
  <r>
    <n v="0.10666941119068778"/>
  </r>
  <r>
    <n v="7.0304275621358409E-2"/>
  </r>
  <r>
    <n v="0.14431883005756366"/>
  </r>
  <r>
    <n v="6.9310967441318663E-2"/>
  </r>
  <r>
    <n v="0.12240715049809454"/>
  </r>
  <r>
    <n v="0.1729124952648953"/>
  </r>
  <r>
    <n v="0.12551691516852564"/>
  </r>
  <r>
    <n v="8.9949684670988753E-2"/>
  </r>
  <r>
    <n v="0.14645749963228394"/>
  </r>
  <r>
    <n v="0.14373075846627484"/>
  </r>
  <r>
    <n v="0.16469718361693442"/>
  </r>
  <r>
    <n v="3.9282741135959441E-2"/>
  </r>
  <r>
    <n v="0.11366919780572578"/>
  </r>
  <r>
    <n v="0.11847778125057454"/>
  </r>
  <r>
    <n v="0.18855957773790463"/>
  </r>
  <r>
    <n v="0.19310863390679844"/>
  </r>
  <r>
    <n v="0.19026555058449995"/>
  </r>
  <r>
    <n v="9.437702070991702E-2"/>
  </r>
  <r>
    <n v="0.11666012815483197"/>
  </r>
  <r>
    <n v="0.1837666138449898"/>
  </r>
  <r>
    <n v="9.6559691383068705E-2"/>
  </r>
  <r>
    <n v="4.273237341777044E-2"/>
  </r>
  <r>
    <n v="8.20842024260343E-2"/>
  </r>
  <r>
    <n v="0.23101670359638657"/>
  </r>
  <r>
    <n v="0.17638958031211446"/>
  </r>
  <r>
    <n v="0.10583240198978809"/>
  </r>
  <r>
    <n v="0.19431418522860491"/>
  </r>
  <r>
    <n v="7.3642205931393895E-2"/>
  </r>
  <r>
    <n v="0.13835793476171149"/>
  </r>
  <r>
    <n v="0.13718517158901233"/>
  </r>
  <r>
    <n v="5.2279466542017844E-2"/>
  </r>
  <r>
    <n v="0.20489575305659122"/>
  </r>
  <r>
    <n v="0.16596070792183867"/>
  </r>
  <r>
    <n v="0.10002042215512084"/>
  </r>
  <r>
    <n v="0.1033510719504482"/>
  </r>
  <r>
    <n v="0.10631744465684158"/>
  </r>
  <r>
    <n v="8.7942620554447279E-2"/>
  </r>
  <r>
    <n v="5.4347373678514943E-2"/>
  </r>
  <r>
    <n v="0.1220729459695412"/>
  </r>
  <r>
    <n v="0.1427432754052719"/>
  </r>
  <r>
    <n v="0.1195052963068995"/>
  </r>
  <r>
    <n v="6.6041279526189739E-2"/>
  </r>
  <r>
    <n v="0.15602233587308215"/>
  </r>
  <r>
    <n v="0.11348725471437378"/>
  </r>
  <r>
    <n v="8.6702836632321797E-2"/>
  </r>
  <r>
    <n v="4.380463932978456E-2"/>
  </r>
  <r>
    <n v="7.8833333333333325E-2"/>
  </r>
  <r>
    <n v="0.22666165369190847"/>
  </r>
  <r>
    <n v="0.15357621884650177"/>
  </r>
  <r>
    <n v="0.11007720003625189"/>
  </r>
  <r>
    <n v="0.14888584911605629"/>
  </r>
  <r>
    <n v="0.10018658166835109"/>
  </r>
  <r>
    <n v="0.22274977939013629"/>
  </r>
  <r>
    <n v="0.16092276455344501"/>
  </r>
  <r>
    <n v="0.16863683649466268"/>
  </r>
  <r>
    <n v="0.10024168897945644"/>
  </r>
  <r>
    <n v="0.20037643277079897"/>
  </r>
  <r>
    <n v="0.1859957124211295"/>
  </r>
  <r>
    <n v="0.12675845571276859"/>
  </r>
  <r>
    <n v="0.12781413268258726"/>
  </r>
  <r>
    <n v="9.6831987146601128E-2"/>
  </r>
  <r>
    <n v="0.17781212976938185"/>
  </r>
  <r>
    <n v="0.18641624459734071"/>
  </r>
  <r>
    <n v="0.12092331093624617"/>
  </r>
  <r>
    <n v="0.14398370435035646"/>
  </r>
  <r>
    <n v="0.22551672901907718"/>
  </r>
  <r>
    <n v="0.22245452919704189"/>
  </r>
  <r>
    <n v="6.5006817069752629E-2"/>
  </r>
  <r>
    <n v="0.16153160830492719"/>
  </r>
  <r>
    <n v="0.13446972731885798"/>
  </r>
  <r>
    <n v="0.12953220760296574"/>
  </r>
  <r>
    <n v="5.0457523047189014E-2"/>
  </r>
  <r>
    <n v="7.3353364811370253E-2"/>
  </r>
  <r>
    <n v="0.21908482510796823"/>
  </r>
  <r>
    <n v="0.11389899085313054"/>
  </r>
  <r>
    <n v="0.13166836412165484"/>
  </r>
  <r>
    <n v="0.1331074422396068"/>
  </r>
  <r>
    <n v="0.13968802059669846"/>
  </r>
  <r>
    <n v="0.13131913117464802"/>
  </r>
  <r>
    <n v="0.14654207295052366"/>
  </r>
  <r>
    <n v="0.10043689536801748"/>
  </r>
  <r>
    <n v="4.7439619830576665E-2"/>
  </r>
  <r>
    <n v="0.10106259400105161"/>
  </r>
  <r>
    <n v="0.16424556035001461"/>
  </r>
  <r>
    <n v="0.13504435245416913"/>
  </r>
  <r>
    <n v="0.14272279476478436"/>
  </r>
  <r>
    <n v="0.19533714432114779"/>
  </r>
  <r>
    <n v="0.11080937064643079"/>
  </r>
  <r>
    <n v="0.10094074204325654"/>
  </r>
  <r>
    <n v="5.268233547234856E-2"/>
  </r>
  <r>
    <n v="0.10750864969903787"/>
  </r>
  <r>
    <n v="0.18670235634316271"/>
  </r>
  <r>
    <n v="7.1888263915248982E-2"/>
  </r>
  <r>
    <n v="0.13699321887173568"/>
  </r>
  <r>
    <n v="0.22331613083040339"/>
  </r>
  <r>
    <n v="0.2144366792537902"/>
  </r>
  <r>
    <n v="5.8620353099379692E-2"/>
  </r>
  <r>
    <n v="0.11962262023341914"/>
  </r>
  <r>
    <n v="0.18522543610321573"/>
  </r>
  <r>
    <n v="7.6457561406522226E-2"/>
  </r>
  <r>
    <n v="0.12466662159014928"/>
  </r>
  <r>
    <n v="0.20128224438608786"/>
  </r>
  <r>
    <n v="0.19616350481115891"/>
  </r>
  <r>
    <n v="0.18724226804123711"/>
  </r>
  <r>
    <n v="0.16038343578601519"/>
  </r>
  <r>
    <n v="0.21754138024602027"/>
  </r>
  <r>
    <n v="7.6248744505524185E-2"/>
  </r>
  <r>
    <n v="0.14268051434223541"/>
  </r>
  <r>
    <n v="0.20539144065254625"/>
  </r>
  <r>
    <n v="0.16784430914744267"/>
  </r>
  <r>
    <n v="0.21541638183576617"/>
  </r>
  <r>
    <n v="0.14039857516798446"/>
  </r>
  <r>
    <n v="0.22361565693674437"/>
  </r>
  <r>
    <n v="0.13909038975597135"/>
  </r>
  <r>
    <n v="4.9150485436893196E-2"/>
  </r>
  <r>
    <n v="0.16521480423658216"/>
  </r>
  <r>
    <n v="0.21986930681060102"/>
  </r>
  <r>
    <n v="8.113577892122073E-2"/>
  </r>
  <r>
    <n v="0.16836127141155993"/>
  </r>
  <r>
    <n v="0.11752229602499639"/>
  </r>
  <r>
    <n v="0.15957414769304903"/>
  </r>
  <r>
    <n v="0.19062221597036622"/>
  </r>
  <r>
    <n v="0.13212344541685858"/>
  </r>
  <r>
    <n v="0.17557996371176773"/>
  </r>
  <r>
    <n v="0.14958758416782897"/>
  </r>
  <r>
    <n v="0.16333635174564845"/>
  </r>
  <r>
    <n v="9.046302149178255E-2"/>
  </r>
  <r>
    <n v="0.22177703619129355"/>
  </r>
  <r>
    <n v="0.2343011743486188"/>
  </r>
  <r>
    <n v="7.9029166096124884E-2"/>
  </r>
  <r>
    <n v="0.18236848090414459"/>
  </r>
  <r>
    <n v="9.1243231004358577E-2"/>
  </r>
  <r>
    <n v="6.8693864482752817E-2"/>
  </r>
  <r>
    <n v="0.14771396882124593"/>
  </r>
  <r>
    <n v="0.13551678736010533"/>
  </r>
  <r>
    <n v="0.2054183266932271"/>
  </r>
  <r>
    <n v="0.14924216390901579"/>
  </r>
  <r>
    <n v="0.11851631303475726"/>
  </r>
  <r>
    <n v="4.030306889086973E-2"/>
  </r>
  <r>
    <n v="0.14005847193722204"/>
  </r>
  <r>
    <n v="0.11690316822846944"/>
  </r>
  <r>
    <n v="0.19035459765140367"/>
  </r>
  <r>
    <n v="9.4636015325670494E-2"/>
  </r>
  <r>
    <n v="0.10125875392417291"/>
  </r>
  <r>
    <n v="9.180388863856688E-2"/>
  </r>
  <r>
    <n v="6.7570811942890704E-2"/>
  </r>
  <r>
    <n v="7.2676879060618704E-2"/>
  </r>
  <r>
    <n v="0.18805231358248589"/>
  </r>
  <r>
    <n v="0.13774330583495492"/>
  </r>
  <r>
    <n v="0.11512646985831919"/>
  </r>
  <r>
    <n v="0.17786642678190104"/>
  </r>
  <r>
    <n v="5.1406633864599094E-2"/>
  </r>
  <r>
    <n v="0.1218402188266365"/>
  </r>
  <r>
    <n v="0.18376261485163428"/>
  </r>
  <r>
    <n v="5.9617646056309231E-2"/>
  </r>
  <r>
    <n v="0.19162197731913114"/>
  </r>
  <r>
    <n v="0.10260434224955342"/>
  </r>
  <r>
    <n v="0.15557257755649176"/>
  </r>
  <r>
    <n v="0.10168090900554043"/>
  </r>
  <r>
    <n v="0.15258365496309065"/>
  </r>
  <r>
    <n v="0.19772134339063471"/>
  </r>
  <r>
    <n v="0.12315602130292692"/>
  </r>
  <r>
    <n v="8.6419753086419748E-2"/>
  </r>
  <r>
    <n v="0.17716386236167955"/>
  </r>
  <r>
    <n v="0.11416591476036303"/>
  </r>
  <r>
    <n v="5.793624670227078E-2"/>
  </r>
  <r>
    <n v="0.1684016084610922"/>
  </r>
  <r>
    <n v="0.18301789826981274"/>
  </r>
  <r>
    <n v="0.17287402344873609"/>
  </r>
  <r>
    <n v="5.1120697851302528E-2"/>
  </r>
  <r>
    <n v="9.9446851848153842E-2"/>
  </r>
  <r>
    <n v="4.6574853151293852E-2"/>
  </r>
  <r>
    <n v="0.23932165417952109"/>
  </r>
  <r>
    <n v="0.16514076194410834"/>
  </r>
  <r>
    <n v="0.20912277980299387"/>
  </r>
  <r>
    <n v="0.12387975416929463"/>
  </r>
  <r>
    <n v="6.4934176938224772E-2"/>
  </r>
  <r>
    <n v="0.10290841584158414"/>
  </r>
  <r>
    <n v="0.15103826464735462"/>
  </r>
  <r>
    <n v="0.13016854613798956"/>
  </r>
  <r>
    <n v="0.17602264961437078"/>
  </r>
  <r>
    <n v="8.6495363453393745E-2"/>
  </r>
  <r>
    <n v="0.12084322437965388"/>
  </r>
  <r>
    <n v="0.1908088840142583"/>
  </r>
  <r>
    <n v="0.22797489523538944"/>
  </r>
  <r>
    <n v="9.9024733253844505E-2"/>
  </r>
  <r>
    <n v="0.14557577127359023"/>
  </r>
  <r>
    <n v="9.0180841229489259E-2"/>
  </r>
  <r>
    <n v="0.12625202213197198"/>
  </r>
  <r>
    <n v="0.11158897722171542"/>
  </r>
  <r>
    <n v="6.4637594608954324E-2"/>
  </r>
  <r>
    <n v="0.19533658148553248"/>
  </r>
  <r>
    <n v="6.7647034660663963E-2"/>
  </r>
  <r>
    <n v="9.0804899871784236E-2"/>
  </r>
  <r>
    <n v="6.9857419787307279E-2"/>
  </r>
  <r>
    <n v="5.3502328511327586E-2"/>
  </r>
  <r>
    <n v="8.817486780505876E-2"/>
  </r>
  <r>
    <n v="4.4736106214057318E-2"/>
  </r>
  <r>
    <n v="6.6231532763687082E-2"/>
  </r>
  <r>
    <n v="0.11307962542501158"/>
  </r>
  <r>
    <n v="7.0413202475464148E-2"/>
  </r>
  <r>
    <n v="0.16619836764340465"/>
  </r>
  <r>
    <n v="0.13339760942386375"/>
  </r>
  <r>
    <n v="0.19358735177865613"/>
  </r>
  <r>
    <n v="0.20265612768548319"/>
  </r>
  <r>
    <n v="0.10434935450297837"/>
  </r>
  <r>
    <n v="8.6066289974951943E-2"/>
  </r>
  <r>
    <n v="0.11364402672117675"/>
  </r>
  <r>
    <n v="0.21065885238650525"/>
  </r>
  <r>
    <n v="0.13743028649044511"/>
  </r>
  <r>
    <n v="6.1258531676583829E-2"/>
  </r>
  <r>
    <n v="0.18951887903775808"/>
  </r>
  <r>
    <n v="5.8920297831922659E-2"/>
  </r>
  <r>
    <n v="0.15992759830878495"/>
  </r>
  <r>
    <n v="0.17687646471153937"/>
  </r>
  <r>
    <n v="0.14216966060086506"/>
  </r>
  <r>
    <n v="0.17487425600364645"/>
  </r>
  <r>
    <n v="6.0344988382255757E-2"/>
  </r>
  <r>
    <n v="0.14587185053917695"/>
  </r>
  <r>
    <n v="8.0567599689806882E-2"/>
  </r>
  <r>
    <n v="9.3328729640726346E-2"/>
  </r>
  <r>
    <n v="6.619206488980392E-2"/>
  </r>
  <r>
    <n v="0.13162973013719281"/>
  </r>
  <r>
    <n v="0.13539853588614723"/>
  </r>
  <r>
    <n v="5.7837732782077107E-2"/>
  </r>
  <r>
    <n v="0.23253549913941479"/>
  </r>
  <r>
    <n v="0.1830124590078431"/>
  </r>
  <r>
    <n v="0.19614218390384683"/>
  </r>
  <r>
    <n v="0.12221061599436975"/>
  </r>
  <r>
    <n v="0.156838973197895"/>
  </r>
  <r>
    <n v="6.9946813236278341E-2"/>
  </r>
  <r>
    <n v="0.11796614774042664"/>
  </r>
  <r>
    <n v="7.7745241866509246E-2"/>
  </r>
  <r>
    <n v="0.1842279620181406"/>
  </r>
  <r>
    <n v="0.15357440693248153"/>
  </r>
  <r>
    <n v="0.10425590442881283"/>
  </r>
  <r>
    <n v="0.13071398353662278"/>
  </r>
  <r>
    <n v="0.21234117955016812"/>
  </r>
  <r>
    <n v="0.14472455051506813"/>
  </r>
  <r>
    <n v="7.0282008242583044E-2"/>
  </r>
  <r>
    <n v="0.1370742934959728"/>
  </r>
  <r>
    <n v="0.18076391506470665"/>
  </r>
  <r>
    <n v="0.12543216465183191"/>
  </r>
  <r>
    <n v="6.2709015498799384E-2"/>
  </r>
  <r>
    <n v="0.22133042216994428"/>
  </r>
  <r>
    <n v="0.16121722925754942"/>
  </r>
  <r>
    <n v="9.1389357392088102E-2"/>
  </r>
  <r>
    <n v="0.21359926949503205"/>
  </r>
  <r>
    <n v="7.9752788413517559E-2"/>
  </r>
  <r>
    <n v="0.11019282611025465"/>
  </r>
  <r>
    <n v="0.16359156107874603"/>
  </r>
  <r>
    <n v="0.1700427859235942"/>
  </r>
  <r>
    <n v="0.19722487324783775"/>
  </r>
  <r>
    <n v="4.7082879902679127E-2"/>
  </r>
  <r>
    <n v="0.1228189198887593"/>
  </r>
  <r>
    <n v="0.14336237492731246"/>
  </r>
  <r>
    <n v="7.96004919068036E-2"/>
  </r>
  <r>
    <n v="0.14472971117646632"/>
  </r>
  <r>
    <n v="0.1337826238992911"/>
  </r>
  <r>
    <n v="0.14851144640164277"/>
  </r>
  <r>
    <n v="0.21791977318072037"/>
  </r>
  <r>
    <n v="0.11804971939817484"/>
  </r>
  <r>
    <n v="9.6128742230252515E-2"/>
  </r>
  <r>
    <n v="0.17353985408294645"/>
  </r>
  <r>
    <n v="5.3302935523985379E-2"/>
  </r>
  <r>
    <n v="0.17845015148742349"/>
  </r>
  <r>
    <n v="0.19195674576089719"/>
  </r>
  <r>
    <n v="6.1919007859881962E-2"/>
  </r>
  <r>
    <n v="0.16543660219432194"/>
  </r>
  <r>
    <n v="8.9960968838169411E-2"/>
  </r>
  <r>
    <n v="4.716963190475737E-2"/>
  </r>
  <r>
    <n v="9.508732089467109E-2"/>
  </r>
  <r>
    <n v="0.13018785348774575"/>
  </r>
  <r>
    <n v="0.13802702450434026"/>
  </r>
  <r>
    <n v="0.14433955445847302"/>
  </r>
  <r>
    <n v="7.8970057915956487E-2"/>
  </r>
  <r>
    <n v="0.10031994132301428"/>
  </r>
  <r>
    <n v="0.14547829318167152"/>
  </r>
  <r>
    <n v="0.16868052494980657"/>
  </r>
  <r>
    <n v="0.21303123106401792"/>
  </r>
  <r>
    <n v="6.2070257015454849E-2"/>
  </r>
  <r>
    <n v="0.15361239318192205"/>
  </r>
  <r>
    <n v="9.8836588750133417E-2"/>
  </r>
  <r>
    <n v="5.6324195740824652E-2"/>
  </r>
  <r>
    <n v="0.15621429029123102"/>
  </r>
  <r>
    <n v="0.18678284693438024"/>
  </r>
  <r>
    <n v="0.12475612072240064"/>
  </r>
  <r>
    <n v="3.9901802726073576E-2"/>
  </r>
  <r>
    <n v="5.4881622648881939E-2"/>
  </r>
  <r>
    <n v="0.10058157648769342"/>
  </r>
  <r>
    <n v="0.1293816426900477"/>
  </r>
  <r>
    <n v="0.12465181182919617"/>
  </r>
  <r>
    <n v="0.18150489370986847"/>
  </r>
  <r>
    <n v="0.15456853433031881"/>
  </r>
  <r>
    <n v="0.17256482393915917"/>
  </r>
  <r>
    <n v="0.21231580211424447"/>
  </r>
  <r>
    <n v="7.4978118178755646E-2"/>
  </r>
  <r>
    <n v="6.3216361881898844E-2"/>
  </r>
  <r>
    <n v="0.10242392687724168"/>
  </r>
  <r>
    <n v="0.18992223463308963"/>
  </r>
  <r>
    <n v="0.13070849754815886"/>
  </r>
  <r>
    <n v="7.5854907397690061E-2"/>
  </r>
  <r>
    <n v="8.5470085470085472E-2"/>
  </r>
  <r>
    <n v="0.1081090497343437"/>
  </r>
  <r>
    <n v="0.18448892953516466"/>
  </r>
  <r>
    <n v="9.5741687568332359E-2"/>
  </r>
  <r>
    <n v="8.1213821817275267E-2"/>
  </r>
  <r>
    <n v="7.0948381015746284E-2"/>
  </r>
  <r>
    <n v="4.3700842723298883E-2"/>
  </r>
  <r>
    <n v="0.16316279423876859"/>
  </r>
  <r>
    <n v="0.17707450050568982"/>
  </r>
  <r>
    <n v="0.14426919577560493"/>
  </r>
  <r>
    <n v="0.17009164654514999"/>
  </r>
  <r>
    <n v="4.3549151578348662E-2"/>
  </r>
  <r>
    <n v="0.14212811674649717"/>
  </r>
  <r>
    <n v="0.11399671493698042"/>
  </r>
  <r>
    <n v="9.3923957294782326E-2"/>
  </r>
  <r>
    <n v="0.18672548141804213"/>
  </r>
  <r>
    <n v="0.13837582885732685"/>
  </r>
  <r>
    <n v="0.10726741219619071"/>
  </r>
  <r>
    <n v="6.9256038592572858E-2"/>
  </r>
  <r>
    <n v="5.7799699928577246E-2"/>
  </r>
  <r>
    <n v="0.11386812504477825"/>
  </r>
  <r>
    <n v="0.1549044410082317"/>
  </r>
  <r>
    <n v="0.17926220719234578"/>
  </r>
  <r>
    <n v="0.13154444221668463"/>
  </r>
  <r>
    <n v="0.15843654840668434"/>
  </r>
  <r>
    <n v="6.8211700343060941E-2"/>
  </r>
  <r>
    <n v="9.2092851197632483E-2"/>
  </r>
  <r>
    <n v="0.10892926992015829"/>
  </r>
  <r>
    <n v="0.12637153429506087"/>
  </r>
  <r>
    <n v="0.17535500892372161"/>
  </r>
  <r>
    <n v="0.11907879076410378"/>
  </r>
  <r>
    <n v="0.12762870423993947"/>
  </r>
  <r>
    <n v="0.11823194431890084"/>
  </r>
  <r>
    <n v="5.5128369430560889E-2"/>
  </r>
  <r>
    <n v="0.13978074629586232"/>
  </r>
  <r>
    <n v="9.0528164957954155E-2"/>
  </r>
  <r>
    <n v="0.16129476417658073"/>
  </r>
  <r>
    <n v="0.12370121901333551"/>
  </r>
  <r>
    <n v="0.17279569278226842"/>
  </r>
  <r>
    <n v="0.16161802814918452"/>
  </r>
  <r>
    <n v="0.19169510807736062"/>
  </r>
  <r>
    <n v="0.23045247086497486"/>
  </r>
  <r>
    <n v="5.4102729769019538E-2"/>
  </r>
  <r>
    <n v="0.17914927677091075"/>
  </r>
  <r>
    <n v="0.10896210567777662"/>
  </r>
  <r>
    <n v="9.6347408766653264E-2"/>
  </r>
  <r>
    <n v="0.14937644635579495"/>
  </r>
  <r>
    <n v="0.18853324114626377"/>
  </r>
  <r>
    <n v="7.1981162208820379E-2"/>
  </r>
  <r>
    <n v="5.2836665905331426E-2"/>
  </r>
  <r>
    <n v="9.6893830045593043E-2"/>
  </r>
  <r>
    <n v="0.10009972968007769"/>
  </r>
  <r>
    <n v="0.16315413861486186"/>
  </r>
  <r>
    <n v="4.5438629254400301E-2"/>
  </r>
  <r>
    <n v="0.18127063400765037"/>
  </r>
  <r>
    <n v="0.14441843081857306"/>
  </r>
  <r>
    <n v="8.3264892769588927E-2"/>
  </r>
  <r>
    <n v="0.11774641338092698"/>
  </r>
  <r>
    <n v="0.16213175338274891"/>
  </r>
  <r>
    <n v="0.11484394321610526"/>
  </r>
  <r>
    <n v="0.10634813728985909"/>
  </r>
  <r>
    <n v="0.14088480205057813"/>
  </r>
  <r>
    <n v="4.830323486907926E-2"/>
  </r>
  <r>
    <n v="0.19100053841810136"/>
  </r>
  <r>
    <n v="0.16957782049929271"/>
  </r>
  <r>
    <n v="0.22175877498837751"/>
  </r>
  <r>
    <n v="0.11514690234097896"/>
  </r>
  <r>
    <n v="6.3598209289311688E-2"/>
  </r>
  <r>
    <n v="0.13199507572139621"/>
  </r>
  <r>
    <n v="7.6207411310151033E-2"/>
  </r>
  <r>
    <n v="0.15510550135533716"/>
  </r>
  <r>
    <n v="4.8682590886903368E-2"/>
  </r>
  <r>
    <n v="0.15972569618142404"/>
  </r>
  <r>
    <n v="5.0913838120104443E-2"/>
  </r>
  <r>
    <n v="5.4891624229086167E-2"/>
  </r>
  <r>
    <n v="0.18595442236170304"/>
  </r>
  <r>
    <n v="0.21095033551733011"/>
  </r>
  <r>
    <n v="0.13776840161091025"/>
  </r>
  <r>
    <n v="8.8511711656954428E-2"/>
  </r>
  <r>
    <n v="9.5053547639232516E-2"/>
  </r>
  <r>
    <n v="0.1853545657442526"/>
  </r>
  <r>
    <n v="8.8845758919297496E-2"/>
  </r>
  <r>
    <n v="0.20903668495672131"/>
  </r>
  <r>
    <n v="5.7060100469818388E-2"/>
  </r>
  <r>
    <n v="0.18630988591571596"/>
  </r>
  <r>
    <n v="0.16117999401018268"/>
  </r>
  <r>
    <n v="0.22798143591253564"/>
  </r>
  <r>
    <n v="4.0912576401658685E-2"/>
  </r>
  <r>
    <n v="5.1667449506810709E-2"/>
  </r>
  <r>
    <n v="5.6106640048245886E-2"/>
  </r>
  <r>
    <n v="0.21526239919776041"/>
  </r>
  <r>
    <n v="0.19245362860568446"/>
  </r>
  <r>
    <n v="0.13705469141996987"/>
  </r>
  <r>
    <n v="0.18062366402615368"/>
  </r>
  <r>
    <n v="8.4089680210103504E-2"/>
  </r>
  <r>
    <n v="0.13875628385487707"/>
  </r>
  <r>
    <n v="8.2500565072363516E-2"/>
  </r>
  <r>
    <n v="0.14175893785985766"/>
  </r>
  <r>
    <n v="0.15843896469719007"/>
  </r>
  <r>
    <n v="0.2129366072528513"/>
  </r>
  <r>
    <n v="6.5101816552172925E-2"/>
  </r>
  <r>
    <n v="7.5014462570866594E-2"/>
  </r>
  <r>
    <n v="0.14234767103031357"/>
  </r>
  <r>
    <n v="0.1806501282375465"/>
  </r>
  <r>
    <n v="5.5944487754424697E-2"/>
  </r>
  <r>
    <n v="0.13617076265213102"/>
  </r>
  <r>
    <n v="0.10268334266374878"/>
  </r>
  <r>
    <n v="0.10247954163446084"/>
  </r>
  <r>
    <n v="3.8722041073165153E-2"/>
  </r>
  <r>
    <n v="0.10786879585671127"/>
  </r>
  <r>
    <n v="0.17521366989324286"/>
  </r>
  <r>
    <n v="0.11041113446927787"/>
  </r>
  <r>
    <n v="5.9902065700295104E-2"/>
  </r>
  <r>
    <n v="0.12068007556395155"/>
  </r>
  <r>
    <n v="0.17437084000122313"/>
  </r>
  <r>
    <n v="0.11181179545825845"/>
  </r>
  <r>
    <n v="0.20596285640282533"/>
  </r>
  <r>
    <n v="9.7479832260240915E-2"/>
  </r>
  <r>
    <n v="0.10160191446774387"/>
  </r>
  <r>
    <n v="6.0342409872010602E-2"/>
  </r>
  <r>
    <n v="5.6150922724004522E-2"/>
  </r>
  <r>
    <n v="5.7923145919329309E-2"/>
  </r>
  <r>
    <n v="0.18774220627637675"/>
  </r>
  <r>
    <n v="6.4094551943432346E-2"/>
  </r>
  <r>
    <n v="0.15867402350039023"/>
  </r>
  <r>
    <n v="0.21848697205691781"/>
  </r>
  <r>
    <n v="0.13907132878797357"/>
  </r>
  <r>
    <n v="0.13554431256372274"/>
  </r>
  <r>
    <n v="8.4946627850557982E-2"/>
  </r>
  <r>
    <n v="0.16840442660730029"/>
  </r>
  <r>
    <n v="7.9294802470659106E-2"/>
  </r>
  <r>
    <n v="5.1923872756628804E-2"/>
  </r>
  <r>
    <n v="8.1856794262341603E-2"/>
  </r>
  <r>
    <n v="0.12817125063580084"/>
  </r>
  <r>
    <n v="0.11148970619208087"/>
  </r>
  <r>
    <n v="0.19683365418056595"/>
  </r>
  <r>
    <n v="0.21865248884282781"/>
  </r>
  <r>
    <n v="6.3744847149095951E-2"/>
  </r>
  <r>
    <n v="0.15117352274402185"/>
  </r>
  <r>
    <n v="5.3095607235142124E-2"/>
  </r>
  <r>
    <n v="0.14728194124871188"/>
  </r>
  <r>
    <n v="0.21679247066448817"/>
  </r>
  <r>
    <n v="0.23265735613562605"/>
  </r>
  <r>
    <n v="0.10663182720639378"/>
  </r>
  <r>
    <n v="0.14262774864138783"/>
  </r>
  <r>
    <n v="8.5286278834665927E-2"/>
  </r>
  <r>
    <n v="0.1185409604519774"/>
  </r>
  <r>
    <n v="0.13934927527368357"/>
  </r>
  <r>
    <n v="0.18128238089673174"/>
  </r>
  <r>
    <n v="0.15536063796638885"/>
  </r>
  <r>
    <n v="0.10059903600508426"/>
  </r>
  <r>
    <n v="9.2657626694994694E-2"/>
  </r>
  <r>
    <n v="4.5319037257110249E-2"/>
  </r>
  <r>
    <n v="0.1102611196297482"/>
  </r>
  <r>
    <n v="6.3008579681510191E-2"/>
  </r>
  <r>
    <n v="0.20138409189756187"/>
  </r>
  <r>
    <n v="0.1126837152961384"/>
  </r>
  <r>
    <n v="9.8639958607435893E-2"/>
  </r>
  <r>
    <n v="6.0625107716014967E-2"/>
  </r>
  <r>
    <n v="7.0407185258471422E-2"/>
  </r>
  <r>
    <n v="0.1017281057074194"/>
  </r>
  <r>
    <n v="0.14046352765083359"/>
  </r>
  <r>
    <n v="5.6006324853098845E-2"/>
  </r>
  <r>
    <n v="7.6310797063594629E-2"/>
  </r>
  <r>
    <n v="0.14098298914066915"/>
  </r>
  <r>
    <n v="5.471724898122788E-2"/>
  </r>
  <r>
    <n v="0.16841052899116024"/>
  </r>
  <r>
    <n v="0.21089469774352307"/>
  </r>
  <r>
    <n v="6.946291020365096E-2"/>
  </r>
  <r>
    <n v="7.4340881504986175E-2"/>
  </r>
  <r>
    <n v="0.12343385126639124"/>
  </r>
  <r>
    <n v="9.2034374483556433E-2"/>
  </r>
  <r>
    <n v="0.14847538158579512"/>
  </r>
  <r>
    <n v="0.12809247722280243"/>
  </r>
  <r>
    <n v="0.16461226416562488"/>
  </r>
  <r>
    <n v="0.15681527438074597"/>
  </r>
  <r>
    <n v="9.2019895313530276E-2"/>
  </r>
  <r>
    <n v="0.19925488927057144"/>
  </r>
  <r>
    <n v="0.14283366720921498"/>
  </r>
  <r>
    <n v="4.7866067107408511E-2"/>
  </r>
  <r>
    <n v="0.23301767080200333"/>
  </r>
  <r>
    <n v="0.1123024798806402"/>
  </r>
  <r>
    <n v="0.18748286775150139"/>
  </r>
  <r>
    <n v="0.17918021515233989"/>
  </r>
  <r>
    <n v="0.18820192183947493"/>
  </r>
  <r>
    <n v="8.3020332656128695E-2"/>
  </r>
  <r>
    <n v="3.8781406611681689E-2"/>
  </r>
  <r>
    <n v="5.5939751750151187E-2"/>
  </r>
  <r>
    <n v="0.13350459920799712"/>
  </r>
  <r>
    <n v="0.10800205840730734"/>
  </r>
  <r>
    <n v="8.7832935371950971E-2"/>
  </r>
  <r>
    <n v="0.1048943155201445"/>
  </r>
  <r>
    <n v="5.06974153861732E-2"/>
  </r>
  <r>
    <n v="0.13021345831381365"/>
  </r>
  <r>
    <n v="0.17915308268937452"/>
  </r>
  <r>
    <n v="7.8171890736754929E-2"/>
  </r>
  <r>
    <n v="0.20890231485640703"/>
  </r>
  <r>
    <n v="7.4918139152080676E-2"/>
  </r>
  <r>
    <n v="0.15780346552787397"/>
  </r>
  <r>
    <n v="0.13538945399937663"/>
  </r>
  <r>
    <n v="7.277271364690148E-2"/>
  </r>
  <r>
    <n v="9.8580417256065977E-2"/>
  </r>
  <r>
    <n v="0.12380659520880924"/>
  </r>
  <r>
    <n v="0.11533513669777813"/>
  </r>
  <r>
    <n v="7.675477885090419E-2"/>
  </r>
  <r>
    <n v="8.7545118815366349E-2"/>
  </r>
  <r>
    <n v="8.5348428997718107E-2"/>
  </r>
  <r>
    <n v="7.2043594557122004E-2"/>
  </r>
  <r>
    <n v="0.10612144563987058"/>
  </r>
  <r>
    <n v="0.12195619571495948"/>
  </r>
  <r>
    <n v="0.18831936368101657"/>
  </r>
  <r>
    <n v="0.17009359605911331"/>
  </r>
  <r>
    <n v="0.18942181618237955"/>
  </r>
  <r>
    <n v="0.13077040048660243"/>
  </r>
  <r>
    <n v="6.6086087493352735E-2"/>
  </r>
  <r>
    <n v="0.1486018473709681"/>
  </r>
  <r>
    <n v="4.3840621754874569E-2"/>
  </r>
  <r>
    <n v="0.1562076002426783"/>
  </r>
  <r>
    <n v="0.12440100117343077"/>
  </r>
  <r>
    <n v="9.5809161952248534E-2"/>
  </r>
  <r>
    <n v="9.2399101445992365E-2"/>
  </r>
  <r>
    <n v="0.21396252415047168"/>
  </r>
  <r>
    <n v="0.17328903199287526"/>
  </r>
  <r>
    <n v="0.13171244741400642"/>
  </r>
  <r>
    <n v="7.5883705162819989E-2"/>
  </r>
  <r>
    <n v="0.14146009729346867"/>
  </r>
  <r>
    <n v="0.12553736613265634"/>
  </r>
  <r>
    <n v="8.892435205454273E-2"/>
  </r>
  <r>
    <n v="4.3884430732967057E-2"/>
  </r>
  <r>
    <n v="0.22507419911570364"/>
  </r>
  <r>
    <n v="0.17608437812787478"/>
  </r>
  <r>
    <n v="9.6608176130215939E-2"/>
  </r>
  <r>
    <n v="0.13764909052760699"/>
  </r>
  <r>
    <n v="7.0057270213846404E-2"/>
  </r>
  <r>
    <n v="9.0681182122656037E-2"/>
  </r>
  <r>
    <n v="4.9389326258881192E-2"/>
  </r>
  <r>
    <n v="0.18048500085954958"/>
  </r>
  <r>
    <n v="0.11704299611731162"/>
  </r>
  <r>
    <n v="6.5171535461275173E-2"/>
  </r>
  <r>
    <n v="7.2495465301156248E-2"/>
  </r>
  <r>
    <n v="8.9496475602426101E-2"/>
  </r>
  <r>
    <n v="6.8696801725537493E-2"/>
  </r>
  <r>
    <n v="0.13611848704785506"/>
  </r>
  <r>
    <n v="8.8543207322749132E-2"/>
  </r>
  <r>
    <n v="0.12421659712300107"/>
  </r>
  <r>
    <n v="0.15571623639514179"/>
  </r>
  <r>
    <n v="0.10856221485241035"/>
  </r>
  <r>
    <n v="6.5138906647345465E-2"/>
  </r>
  <r>
    <n v="5.9733300441301429E-2"/>
  </r>
  <r>
    <n v="4.5774936480616341E-2"/>
  </r>
  <r>
    <n v="0.18626087108684619"/>
  </r>
  <r>
    <n v="0.15292196789994147"/>
  </r>
  <r>
    <n v="0.10252758732915815"/>
  </r>
  <r>
    <n v="0.19159541286870477"/>
  </r>
  <r>
    <n v="0.13267347309900501"/>
  </r>
  <r>
    <n v="7.4502521195539795E-2"/>
  </r>
  <r>
    <n v="0.10379263355779464"/>
  </r>
  <r>
    <n v="9.1450469857325717E-2"/>
  </r>
  <r>
    <n v="9.3744073170047418E-2"/>
  </r>
  <r>
    <n v="0.21433838943057093"/>
  </r>
  <r>
    <n v="9.6812356684795292E-2"/>
  </r>
  <r>
    <n v="0.12851177533292227"/>
  </r>
  <r>
    <n v="8.5944527048112049E-2"/>
  </r>
  <r>
    <n v="8.1528426647695815E-2"/>
  </r>
  <r>
    <n v="0.14761950752872136"/>
  </r>
  <r>
    <n v="0.1782409293554808"/>
  </r>
  <r>
    <n v="0.10174090703336229"/>
  </r>
  <r>
    <n v="7.0536223471424492E-2"/>
  </r>
  <r>
    <n v="0.13485751971641341"/>
  </r>
  <r>
    <n v="0.21963641680475679"/>
  </r>
  <r>
    <n v="7.9176357858874405E-2"/>
  </r>
  <r>
    <n v="0.11843844942050184"/>
  </r>
  <r>
    <n v="0.1505559173238791"/>
  </r>
  <r>
    <n v="0.10413398321018406"/>
  </r>
  <r>
    <n v="0.13713280878125847"/>
  </r>
  <r>
    <n v="0.11257157013873598"/>
  </r>
  <r>
    <n v="0.14711412959316861"/>
  </r>
  <r>
    <n v="0.18220563448109797"/>
  </r>
  <r>
    <n v="7.2625229718085382E-2"/>
  </r>
  <r>
    <n v="9.0027773410889272E-2"/>
  </r>
  <r>
    <n v="0.162210153700693"/>
  </r>
  <r>
    <n v="5.9294952739811363E-2"/>
  </r>
  <r>
    <n v="0.15681978651825393"/>
  </r>
  <r>
    <n v="0.16599027414602979"/>
  </r>
  <r>
    <n v="0.18707085024303163"/>
  </r>
  <r>
    <n v="5.1483399142685939E-2"/>
  </r>
  <r>
    <n v="0.14017911135427766"/>
  </r>
  <r>
    <n v="0.14522492889636598"/>
  </r>
  <r>
    <n v="0.18893620118644686"/>
  </r>
  <r>
    <n v="5.8786460208858485E-2"/>
  </r>
  <r>
    <n v="3.8352103186062178E-2"/>
  </r>
  <r>
    <n v="0.19388175339153085"/>
  </r>
  <r>
    <n v="0.17285374059652969"/>
  </r>
  <r>
    <n v="0.20107906976744186"/>
  </r>
  <r>
    <n v="0.15471878520924034"/>
  </r>
  <r>
    <n v="0.16706946034534134"/>
  </r>
  <r>
    <n v="0.1373223181110805"/>
  </r>
  <r>
    <n v="8.1715940173427232E-2"/>
  </r>
  <r>
    <n v="0.11947375702768309"/>
  </r>
  <r>
    <n v="5.6160110899324212E-2"/>
  </r>
  <r>
    <n v="0.12971712399297353"/>
  </r>
  <r>
    <n v="0.2064017715050816"/>
  </r>
  <r>
    <n v="0.13429679799039715"/>
  </r>
  <r>
    <n v="0.20888698465504901"/>
  </r>
  <r>
    <n v="4.9689703467593938E-2"/>
  </r>
  <r>
    <n v="0.17216133142508619"/>
  </r>
  <r>
    <n v="0.10115487184620989"/>
  </r>
  <r>
    <n v="0.104126492877832"/>
  </r>
  <r>
    <n v="5.3805811660668897E-2"/>
  </r>
  <r>
    <n v="5.0207950602163702E-2"/>
  </r>
  <r>
    <n v="0.13959648492521057"/>
  </r>
  <r>
    <n v="6.2272829191153907E-2"/>
  </r>
  <r>
    <n v="6.8700684735611306E-2"/>
  </r>
  <r>
    <n v="0.11943466393262013"/>
  </r>
  <r>
    <n v="0.13358256365146851"/>
  </r>
  <r>
    <n v="0.14244003837543973"/>
  </r>
  <r>
    <n v="7.9924693742987038E-2"/>
  </r>
  <r>
    <n v="0.10984330773232692"/>
  </r>
  <r>
    <n v="0.1267991504614826"/>
  </r>
  <r>
    <n v="5.0235143223599829E-2"/>
  </r>
  <r>
    <n v="0.12639031861206659"/>
  </r>
  <r>
    <n v="0.18014826842138995"/>
  </r>
  <r>
    <n v="4.6017153204783799E-2"/>
  </r>
  <r>
    <n v="0.16930535922426407"/>
  </r>
  <r>
    <n v="0.13904898581058203"/>
  </r>
  <r>
    <n v="8.3355441441375966E-2"/>
  </r>
  <r>
    <n v="0.15073482928238999"/>
  </r>
  <r>
    <n v="4.6916433689559708E-2"/>
  </r>
  <r>
    <n v="0.16099554985176076"/>
  </r>
  <r>
    <n v="0.16222270421381146"/>
  </r>
  <r>
    <n v="6.1321016576548572E-2"/>
  </r>
  <r>
    <n v="0.17034629358718123"/>
  </r>
  <r>
    <n v="0.15705098226688699"/>
  </r>
  <r>
    <n v="7.7637643279974869E-2"/>
  </r>
  <r>
    <n v="9.2406682429551523E-2"/>
  </r>
  <r>
    <n v="0.19292624834011338"/>
  </r>
  <r>
    <n v="0.10568992241836259"/>
  </r>
  <r>
    <n v="4.100572512124858E-2"/>
  </r>
  <r>
    <n v="0.17973856209150327"/>
  </r>
  <r>
    <n v="0.18583119193516506"/>
  </r>
  <r>
    <n v="9.1670141653082626E-2"/>
  </r>
  <r>
    <n v="0.20473667275951066"/>
  </r>
  <r>
    <n v="0.17094519615554726"/>
  </r>
  <r>
    <n v="0.13466509062253743"/>
  </r>
  <r>
    <n v="0.20019620760769935"/>
  </r>
  <r>
    <n v="0.12080623606287343"/>
  </r>
  <r>
    <n v="8.8057876277275848E-2"/>
  </r>
  <r>
    <n v="0.15322259757253681"/>
  </r>
  <r>
    <n v="9.5854660869246142E-2"/>
  </r>
  <r>
    <n v="0.20929048906524547"/>
  </r>
  <r>
    <n v="0.10188855026922897"/>
  </r>
  <r>
    <n v="6.9704234640107984E-2"/>
  </r>
  <r>
    <n v="0.11089661232450855"/>
  </r>
  <r>
    <n v="0.192533613142816"/>
  </r>
  <r>
    <n v="0.14774223925978408"/>
  </r>
  <r>
    <n v="0.14356860046699982"/>
  </r>
  <r>
    <n v="0.11972207606248544"/>
  </r>
  <r>
    <n v="0.14889376862065612"/>
  </r>
  <r>
    <n v="7.7300916138125439E-2"/>
  </r>
  <r>
    <n v="0.12603322796954919"/>
  </r>
  <r>
    <n v="8.3812564188551902E-2"/>
  </r>
  <r>
    <n v="4.7355324249688947E-2"/>
  </r>
  <r>
    <n v="0.20939742328716318"/>
  </r>
  <r>
    <n v="6.5793013012339863E-2"/>
  </r>
  <r>
    <n v="0.16253732234563478"/>
  </r>
  <r>
    <n v="5.1963258205731111E-2"/>
  </r>
  <r>
    <n v="0.12563095508166972"/>
  </r>
  <r>
    <n v="0.12980373721941474"/>
  </r>
  <r>
    <n v="0.1359596291429406"/>
  </r>
  <r>
    <n v="0.19141243715997522"/>
  </r>
  <r>
    <n v="7.6526329874584881E-2"/>
  </r>
  <r>
    <n v="0.22740045273193793"/>
  </r>
  <r>
    <n v="0.14335929365707387"/>
  </r>
  <r>
    <n v="0.13469517002494474"/>
  </r>
  <r>
    <n v="0.22128961479014464"/>
  </r>
  <r>
    <n v="0.120294350814255"/>
  </r>
  <r>
    <n v="0.17971568003394867"/>
  </r>
  <r>
    <n v="0.14738261342833112"/>
  </r>
  <r>
    <n v="8.9543299226353887E-2"/>
  </r>
  <r>
    <n v="0.18354760424396799"/>
  </r>
  <r>
    <n v="0.12011456055624596"/>
  </r>
  <r>
    <n v="0.18080106704327017"/>
  </r>
  <r>
    <n v="0.11098522835072504"/>
  </r>
  <r>
    <n v="0.13164996527433279"/>
  </r>
  <r>
    <n v="0.11965462344668996"/>
  </r>
  <r>
    <n v="8.7615791109729571E-2"/>
  </r>
  <r>
    <n v="0.17627988233822189"/>
  </r>
  <r>
    <n v="4.2772259498585562E-2"/>
  </r>
  <r>
    <n v="0.11162064349809132"/>
  </r>
  <r>
    <n v="6.5593733203043625E-2"/>
  </r>
  <r>
    <n v="8.309519862975856E-2"/>
  </r>
  <r>
    <n v="6.4027990598753415E-2"/>
  </r>
  <r>
    <n v="9.4537012132108328E-2"/>
  </r>
  <r>
    <n v="0.14734461383816383"/>
  </r>
  <r>
    <n v="0.11708376781369484"/>
  </r>
  <r>
    <n v="9.333180660892057E-2"/>
  </r>
  <r>
    <n v="0.18628100656303173"/>
  </r>
  <r>
    <n v="9.1785256853087582E-2"/>
  </r>
  <r>
    <n v="0.18892095757489907"/>
  </r>
  <r>
    <n v="0.17515319991153736"/>
  </r>
  <r>
    <n v="0.16453225356045798"/>
  </r>
  <r>
    <n v="0.15496443922871214"/>
  </r>
  <r>
    <n v="0.10184043105686834"/>
  </r>
  <r>
    <n v="5.2003523870836579E-2"/>
  </r>
  <r>
    <n v="0.18286599835343118"/>
  </r>
  <r>
    <n v="0.11601471694484823"/>
  </r>
  <r>
    <n v="0.17511606313834727"/>
  </r>
  <r>
    <n v="0.11229200553774563"/>
  </r>
  <r>
    <n v="0.11027997737556559"/>
  </r>
  <r>
    <n v="8.0505317563712833E-2"/>
  </r>
  <r>
    <n v="0.17109456045136931"/>
  </r>
  <r>
    <n v="5.0639853747714805E-2"/>
  </r>
  <r>
    <n v="0.11668741400773111"/>
  </r>
  <r>
    <n v="0.14256769085528873"/>
  </r>
  <r>
    <n v="0.16532258064516128"/>
  </r>
  <r>
    <n v="6.410494525016959E-2"/>
  </r>
  <r>
    <n v="4.0957652123281847E-2"/>
  </r>
  <r>
    <n v="9.6745679321199998E-2"/>
  </r>
  <r>
    <n v="7.2078217371532513E-2"/>
  </r>
  <r>
    <n v="0.1706379331455859"/>
  </r>
  <r>
    <n v="0.18797125793206423"/>
  </r>
  <r>
    <n v="0.11503732669747599"/>
  </r>
  <r>
    <n v="0.14559523176695727"/>
  </r>
  <r>
    <n v="6.3594237318210053E-2"/>
  </r>
  <r>
    <n v="0.1254622750050092"/>
  </r>
  <r>
    <n v="7.0701660417782544E-2"/>
  </r>
  <r>
    <n v="0.21240705504500493"/>
  </r>
  <r>
    <n v="0.18531509228005827"/>
  </r>
  <r>
    <n v="0.14962310100892962"/>
  </r>
  <r>
    <n v="6.5426987412853632E-2"/>
  </r>
  <r>
    <n v="0.11606292676177843"/>
  </r>
  <r>
    <n v="0.16630314266499446"/>
  </r>
  <r>
    <n v="4.7442281575373474E-2"/>
  </r>
  <r>
    <n v="0.12022903667630497"/>
  </r>
  <r>
    <n v="7.6369802558760136E-2"/>
  </r>
  <r>
    <n v="0.10136949430605667"/>
  </r>
  <r>
    <n v="4.3670384591942467E-2"/>
  </r>
  <r>
    <n v="5.2131003302114301E-2"/>
  </r>
  <r>
    <n v="0.12957589073106304"/>
  </r>
  <r>
    <n v="5.4702542174479424E-2"/>
  </r>
  <r>
    <n v="0.20221068931780928"/>
  </r>
  <r>
    <n v="4.960833593219717E-2"/>
  </r>
  <r>
    <n v="4.7105677418570586E-2"/>
  </r>
  <r>
    <n v="6.1833171677982544E-2"/>
  </r>
  <r>
    <n v="5.8717990539879306E-2"/>
  </r>
  <r>
    <n v="0.14994352409638553"/>
  </r>
  <r>
    <n v="8.3236146016415088E-2"/>
  </r>
  <r>
    <n v="0.16970222472190977"/>
  </r>
  <r>
    <n v="8.9703283982209225E-2"/>
  </r>
  <r>
    <n v="7.5340634479921842E-2"/>
  </r>
  <r>
    <n v="0.1373802546359002"/>
  </r>
  <r>
    <n v="0.14202239056803787"/>
  </r>
  <r>
    <n v="0.15956484077978808"/>
  </r>
  <r>
    <n v="0.15288345823413546"/>
  </r>
  <r>
    <n v="8.8292264920880284E-2"/>
  </r>
  <r>
    <n v="8.1183792744949274E-2"/>
  </r>
  <r>
    <n v="0.14213544865528843"/>
  </r>
  <r>
    <n v="8.8029076024629935E-2"/>
  </r>
  <r>
    <n v="0.15804065115991722"/>
  </r>
  <r>
    <n v="8.0925397387554429E-2"/>
  </r>
  <r>
    <n v="7.2946169166955982E-2"/>
  </r>
  <r>
    <n v="7.7688387178299151E-2"/>
  </r>
  <r>
    <n v="0.16454273222161631"/>
  </r>
  <r>
    <n v="0.11209931460051926"/>
  </r>
  <r>
    <n v="0.19745171369825312"/>
  </r>
  <r>
    <n v="8.9371841155234666E-2"/>
  </r>
  <r>
    <n v="0.11678697857302239"/>
  </r>
  <r>
    <n v="0.1937981390540191"/>
  </r>
  <r>
    <n v="0.17960172089548393"/>
  </r>
  <r>
    <n v="7.9186110256855957E-2"/>
  </r>
  <r>
    <n v="0.15922969803158368"/>
  </r>
  <r>
    <n v="6.4807944262816983E-2"/>
  </r>
  <r>
    <n v="5.830414301244112E-2"/>
  </r>
  <r>
    <n v="0.19019857058650161"/>
  </r>
  <r>
    <n v="0.1277291683702674"/>
  </r>
  <r>
    <n v="0.18773556747902018"/>
  </r>
  <r>
    <n v="0.12445847712754239"/>
  </r>
  <r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6DBCF-E4AC-4204-A953-22087CEE7A22}" name="PivotTable26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2:M23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 Profit margin %" fld="0" subtotal="average" baseField="0" baseItem="0" numFmtId="1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8665C-EFBB-4701-B075-51399F0D1DE4}" name="PivotTable23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9:M20" firstHeaderRow="1" firstDataRow="1" firstDataCol="0"/>
  <pivotFields count="1">
    <pivotField dataField="1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</pivotFields>
  <rowItems count="1">
    <i/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F4391-C017-4C5B-B20E-A71CA8FA2B2E}" name="PivotTable2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2:K23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Profit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A08F7-15CF-474E-A59E-0DC72E47C019}" name="PivotTable19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19:K20" firstHeaderRow="1" firstDataRow="1" firstDataCol="0"/>
  <pivotFields count="1">
    <pivotField dataField="1" numFmtId="164" showAll="0"/>
  </pivotFields>
  <rowItems count="1">
    <i/>
  </rowItems>
  <colItems count="1">
    <i/>
  </colItems>
  <dataFields count="1">
    <dataField name="Total Revenue" fld="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ED592-5494-4BBC-9288-0644A7912DE3}" name="PivotTable16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Monthly Sales Trends">
  <location ref="K3:N17" firstHeaderRow="0" firstDataRow="1" firstDataCol="1"/>
  <pivotFields count="22">
    <pivotField dataField="1" showAll="0"/>
    <pivotField numFmtId="14" showAll="0">
      <items count="350">
        <item x="29"/>
        <item x="294"/>
        <item x="263"/>
        <item x="88"/>
        <item x="290"/>
        <item x="189"/>
        <item x="335"/>
        <item x="172"/>
        <item x="292"/>
        <item x="254"/>
        <item x="200"/>
        <item x="33"/>
        <item x="179"/>
        <item x="38"/>
        <item x="311"/>
        <item x="287"/>
        <item x="89"/>
        <item x="333"/>
        <item x="260"/>
        <item x="6"/>
        <item x="28"/>
        <item x="320"/>
        <item x="187"/>
        <item x="150"/>
        <item x="234"/>
        <item x="161"/>
        <item x="147"/>
        <item x="87"/>
        <item x="107"/>
        <item x="214"/>
        <item x="325"/>
        <item x="342"/>
        <item x="255"/>
        <item x="7"/>
        <item x="204"/>
        <item x="285"/>
        <item x="170"/>
        <item x="122"/>
        <item x="68"/>
        <item x="17"/>
        <item x="331"/>
        <item x="82"/>
        <item x="21"/>
        <item x="191"/>
        <item x="227"/>
        <item x="127"/>
        <item x="153"/>
        <item x="74"/>
        <item x="104"/>
        <item x="142"/>
        <item x="286"/>
        <item x="16"/>
        <item x="32"/>
        <item x="175"/>
        <item x="94"/>
        <item x="137"/>
        <item x="245"/>
        <item x="1"/>
        <item x="14"/>
        <item x="316"/>
        <item x="35"/>
        <item x="271"/>
        <item x="233"/>
        <item x="211"/>
        <item x="80"/>
        <item x="305"/>
        <item x="134"/>
        <item x="108"/>
        <item x="338"/>
        <item x="194"/>
        <item x="268"/>
        <item x="156"/>
        <item x="277"/>
        <item x="91"/>
        <item x="235"/>
        <item x="306"/>
        <item x="36"/>
        <item x="13"/>
        <item x="201"/>
        <item x="280"/>
        <item x="192"/>
        <item x="259"/>
        <item x="79"/>
        <item x="43"/>
        <item x="313"/>
        <item x="236"/>
        <item x="115"/>
        <item x="39"/>
        <item x="40"/>
        <item x="54"/>
        <item x="66"/>
        <item x="47"/>
        <item x="304"/>
        <item x="140"/>
        <item x="163"/>
        <item x="297"/>
        <item x="272"/>
        <item x="176"/>
        <item x="250"/>
        <item x="341"/>
        <item x="244"/>
        <item x="59"/>
        <item x="25"/>
        <item x="222"/>
        <item x="229"/>
        <item x="116"/>
        <item x="326"/>
        <item x="307"/>
        <item x="48"/>
        <item x="75"/>
        <item x="62"/>
        <item x="246"/>
        <item x="53"/>
        <item x="56"/>
        <item x="332"/>
        <item x="105"/>
        <item x="133"/>
        <item x="97"/>
        <item x="169"/>
        <item x="281"/>
        <item x="114"/>
        <item x="262"/>
        <item x="339"/>
        <item x="228"/>
        <item x="253"/>
        <item x="34"/>
        <item x="168"/>
        <item x="215"/>
        <item x="81"/>
        <item x="126"/>
        <item x="216"/>
        <item x="247"/>
        <item x="112"/>
        <item x="293"/>
        <item x="27"/>
        <item x="223"/>
        <item x="182"/>
        <item x="230"/>
        <item x="50"/>
        <item x="310"/>
        <item x="347"/>
        <item x="146"/>
        <item x="152"/>
        <item x="278"/>
        <item x="348"/>
        <item x="69"/>
        <item x="264"/>
        <item x="165"/>
        <item x="117"/>
        <item x="193"/>
        <item x="232"/>
        <item x="63"/>
        <item x="157"/>
        <item x="12"/>
        <item x="327"/>
        <item x="267"/>
        <item x="226"/>
        <item x="99"/>
        <item x="323"/>
        <item x="132"/>
        <item x="186"/>
        <item x="10"/>
        <item x="18"/>
        <item x="120"/>
        <item x="218"/>
        <item x="321"/>
        <item x="324"/>
        <item x="125"/>
        <item x="65"/>
        <item x="283"/>
        <item x="131"/>
        <item x="257"/>
        <item x="220"/>
        <item x="171"/>
        <item x="45"/>
        <item x="303"/>
        <item x="61"/>
        <item x="345"/>
        <item x="130"/>
        <item x="343"/>
        <item x="83"/>
        <item x="231"/>
        <item x="298"/>
        <item x="240"/>
        <item x="101"/>
        <item x="329"/>
        <item x="55"/>
        <item x="85"/>
        <item x="73"/>
        <item x="319"/>
        <item x="167"/>
        <item x="265"/>
        <item x="256"/>
        <item x="225"/>
        <item x="76"/>
        <item x="181"/>
        <item x="209"/>
        <item x="95"/>
        <item x="106"/>
        <item x="111"/>
        <item x="276"/>
        <item x="249"/>
        <item x="330"/>
        <item x="210"/>
        <item x="90"/>
        <item x="199"/>
        <item x="318"/>
        <item x="42"/>
        <item x="148"/>
        <item x="144"/>
        <item x="4"/>
        <item x="252"/>
        <item x="110"/>
        <item x="180"/>
        <item x="217"/>
        <item x="237"/>
        <item x="317"/>
        <item x="51"/>
        <item x="266"/>
        <item x="273"/>
        <item x="139"/>
        <item x="136"/>
        <item x="188"/>
        <item x="183"/>
        <item x="77"/>
        <item x="162"/>
        <item x="274"/>
        <item x="340"/>
        <item x="71"/>
        <item x="145"/>
        <item x="109"/>
        <item x="78"/>
        <item x="241"/>
        <item x="128"/>
        <item x="248"/>
        <item x="205"/>
        <item x="270"/>
        <item x="138"/>
        <item x="275"/>
        <item x="288"/>
        <item x="151"/>
        <item x="346"/>
        <item x="334"/>
        <item x="19"/>
        <item x="174"/>
        <item x="119"/>
        <item x="9"/>
        <item x="166"/>
        <item x="118"/>
        <item x="8"/>
        <item x="295"/>
        <item x="159"/>
        <item x="22"/>
        <item x="121"/>
        <item x="239"/>
        <item x="84"/>
        <item x="98"/>
        <item x="337"/>
        <item x="291"/>
        <item x="23"/>
        <item x="158"/>
        <item x="178"/>
        <item x="58"/>
        <item x="31"/>
        <item x="309"/>
        <item x="123"/>
        <item x="155"/>
        <item x="160"/>
        <item x="135"/>
        <item x="49"/>
        <item x="0"/>
        <item x="52"/>
        <item x="302"/>
        <item x="20"/>
        <item x="3"/>
        <item x="44"/>
        <item x="289"/>
        <item x="284"/>
        <item x="141"/>
        <item x="100"/>
        <item x="46"/>
        <item x="15"/>
        <item x="282"/>
        <item x="190"/>
        <item x="221"/>
        <item x="207"/>
        <item x="224"/>
        <item x="102"/>
        <item x="344"/>
        <item x="336"/>
        <item x="203"/>
        <item x="64"/>
        <item x="315"/>
        <item x="173"/>
        <item x="2"/>
        <item x="328"/>
        <item x="70"/>
        <item x="93"/>
        <item x="301"/>
        <item x="149"/>
        <item x="238"/>
        <item x="177"/>
        <item x="143"/>
        <item x="243"/>
        <item x="299"/>
        <item x="213"/>
        <item x="296"/>
        <item x="322"/>
        <item x="86"/>
        <item x="208"/>
        <item x="198"/>
        <item x="113"/>
        <item x="37"/>
        <item x="261"/>
        <item x="206"/>
        <item x="251"/>
        <item x="124"/>
        <item x="219"/>
        <item x="164"/>
        <item x="269"/>
        <item x="279"/>
        <item x="184"/>
        <item x="242"/>
        <item x="195"/>
        <item x="96"/>
        <item x="41"/>
        <item x="258"/>
        <item x="202"/>
        <item x="67"/>
        <item x="5"/>
        <item x="154"/>
        <item x="212"/>
        <item x="312"/>
        <item x="26"/>
        <item x="72"/>
        <item x="197"/>
        <item x="92"/>
        <item x="103"/>
        <item x="185"/>
        <item x="30"/>
        <item x="196"/>
        <item x="11"/>
        <item x="308"/>
        <item x="60"/>
        <item x="57"/>
        <item x="129"/>
        <item x="300"/>
        <item x="314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numFmtId="2" showAll="0"/>
    <pivotField showAll="0"/>
    <pivotField dataField="1" numFmtId="2" showAll="0"/>
    <pivotField showAll="0"/>
    <pivotField showAll="0"/>
    <pivotField axis="axisRow" showAll="0" sortType="ascending">
      <items count="14">
        <item x="6"/>
        <item x="0"/>
        <item x="2"/>
        <item x="4"/>
        <item x="10"/>
        <item x="8"/>
        <item x="5"/>
        <item x="1"/>
        <item x="9"/>
        <item x="11"/>
        <item x="7"/>
        <item x="12"/>
        <item x="3"/>
        <item t="default"/>
      </items>
    </pivotField>
    <pivotField showAll="0">
      <items count="3">
        <item x="1"/>
        <item x="0"/>
        <item t="default"/>
      </items>
    </pivotField>
    <pivotField numFmtId="10"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" fld="8" baseField="14" baseItem="0" numFmtId="172"/>
    <dataField name="Profits" fld="11" baseField="14" baseItem="0" numFmtId="171"/>
    <dataField name="Orders" fld="0" subtotal="count" baseField="14" baseItem="0"/>
  </dataFields>
  <formats count="2">
    <format dxfId="2">
      <pivotArea grandRow="1" outline="0" collapsedLevelsAreSubtotals="1" fieldPosition="0"/>
    </format>
    <format dxfId="3">
      <pivotArea dataOnly="0" labelOnly="1" grandRow="1" outline="0" fieldPosition="0"/>
    </format>
  </format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D5861-A1C5-4C58-B3E5-4BB7F615D5D9}" name="PivotTable1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Method">
  <location ref="A20:D25" firstHeaderRow="0" firstDataRow="1" firstDataCol="1"/>
  <pivotFields count="22">
    <pivotField dataField="1" showAll="0">
      <items count="1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50">
        <item x="29"/>
        <item x="294"/>
        <item x="263"/>
        <item x="88"/>
        <item x="290"/>
        <item x="189"/>
        <item x="335"/>
        <item x="172"/>
        <item x="292"/>
        <item x="254"/>
        <item x="200"/>
        <item x="33"/>
        <item x="179"/>
        <item x="38"/>
        <item x="311"/>
        <item x="287"/>
        <item x="89"/>
        <item x="333"/>
        <item x="260"/>
        <item x="6"/>
        <item x="28"/>
        <item x="320"/>
        <item x="187"/>
        <item x="150"/>
        <item x="234"/>
        <item x="161"/>
        <item x="147"/>
        <item x="87"/>
        <item x="107"/>
        <item x="214"/>
        <item x="325"/>
        <item x="342"/>
        <item x="255"/>
        <item x="7"/>
        <item x="204"/>
        <item x="285"/>
        <item x="170"/>
        <item x="122"/>
        <item x="68"/>
        <item x="17"/>
        <item x="331"/>
        <item x="82"/>
        <item x="21"/>
        <item x="191"/>
        <item x="227"/>
        <item x="127"/>
        <item x="153"/>
        <item x="74"/>
        <item x="104"/>
        <item x="142"/>
        <item x="286"/>
        <item x="16"/>
        <item x="32"/>
        <item x="175"/>
        <item x="94"/>
        <item x="137"/>
        <item x="245"/>
        <item x="1"/>
        <item x="14"/>
        <item x="316"/>
        <item x="35"/>
        <item x="271"/>
        <item x="233"/>
        <item x="211"/>
        <item x="80"/>
        <item x="305"/>
        <item x="134"/>
        <item x="108"/>
        <item x="338"/>
        <item x="194"/>
        <item x="268"/>
        <item x="156"/>
        <item x="277"/>
        <item x="91"/>
        <item x="235"/>
        <item x="306"/>
        <item x="36"/>
        <item x="13"/>
        <item x="201"/>
        <item x="280"/>
        <item x="192"/>
        <item x="259"/>
        <item x="79"/>
        <item x="43"/>
        <item x="313"/>
        <item x="236"/>
        <item x="115"/>
        <item x="39"/>
        <item x="40"/>
        <item x="54"/>
        <item x="66"/>
        <item x="47"/>
        <item x="304"/>
        <item x="140"/>
        <item x="163"/>
        <item x="297"/>
        <item x="272"/>
        <item x="176"/>
        <item x="250"/>
        <item x="341"/>
        <item x="244"/>
        <item x="59"/>
        <item x="25"/>
        <item x="222"/>
        <item x="229"/>
        <item x="116"/>
        <item x="326"/>
        <item x="307"/>
        <item x="48"/>
        <item x="75"/>
        <item x="62"/>
        <item x="246"/>
        <item x="53"/>
        <item x="56"/>
        <item x="332"/>
        <item x="105"/>
        <item x="133"/>
        <item x="97"/>
        <item x="169"/>
        <item x="281"/>
        <item x="114"/>
        <item x="262"/>
        <item x="339"/>
        <item x="228"/>
        <item x="253"/>
        <item x="34"/>
        <item x="168"/>
        <item x="215"/>
        <item x="81"/>
        <item x="126"/>
        <item x="216"/>
        <item x="247"/>
        <item x="112"/>
        <item x="293"/>
        <item x="27"/>
        <item x="223"/>
        <item x="182"/>
        <item x="230"/>
        <item x="50"/>
        <item x="310"/>
        <item x="347"/>
        <item x="146"/>
        <item x="152"/>
        <item x="278"/>
        <item x="348"/>
        <item x="69"/>
        <item x="264"/>
        <item x="165"/>
        <item x="117"/>
        <item x="193"/>
        <item x="232"/>
        <item x="63"/>
        <item x="157"/>
        <item x="12"/>
        <item x="327"/>
        <item x="267"/>
        <item x="226"/>
        <item x="99"/>
        <item x="323"/>
        <item x="132"/>
        <item x="186"/>
        <item x="10"/>
        <item x="18"/>
        <item x="120"/>
        <item x="218"/>
        <item x="321"/>
        <item x="324"/>
        <item x="125"/>
        <item x="65"/>
        <item x="283"/>
        <item x="131"/>
        <item x="257"/>
        <item x="220"/>
        <item x="171"/>
        <item x="45"/>
        <item x="303"/>
        <item x="61"/>
        <item x="345"/>
        <item x="130"/>
        <item x="343"/>
        <item x="83"/>
        <item x="231"/>
        <item x="298"/>
        <item x="240"/>
        <item x="101"/>
        <item x="329"/>
        <item x="55"/>
        <item x="85"/>
        <item x="73"/>
        <item x="319"/>
        <item x="167"/>
        <item x="265"/>
        <item x="256"/>
        <item x="225"/>
        <item x="76"/>
        <item x="181"/>
        <item x="209"/>
        <item x="95"/>
        <item x="106"/>
        <item x="111"/>
        <item x="276"/>
        <item x="249"/>
        <item x="330"/>
        <item x="210"/>
        <item x="90"/>
        <item x="199"/>
        <item x="318"/>
        <item x="42"/>
        <item x="148"/>
        <item x="144"/>
        <item x="4"/>
        <item x="252"/>
        <item x="110"/>
        <item x="180"/>
        <item x="217"/>
        <item x="237"/>
        <item x="317"/>
        <item x="51"/>
        <item x="266"/>
        <item x="273"/>
        <item x="139"/>
        <item x="136"/>
        <item x="188"/>
        <item x="183"/>
        <item x="77"/>
        <item x="162"/>
        <item x="274"/>
        <item x="340"/>
        <item x="71"/>
        <item x="145"/>
        <item x="109"/>
        <item x="78"/>
        <item x="241"/>
        <item x="128"/>
        <item x="248"/>
        <item x="205"/>
        <item x="270"/>
        <item x="138"/>
        <item x="275"/>
        <item x="288"/>
        <item x="151"/>
        <item x="346"/>
        <item x="334"/>
        <item x="19"/>
        <item x="174"/>
        <item x="119"/>
        <item x="9"/>
        <item x="166"/>
        <item x="118"/>
        <item x="8"/>
        <item x="295"/>
        <item x="159"/>
        <item x="22"/>
        <item x="121"/>
        <item x="239"/>
        <item x="84"/>
        <item x="98"/>
        <item x="337"/>
        <item x="291"/>
        <item x="23"/>
        <item x="158"/>
        <item x="178"/>
        <item x="58"/>
        <item x="31"/>
        <item x="309"/>
        <item x="123"/>
        <item x="155"/>
        <item x="160"/>
        <item x="135"/>
        <item x="49"/>
        <item x="0"/>
        <item x="52"/>
        <item x="302"/>
        <item x="20"/>
        <item x="3"/>
        <item x="44"/>
        <item x="289"/>
        <item x="284"/>
        <item x="141"/>
        <item x="100"/>
        <item x="46"/>
        <item x="15"/>
        <item x="282"/>
        <item x="190"/>
        <item x="221"/>
        <item x="207"/>
        <item x="224"/>
        <item x="102"/>
        <item x="344"/>
        <item x="336"/>
        <item x="203"/>
        <item x="64"/>
        <item x="315"/>
        <item x="173"/>
        <item x="2"/>
        <item x="328"/>
        <item x="70"/>
        <item x="93"/>
        <item x="301"/>
        <item x="149"/>
        <item x="238"/>
        <item x="177"/>
        <item x="143"/>
        <item x="243"/>
        <item x="299"/>
        <item x="213"/>
        <item x="296"/>
        <item x="322"/>
        <item x="86"/>
        <item x="208"/>
        <item x="198"/>
        <item x="113"/>
        <item x="37"/>
        <item x="261"/>
        <item x="206"/>
        <item x="251"/>
        <item x="124"/>
        <item x="219"/>
        <item x="164"/>
        <item x="269"/>
        <item x="279"/>
        <item x="184"/>
        <item x="242"/>
        <item x="195"/>
        <item x="96"/>
        <item x="41"/>
        <item x="258"/>
        <item x="202"/>
        <item x="67"/>
        <item x="5"/>
        <item x="154"/>
        <item x="212"/>
        <item x="312"/>
        <item x="26"/>
        <item x="72"/>
        <item x="197"/>
        <item x="92"/>
        <item x="103"/>
        <item x="185"/>
        <item x="30"/>
        <item x="196"/>
        <item x="11"/>
        <item x="308"/>
        <item x="60"/>
        <item x="57"/>
        <item x="129"/>
        <item x="300"/>
        <item x="314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numFmtId="2" showAll="0"/>
    <pivotField showAll="0"/>
    <pivotField numFmtId="2" showAll="0"/>
    <pivotField showAll="0"/>
    <pivotField axis="axisRow" dataField="1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0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3"/>
  </rowFields>
  <rowItems count="5">
    <i>
      <x v="1"/>
    </i>
    <i>
      <x v="2"/>
    </i>
    <i>
      <x v="3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" fld="8" baseField="13" baseItem="1" numFmtId="164"/>
    <dataField name="Count" fld="13" subtotal="count" baseField="13" baseItem="1"/>
    <dataField name="% share" fld="0" subtotal="count" showDataAs="percentOfTotal" baseField="0" baseItem="0" numFmtId="10"/>
  </dataFields>
  <formats count="2">
    <format dxfId="10">
      <pivotArea grandRow="1" outline="0" collapsedLevelsAreSubtotals="1" fieldPosition="0"/>
    </format>
    <format dxfId="9">
      <pivotArea dataOnly="0" labelOnly="1" grandRow="1" outline="0" fieldPosition="0"/>
    </format>
  </formats>
  <chartFormats count="15">
    <chartFormat chart="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1"/>
          </reference>
          <reference field="13" count="1" selected="0">
            <x v="3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6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29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  <chartFormat chart="6" format="30">
      <pivotArea type="data" outline="0" fieldPosition="0">
        <references count="2">
          <reference field="4294967294" count="1" selected="0">
            <x v="2"/>
          </reference>
          <reference field="13" count="1" selected="0">
            <x v="2"/>
          </reference>
        </references>
      </pivotArea>
    </chartFormat>
    <chartFormat chart="6" format="31">
      <pivotArea type="data" outline="0" fieldPosition="0">
        <references count="2">
          <reference field="4294967294" count="1" selected="0">
            <x v="2"/>
          </reference>
          <reference field="13" count="1" selected="0">
            <x v="3"/>
          </reference>
        </references>
      </pivotArea>
    </chartFormat>
    <chartFormat chart="6" format="32">
      <pivotArea type="data" outline="0" fieldPosition="0">
        <references count="2">
          <reference field="4294967294" count="1" selected="0">
            <x v="2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D91B3-D554-464C-AC99-0865C333803C}" name="PivotTable13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ategory">
  <location ref="A12:D16" firstHeaderRow="0" firstDataRow="1" firstDataCol="1"/>
  <pivotFields count="12">
    <pivotField dataField="1" showAll="0"/>
    <pivotField numFmtId="14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numFmtId="164" showAll="0"/>
    <pivotField numFmtId="2" showAll="0"/>
    <pivotField showAll="0"/>
    <pivotField dataField="1" numFmtId="2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" fld="8" baseField="5" baseItem="0" numFmtId="164"/>
    <dataField name="Profits" fld="11" baseField="5" baseItem="0" numFmtId="171"/>
    <dataField name="% orders" fld="0" subtotal="count" showDataAs="percentOfTotal" baseField="0" baseItem="0" numFmtId="10"/>
  </dataFields>
  <formats count="1">
    <format dxfId="11">
      <pivotArea dataOnly="0" grandRow="1" fieldPosition="0"/>
    </format>
  </formats>
  <chartFormats count="12"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2"/>
          </reference>
          <reference field="5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2"/>
          </reference>
          <reference field="5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2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78924-760A-4E10-9707-5A1B8455E7BB}" name="PivotTable1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tstus">
  <location ref="F20:I24" firstHeaderRow="0" firstDataRow="1" firstDataCol="1"/>
  <pivotFields count="22">
    <pivotField dataField="1" showAll="0">
      <items count="1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50">
        <item x="29"/>
        <item x="294"/>
        <item x="263"/>
        <item x="88"/>
        <item x="290"/>
        <item x="189"/>
        <item x="335"/>
        <item x="172"/>
        <item x="292"/>
        <item x="254"/>
        <item x="200"/>
        <item x="33"/>
        <item x="179"/>
        <item x="38"/>
        <item x="311"/>
        <item x="287"/>
        <item x="89"/>
        <item x="333"/>
        <item x="260"/>
        <item x="6"/>
        <item x="28"/>
        <item x="320"/>
        <item x="187"/>
        <item x="150"/>
        <item x="234"/>
        <item x="161"/>
        <item x="147"/>
        <item x="87"/>
        <item x="107"/>
        <item x="214"/>
        <item x="325"/>
        <item x="342"/>
        <item x="255"/>
        <item x="7"/>
        <item x="204"/>
        <item x="285"/>
        <item x="170"/>
        <item x="122"/>
        <item x="68"/>
        <item x="17"/>
        <item x="331"/>
        <item x="82"/>
        <item x="21"/>
        <item x="191"/>
        <item x="227"/>
        <item x="127"/>
        <item x="153"/>
        <item x="74"/>
        <item x="104"/>
        <item x="142"/>
        <item x="286"/>
        <item x="16"/>
        <item x="32"/>
        <item x="175"/>
        <item x="94"/>
        <item x="137"/>
        <item x="245"/>
        <item x="1"/>
        <item x="14"/>
        <item x="316"/>
        <item x="35"/>
        <item x="271"/>
        <item x="233"/>
        <item x="211"/>
        <item x="80"/>
        <item x="305"/>
        <item x="134"/>
        <item x="108"/>
        <item x="338"/>
        <item x="194"/>
        <item x="268"/>
        <item x="156"/>
        <item x="277"/>
        <item x="91"/>
        <item x="235"/>
        <item x="306"/>
        <item x="36"/>
        <item x="13"/>
        <item x="201"/>
        <item x="280"/>
        <item x="192"/>
        <item x="259"/>
        <item x="79"/>
        <item x="43"/>
        <item x="313"/>
        <item x="236"/>
        <item x="115"/>
        <item x="39"/>
        <item x="40"/>
        <item x="54"/>
        <item x="66"/>
        <item x="47"/>
        <item x="304"/>
        <item x="140"/>
        <item x="163"/>
        <item x="297"/>
        <item x="272"/>
        <item x="176"/>
        <item x="250"/>
        <item x="341"/>
        <item x="244"/>
        <item x="59"/>
        <item x="25"/>
        <item x="222"/>
        <item x="229"/>
        <item x="116"/>
        <item x="326"/>
        <item x="307"/>
        <item x="48"/>
        <item x="75"/>
        <item x="62"/>
        <item x="246"/>
        <item x="53"/>
        <item x="56"/>
        <item x="332"/>
        <item x="105"/>
        <item x="133"/>
        <item x="97"/>
        <item x="169"/>
        <item x="281"/>
        <item x="114"/>
        <item x="262"/>
        <item x="339"/>
        <item x="228"/>
        <item x="253"/>
        <item x="34"/>
        <item x="168"/>
        <item x="215"/>
        <item x="81"/>
        <item x="126"/>
        <item x="216"/>
        <item x="247"/>
        <item x="112"/>
        <item x="293"/>
        <item x="27"/>
        <item x="223"/>
        <item x="182"/>
        <item x="230"/>
        <item x="50"/>
        <item x="310"/>
        <item x="347"/>
        <item x="146"/>
        <item x="152"/>
        <item x="278"/>
        <item x="348"/>
        <item x="69"/>
        <item x="264"/>
        <item x="165"/>
        <item x="117"/>
        <item x="193"/>
        <item x="232"/>
        <item x="63"/>
        <item x="157"/>
        <item x="12"/>
        <item x="327"/>
        <item x="267"/>
        <item x="226"/>
        <item x="99"/>
        <item x="323"/>
        <item x="132"/>
        <item x="186"/>
        <item x="10"/>
        <item x="18"/>
        <item x="120"/>
        <item x="218"/>
        <item x="321"/>
        <item x="324"/>
        <item x="125"/>
        <item x="65"/>
        <item x="283"/>
        <item x="131"/>
        <item x="257"/>
        <item x="220"/>
        <item x="171"/>
        <item x="45"/>
        <item x="303"/>
        <item x="61"/>
        <item x="345"/>
        <item x="130"/>
        <item x="343"/>
        <item x="83"/>
        <item x="231"/>
        <item x="298"/>
        <item x="240"/>
        <item x="101"/>
        <item x="329"/>
        <item x="55"/>
        <item x="85"/>
        <item x="73"/>
        <item x="319"/>
        <item x="167"/>
        <item x="265"/>
        <item x="256"/>
        <item x="225"/>
        <item x="76"/>
        <item x="181"/>
        <item x="209"/>
        <item x="95"/>
        <item x="106"/>
        <item x="111"/>
        <item x="276"/>
        <item x="249"/>
        <item x="330"/>
        <item x="210"/>
        <item x="90"/>
        <item x="199"/>
        <item x="318"/>
        <item x="42"/>
        <item x="148"/>
        <item x="144"/>
        <item x="4"/>
        <item x="252"/>
        <item x="110"/>
        <item x="180"/>
        <item x="217"/>
        <item x="237"/>
        <item x="317"/>
        <item x="51"/>
        <item x="266"/>
        <item x="273"/>
        <item x="139"/>
        <item x="136"/>
        <item x="188"/>
        <item x="183"/>
        <item x="77"/>
        <item x="162"/>
        <item x="274"/>
        <item x="340"/>
        <item x="71"/>
        <item x="145"/>
        <item x="109"/>
        <item x="78"/>
        <item x="241"/>
        <item x="128"/>
        <item x="248"/>
        <item x="205"/>
        <item x="270"/>
        <item x="138"/>
        <item x="275"/>
        <item x="288"/>
        <item x="151"/>
        <item x="346"/>
        <item x="334"/>
        <item x="19"/>
        <item x="174"/>
        <item x="119"/>
        <item x="9"/>
        <item x="166"/>
        <item x="118"/>
        <item x="8"/>
        <item x="295"/>
        <item x="159"/>
        <item x="22"/>
        <item x="121"/>
        <item x="239"/>
        <item x="84"/>
        <item x="98"/>
        <item x="337"/>
        <item x="291"/>
        <item x="23"/>
        <item x="158"/>
        <item x="178"/>
        <item x="58"/>
        <item x="31"/>
        <item x="309"/>
        <item x="123"/>
        <item x="155"/>
        <item x="160"/>
        <item x="135"/>
        <item x="49"/>
        <item x="0"/>
        <item x="52"/>
        <item x="302"/>
        <item x="20"/>
        <item x="3"/>
        <item x="44"/>
        <item x="289"/>
        <item x="284"/>
        <item x="141"/>
        <item x="100"/>
        <item x="46"/>
        <item x="15"/>
        <item x="282"/>
        <item x="190"/>
        <item x="221"/>
        <item x="207"/>
        <item x="224"/>
        <item x="102"/>
        <item x="344"/>
        <item x="336"/>
        <item x="203"/>
        <item x="64"/>
        <item x="315"/>
        <item x="173"/>
        <item x="2"/>
        <item x="328"/>
        <item x="70"/>
        <item x="93"/>
        <item x="301"/>
        <item x="149"/>
        <item x="238"/>
        <item x="177"/>
        <item x="143"/>
        <item x="243"/>
        <item x="299"/>
        <item x="213"/>
        <item x="296"/>
        <item x="322"/>
        <item x="86"/>
        <item x="208"/>
        <item x="198"/>
        <item x="113"/>
        <item x="37"/>
        <item x="261"/>
        <item x="206"/>
        <item x="251"/>
        <item x="124"/>
        <item x="219"/>
        <item x="164"/>
        <item x="269"/>
        <item x="279"/>
        <item x="184"/>
        <item x="242"/>
        <item x="195"/>
        <item x="96"/>
        <item x="41"/>
        <item x="258"/>
        <item x="202"/>
        <item x="67"/>
        <item x="5"/>
        <item x="154"/>
        <item x="212"/>
        <item x="312"/>
        <item x="26"/>
        <item x="72"/>
        <item x="197"/>
        <item x="92"/>
        <item x="103"/>
        <item x="185"/>
        <item x="30"/>
        <item x="196"/>
        <item x="11"/>
        <item x="308"/>
        <item x="60"/>
        <item x="57"/>
        <item x="129"/>
        <item x="300"/>
        <item x="314"/>
        <item x="24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numFmtId="164" showAll="0"/>
    <pivotField numFmtId="2" showAll="0"/>
    <pivotField showAll="0"/>
    <pivotField numFmtId="2" showAll="0"/>
    <pivotField axis="axisRow" showAll="0">
      <items count="4">
        <item x="0"/>
        <item x="2"/>
        <item x="1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numFmtId="10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" fld="0" subtotal="count" baseField="12" baseItem="0"/>
    <dataField name="sales" fld="8" baseField="12" baseItem="0" numFmtId="164"/>
    <dataField name="% Total" fld="0" subtotal="count" showDataAs="percentOfTotal" baseField="0" baseItem="0" numFmtId="10"/>
  </dataFields>
  <formats count="1">
    <format dxfId="1">
      <pivotArea dataOnly="0" grandRow="1" fieldPosition="0"/>
    </format>
  </format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8FA0C-D9E4-4199-8CD7-E3BE5F81C090}" name="PivotTable8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Category">
  <location ref="F3:I16" firstHeaderRow="0" firstDataRow="1" firstDataCol="1"/>
  <pivotFields count="12">
    <pivotField showAll="0"/>
    <pivotField numFmtId="14" showAll="0"/>
    <pivotField showAll="0"/>
    <pivotField showAll="0"/>
    <pivotField showAll="0"/>
    <pivotField showAll="0"/>
    <pivotField axis="axisRow" showAll="0">
      <items count="13">
        <item x="2"/>
        <item x="3"/>
        <item x="5"/>
        <item x="7"/>
        <item x="9"/>
        <item x="6"/>
        <item x="10"/>
        <item x="1"/>
        <item x="11"/>
        <item x="8"/>
        <item x="4"/>
        <item x="0"/>
        <item t="default"/>
      </items>
    </pivotField>
    <pivotField showAll="0"/>
    <pivotField dataField="1" numFmtId="164" showAll="0"/>
    <pivotField dataField="1" numFmtId="2" showAll="0"/>
    <pivotField showAll="0"/>
    <pivotField dataField="1" numFmtId="2"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" fld="8" baseField="6" baseItem="0" numFmtId="164"/>
    <dataField name="Profits" fld="11" baseField="6" baseItem="0" numFmtId="2"/>
    <dataField name=" Quantity" fld="9" baseField="6" baseItem="0" numFmtId="2"/>
  </dataFields>
  <formats count="3">
    <format dxfId="6">
      <pivotArea dataOnly="0" labelOnly="1" grandRow="1" outline="0" fieldPosition="0"/>
    </format>
    <format dxfId="7">
      <pivotArea grandRow="1" outline="0" collapsedLevelsAreSubtotals="1" fieldPosition="0"/>
    </format>
    <format dxfId="8">
      <pivotArea dataOnly="0" labelOnly="1" grandRow="1" outline="0" fieldPosition="0"/>
    </format>
  </formats>
  <chartFormats count="3"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3ECF1-5402-43CB-8A4F-E3E9D0D3131A}" name="PivotTable7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Region">
  <location ref="A3:D8" firstHeaderRow="0" firstDataRow="1" firstDataCol="1"/>
  <pivotFields count="19">
    <pivotField showAll="0"/>
    <pivotField numFmtId="14"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4" showAll="0">
      <items count="1000">
        <item x="178"/>
        <item x="356"/>
        <item x="890"/>
        <item x="210"/>
        <item x="380"/>
        <item x="508"/>
        <item x="687"/>
        <item x="823"/>
        <item x="224"/>
        <item x="319"/>
        <item x="46"/>
        <item x="412"/>
        <item x="15"/>
        <item x="314"/>
        <item x="899"/>
        <item x="95"/>
        <item x="502"/>
        <item x="140"/>
        <item x="555"/>
        <item x="244"/>
        <item x="277"/>
        <item x="486"/>
        <item x="138"/>
        <item x="857"/>
        <item x="650"/>
        <item x="485"/>
        <item x="318"/>
        <item x="680"/>
        <item x="448"/>
        <item x="860"/>
        <item x="694"/>
        <item x="355"/>
        <item x="120"/>
        <item x="825"/>
        <item x="358"/>
        <item x="96"/>
        <item x="269"/>
        <item x="354"/>
        <item x="59"/>
        <item x="45"/>
        <item x="399"/>
        <item x="400"/>
        <item x="954"/>
        <item x="519"/>
        <item x="842"/>
        <item x="686"/>
        <item x="105"/>
        <item x="226"/>
        <item x="664"/>
        <item x="503"/>
        <item x="481"/>
        <item x="802"/>
        <item x="75"/>
        <item x="597"/>
        <item x="648"/>
        <item x="616"/>
        <item x="421"/>
        <item x="674"/>
        <item x="28"/>
        <item x="323"/>
        <item x="442"/>
        <item x="423"/>
        <item x="402"/>
        <item x="941"/>
        <item x="792"/>
        <item x="893"/>
        <item x="994"/>
        <item x="543"/>
        <item x="373"/>
        <item x="576"/>
        <item x="803"/>
        <item x="389"/>
        <item x="668"/>
        <item x="892"/>
        <item x="407"/>
        <item x="525"/>
        <item x="117"/>
        <item x="260"/>
        <item x="907"/>
        <item x="740"/>
        <item x="935"/>
        <item x="139"/>
        <item x="556"/>
        <item x="735"/>
        <item x="50"/>
        <item x="102"/>
        <item x="649"/>
        <item x="258"/>
        <item x="612"/>
        <item x="545"/>
        <item x="772"/>
        <item x="958"/>
        <item x="902"/>
        <item x="119"/>
        <item x="845"/>
        <item x="779"/>
        <item x="101"/>
        <item x="1"/>
        <item x="329"/>
        <item x="809"/>
        <item x="384"/>
        <item x="206"/>
        <item x="754"/>
        <item x="714"/>
        <item x="342"/>
        <item x="577"/>
        <item x="549"/>
        <item x="995"/>
        <item x="393"/>
        <item x="785"/>
        <item x="891"/>
        <item x="135"/>
        <item x="361"/>
        <item x="467"/>
        <item x="921"/>
        <item x="8"/>
        <item x="973"/>
        <item x="553"/>
        <item x="353"/>
        <item x="983"/>
        <item x="417"/>
        <item x="835"/>
        <item x="536"/>
        <item x="843"/>
        <item x="750"/>
        <item x="895"/>
        <item x="294"/>
        <item x="565"/>
        <item x="27"/>
        <item x="636"/>
        <item x="862"/>
        <item x="841"/>
        <item x="904"/>
        <item x="518"/>
        <item x="701"/>
        <item x="205"/>
        <item x="780"/>
        <item x="484"/>
        <item x="272"/>
        <item x="627"/>
        <item x="801"/>
        <item x="321"/>
        <item x="115"/>
        <item x="20"/>
        <item x="725"/>
        <item x="478"/>
        <item x="561"/>
        <item x="889"/>
        <item x="915"/>
        <item x="931"/>
        <item x="489"/>
        <item x="316"/>
        <item x="977"/>
        <item x="528"/>
        <item x="572"/>
        <item x="603"/>
        <item x="403"/>
        <item x="278"/>
        <item x="332"/>
        <item x="122"/>
        <item x="346"/>
        <item x="807"/>
        <item x="118"/>
        <item x="185"/>
        <item x="339"/>
        <item x="61"/>
        <item x="349"/>
        <item x="447"/>
        <item x="557"/>
        <item x="521"/>
        <item x="635"/>
        <item x="622"/>
        <item x="937"/>
        <item x="444"/>
        <item x="459"/>
        <item x="535"/>
        <item x="832"/>
        <item x="388"/>
        <item x="74"/>
        <item x="497"/>
        <item x="534"/>
        <item x="863"/>
        <item x="815"/>
        <item x="606"/>
        <item x="705"/>
        <item x="55"/>
        <item x="12"/>
        <item x="303"/>
        <item x="71"/>
        <item x="970"/>
        <item x="418"/>
        <item x="651"/>
        <item x="563"/>
        <item x="827"/>
        <item x="851"/>
        <item x="604"/>
        <item x="60"/>
        <item x="125"/>
        <item x="605"/>
        <item x="788"/>
        <item x="690"/>
        <item x="463"/>
        <item x="631"/>
        <item x="878"/>
        <item x="746"/>
        <item x="456"/>
        <item x="853"/>
        <item x="338"/>
        <item x="265"/>
        <item x="522"/>
        <item x="404"/>
        <item x="108"/>
        <item x="431"/>
        <item x="647"/>
        <item x="255"/>
        <item x="638"/>
        <item x="425"/>
        <item x="727"/>
        <item x="784"/>
        <item x="164"/>
        <item x="446"/>
        <item x="36"/>
        <item x="307"/>
        <item x="13"/>
        <item x="591"/>
        <item x="466"/>
        <item x="861"/>
        <item x="428"/>
        <item x="930"/>
        <item x="47"/>
        <item x="116"/>
        <item x="263"/>
        <item x="223"/>
        <item x="637"/>
        <item x="675"/>
        <item x="111"/>
        <item x="229"/>
        <item x="884"/>
        <item x="134"/>
        <item x="364"/>
        <item x="443"/>
        <item x="341"/>
        <item x="911"/>
        <item x="599"/>
        <item x="582"/>
        <item x="247"/>
        <item x="618"/>
        <item x="542"/>
        <item x="566"/>
        <item x="491"/>
        <item x="305"/>
        <item x="743"/>
        <item x="942"/>
        <item x="330"/>
        <item x="4"/>
        <item x="401"/>
        <item x="721"/>
        <item x="511"/>
        <item x="871"/>
        <item x="397"/>
        <item x="30"/>
        <item x="168"/>
        <item x="130"/>
        <item x="174"/>
        <item x="274"/>
        <item x="286"/>
        <item x="840"/>
        <item x="183"/>
        <item x="774"/>
        <item x="773"/>
        <item x="655"/>
        <item x="483"/>
        <item x="324"/>
        <item x="812"/>
        <item x="678"/>
        <item x="359"/>
        <item x="44"/>
        <item x="581"/>
        <item x="469"/>
        <item x="181"/>
        <item x="470"/>
        <item x="193"/>
        <item x="363"/>
        <item x="699"/>
        <item x="282"/>
        <item x="266"/>
        <item x="176"/>
        <item x="938"/>
        <item x="795"/>
        <item x="526"/>
        <item x="192"/>
        <item x="830"/>
        <item x="873"/>
        <item x="381"/>
        <item x="6"/>
        <item x="295"/>
        <item x="765"/>
        <item x="967"/>
        <item x="671"/>
        <item x="267"/>
        <item x="289"/>
        <item x="980"/>
        <item x="216"/>
        <item x="450"/>
        <item x="124"/>
        <item x="955"/>
        <item x="328"/>
        <item x="471"/>
        <item x="601"/>
        <item x="529"/>
        <item x="548"/>
        <item x="253"/>
        <item x="352"/>
        <item x="11"/>
        <item x="679"/>
        <item x="610"/>
        <item x="799"/>
        <item x="998"/>
        <item x="396"/>
        <item x="811"/>
        <item x="653"/>
        <item x="717"/>
        <item x="160"/>
        <item x="596"/>
        <item x="760"/>
        <item x="706"/>
        <item x="199"/>
        <item x="744"/>
        <item x="501"/>
        <item x="35"/>
        <item x="881"/>
        <item x="794"/>
        <item x="858"/>
        <item x="639"/>
        <item x="227"/>
        <item x="17"/>
        <item x="798"/>
        <item x="771"/>
        <item x="372"/>
        <item x="763"/>
        <item x="406"/>
        <item x="681"/>
        <item x="703"/>
        <item x="948"/>
        <item x="493"/>
        <item x="776"/>
        <item x="458"/>
        <item x="231"/>
        <item x="991"/>
        <item x="70"/>
        <item x="333"/>
        <item x="387"/>
        <item x="335"/>
        <item x="392"/>
        <item x="578"/>
        <item x="322"/>
        <item x="939"/>
        <item x="436"/>
        <item x="872"/>
        <item x="344"/>
        <item x="51"/>
        <item x="896"/>
        <item x="308"/>
        <item x="957"/>
        <item x="468"/>
        <item x="479"/>
        <item x="831"/>
        <item x="424"/>
        <item x="575"/>
        <item x="641"/>
        <item x="430"/>
        <item x="965"/>
        <item x="656"/>
        <item x="816"/>
        <item x="900"/>
        <item x="256"/>
        <item x="455"/>
        <item x="376"/>
        <item x="7"/>
        <item x="343"/>
        <item x="623"/>
        <item x="320"/>
        <item x="189"/>
        <item x="837"/>
        <item x="68"/>
        <item x="988"/>
        <item x="540"/>
        <item x="179"/>
        <item x="367"/>
        <item x="29"/>
        <item x="312"/>
        <item x="215"/>
        <item x="427"/>
        <item x="640"/>
        <item x="894"/>
        <item x="950"/>
        <item x="624"/>
        <item x="839"/>
        <item x="86"/>
        <item x="558"/>
        <item x="313"/>
        <item x="645"/>
        <item x="144"/>
        <item x="573"/>
        <item x="880"/>
        <item x="643"/>
        <item x="833"/>
        <item x="663"/>
        <item x="996"/>
        <item x="222"/>
        <item x="416"/>
        <item x="886"/>
        <item x="922"/>
        <item x="667"/>
        <item x="923"/>
        <item x="370"/>
        <item x="156"/>
        <item x="149"/>
        <item x="54"/>
        <item x="670"/>
        <item x="195"/>
        <item x="901"/>
        <item x="434"/>
        <item x="564"/>
        <item x="523"/>
        <item x="302"/>
        <item x="966"/>
        <item x="472"/>
        <item x="317"/>
        <item x="245"/>
        <item x="986"/>
        <item x="334"/>
        <item x="551"/>
        <item x="487"/>
        <item x="184"/>
        <item x="594"/>
        <item x="732"/>
        <item x="66"/>
        <item x="865"/>
        <item x="287"/>
        <item x="345"/>
        <item x="665"/>
        <item x="152"/>
        <item x="552"/>
        <item x="340"/>
        <item x="283"/>
        <item x="465"/>
        <item x="366"/>
        <item x="927"/>
        <item x="167"/>
        <item x="715"/>
        <item x="585"/>
        <item x="720"/>
        <item x="821"/>
        <item x="810"/>
        <item x="615"/>
        <item x="513"/>
        <item x="822"/>
        <item x="39"/>
        <item x="630"/>
        <item x="273"/>
        <item x="658"/>
        <item x="357"/>
        <item x="40"/>
        <item x="285"/>
        <item x="559"/>
        <item x="617"/>
        <item x="151"/>
        <item x="984"/>
        <item x="197"/>
        <item x="422"/>
        <item x="136"/>
        <item x="288"/>
        <item x="756"/>
        <item x="614"/>
        <item x="628"/>
        <item x="934"/>
        <item x="414"/>
        <item x="634"/>
        <item x="157"/>
        <item x="570"/>
        <item x="924"/>
        <item x="982"/>
        <item x="159"/>
        <item x="619"/>
        <item x="350"/>
        <item x="148"/>
        <item x="953"/>
        <item x="104"/>
        <item x="626"/>
        <item x="146"/>
        <item x="213"/>
        <item x="81"/>
        <item x="58"/>
        <item x="301"/>
        <item x="498"/>
        <item x="38"/>
        <item x="509"/>
        <item x="496"/>
        <item x="385"/>
        <item x="761"/>
        <item x="143"/>
        <item x="562"/>
        <item x="383"/>
        <item x="713"/>
        <item x="10"/>
        <item x="63"/>
        <item x="464"/>
        <item x="748"/>
        <item x="917"/>
        <item x="879"/>
        <item x="190"/>
        <item x="677"/>
        <item x="745"/>
        <item x="208"/>
        <item x="375"/>
        <item x="642"/>
        <item x="520"/>
        <item x="172"/>
        <item x="514"/>
        <item x="688"/>
        <item x="662"/>
        <item x="987"/>
        <item x="579"/>
        <item x="876"/>
        <item x="793"/>
        <item x="814"/>
        <item x="280"/>
        <item x="41"/>
        <item x="800"/>
        <item x="230"/>
        <item x="218"/>
        <item x="391"/>
        <item x="768"/>
        <item x="398"/>
        <item x="684"/>
        <item x="281"/>
        <item x="262"/>
        <item x="336"/>
        <item x="276"/>
        <item x="806"/>
        <item x="646"/>
        <item x="48"/>
        <item x="751"/>
        <item x="813"/>
        <item x="847"/>
        <item x="23"/>
        <item x="696"/>
        <item x="676"/>
        <item x="719"/>
        <item x="693"/>
        <item x="897"/>
        <item x="203"/>
        <item x="435"/>
        <item x="920"/>
        <item x="819"/>
        <item x="441"/>
        <item x="271"/>
        <item x="394"/>
        <item x="963"/>
        <item x="791"/>
        <item x="494"/>
        <item x="527"/>
        <item x="625"/>
        <item x="237"/>
        <item x="775"/>
        <item x="306"/>
        <item x="97"/>
        <item x="309"/>
        <item x="729"/>
        <item x="233"/>
        <item x="975"/>
        <item x="613"/>
        <item x="783"/>
        <item x="595"/>
        <item x="252"/>
        <item x="530"/>
        <item x="978"/>
        <item x="632"/>
        <item x="910"/>
        <item x="304"/>
        <item x="990"/>
        <item x="854"/>
        <item x="238"/>
        <item x="112"/>
        <item x="864"/>
        <item x="292"/>
        <item x="365"/>
        <item x="943"/>
        <item x="419"/>
        <item x="0"/>
        <item x="804"/>
        <item x="429"/>
        <item x="607"/>
        <item x="875"/>
        <item x="698"/>
        <item x="906"/>
        <item x="708"/>
        <item x="137"/>
        <item x="583"/>
        <item x="413"/>
        <item x="757"/>
        <item x="500"/>
        <item x="34"/>
        <item x="368"/>
        <item x="925"/>
        <item x="259"/>
        <item x="457"/>
        <item x="755"/>
        <item x="885"/>
        <item x="838"/>
        <item x="936"/>
        <item x="733"/>
        <item x="869"/>
        <item x="91"/>
        <item x="232"/>
        <item x="949"/>
        <item x="702"/>
        <item x="969"/>
        <item x="590"/>
        <item x="908"/>
        <item x="145"/>
        <item x="764"/>
        <item x="107"/>
        <item x="611"/>
        <item x="517"/>
        <item x="31"/>
        <item x="808"/>
        <item x="123"/>
        <item x="730"/>
        <item x="499"/>
        <item x="337"/>
        <item x="150"/>
        <item x="298"/>
        <item x="695"/>
        <item x="109"/>
        <item x="836"/>
        <item x="608"/>
        <item x="284"/>
        <item x="198"/>
        <item x="887"/>
        <item x="473"/>
        <item x="449"/>
        <item x="451"/>
        <item x="589"/>
        <item x="452"/>
        <item x="834"/>
        <item x="296"/>
        <item x="209"/>
        <item x="461"/>
        <item x="588"/>
        <item x="567"/>
        <item x="919"/>
        <item x="786"/>
        <item x="173"/>
        <item x="408"/>
        <item x="360"/>
        <item x="532"/>
        <item x="126"/>
        <item x="240"/>
        <item x="992"/>
        <item x="844"/>
        <item x="541"/>
        <item x="722"/>
        <item x="73"/>
        <item x="928"/>
        <item x="704"/>
        <item x="669"/>
        <item x="166"/>
        <item x="331"/>
        <item x="411"/>
        <item x="228"/>
        <item x="142"/>
        <item x="584"/>
        <item x="32"/>
        <item x="882"/>
        <item x="829"/>
        <item x="940"/>
        <item x="182"/>
        <item x="976"/>
        <item x="114"/>
        <item x="103"/>
        <item x="945"/>
        <item x="488"/>
        <item x="711"/>
        <item x="382"/>
        <item x="905"/>
        <item x="918"/>
        <item x="374"/>
        <item x="712"/>
        <item x="531"/>
        <item x="299"/>
        <item x="290"/>
        <item x="870"/>
        <item x="492"/>
        <item x="437"/>
        <item x="347"/>
        <item x="586"/>
        <item x="769"/>
        <item x="544"/>
        <item x="981"/>
        <item x="214"/>
        <item x="200"/>
        <item x="537"/>
        <item x="310"/>
        <item x="962"/>
        <item x="989"/>
        <item x="377"/>
        <item x="300"/>
        <item x="64"/>
        <item x="21"/>
        <item x="439"/>
        <item x="718"/>
        <item x="660"/>
        <item x="790"/>
        <item x="19"/>
        <item x="445"/>
        <item x="673"/>
        <item x="379"/>
        <item x="90"/>
        <item x="87"/>
        <item x="846"/>
        <item x="516"/>
        <item x="734"/>
        <item x="993"/>
        <item x="569"/>
        <item x="99"/>
        <item x="848"/>
        <item x="828"/>
        <item x="796"/>
        <item x="888"/>
        <item x="219"/>
        <item x="390"/>
        <item x="700"/>
        <item x="311"/>
        <item x="33"/>
        <item x="69"/>
        <item x="600"/>
        <item x="43"/>
        <item x="560"/>
        <item x="749"/>
        <item x="916"/>
        <item x="26"/>
        <item x="621"/>
        <item x="3"/>
        <item x="79"/>
        <item x="912"/>
        <item x="787"/>
        <item x="234"/>
        <item x="250"/>
        <item x="644"/>
        <item x="731"/>
        <item x="315"/>
        <item x="121"/>
        <item x="504"/>
        <item x="326"/>
        <item x="175"/>
        <item x="547"/>
        <item x="163"/>
        <item x="781"/>
        <item x="77"/>
        <item x="482"/>
        <item x="856"/>
        <item x="877"/>
        <item x="141"/>
        <item x="913"/>
        <item x="78"/>
        <item x="246"/>
        <item x="378"/>
        <item x="221"/>
        <item x="171"/>
        <item x="327"/>
        <item x="507"/>
        <item x="782"/>
        <item x="257"/>
        <item x="707"/>
        <item x="37"/>
        <item x="932"/>
        <item x="264"/>
        <item x="65"/>
        <item x="162"/>
        <item x="738"/>
        <item x="225"/>
        <item x="113"/>
        <item x="188"/>
        <item x="685"/>
        <item x="697"/>
        <item x="766"/>
        <item x="220"/>
        <item x="440"/>
        <item x="726"/>
        <item x="929"/>
        <item x="16"/>
        <item x="52"/>
        <item x="110"/>
        <item x="14"/>
        <item x="169"/>
        <item x="243"/>
        <item x="24"/>
        <item x="235"/>
        <item x="859"/>
        <item x="480"/>
        <item x="490"/>
        <item x="409"/>
        <item x="778"/>
        <item x="739"/>
        <item x="133"/>
        <item x="386"/>
        <item x="903"/>
        <item x="201"/>
        <item x="580"/>
        <item x="94"/>
        <item x="453"/>
        <item x="850"/>
        <item x="868"/>
        <item x="177"/>
        <item x="128"/>
        <item x="724"/>
        <item x="410"/>
        <item x="153"/>
        <item x="165"/>
        <item x="362"/>
        <item x="533"/>
        <item x="348"/>
        <item x="212"/>
        <item x="571"/>
        <item x="132"/>
        <item x="248"/>
        <item x="515"/>
        <item x="2"/>
        <item x="239"/>
        <item x="826"/>
        <item x="762"/>
        <item x="672"/>
        <item x="598"/>
        <item x="187"/>
        <item x="56"/>
        <item x="92"/>
        <item x="909"/>
        <item x="251"/>
        <item x="510"/>
        <item x="629"/>
        <item x="960"/>
        <item x="946"/>
        <item x="654"/>
        <item x="952"/>
        <item x="985"/>
        <item x="758"/>
        <item x="867"/>
        <item x="191"/>
        <item x="512"/>
        <item x="67"/>
        <item x="770"/>
        <item x="723"/>
        <item x="454"/>
        <item x="539"/>
        <item x="506"/>
        <item x="979"/>
        <item x="72"/>
        <item x="592"/>
        <item x="433"/>
        <item x="49"/>
        <item x="661"/>
        <item x="89"/>
        <item x="609"/>
        <item x="574"/>
        <item x="855"/>
        <item x="236"/>
        <item x="587"/>
        <item x="971"/>
        <item x="460"/>
        <item x="652"/>
        <item x="474"/>
        <item x="683"/>
        <item x="692"/>
        <item x="57"/>
        <item x="933"/>
        <item x="202"/>
        <item x="974"/>
        <item x="154"/>
        <item x="161"/>
        <item x="777"/>
        <item x="476"/>
        <item x="824"/>
        <item x="325"/>
        <item x="270"/>
        <item x="100"/>
        <item x="972"/>
        <item x="84"/>
        <item x="538"/>
        <item x="820"/>
        <item x="106"/>
        <item x="275"/>
        <item x="747"/>
        <item x="475"/>
        <item x="62"/>
        <item x="736"/>
        <item x="546"/>
        <item x="351"/>
        <item x="951"/>
        <item x="666"/>
        <item x="83"/>
        <item x="818"/>
        <item x="968"/>
        <item x="196"/>
        <item x="568"/>
        <item x="242"/>
        <item x="682"/>
        <item x="147"/>
        <item x="554"/>
        <item x="947"/>
        <item x="737"/>
        <item x="297"/>
        <item x="964"/>
        <item x="293"/>
        <item x="42"/>
        <item x="420"/>
        <item x="53"/>
        <item x="593"/>
        <item x="82"/>
        <item x="180"/>
        <item x="805"/>
        <item x="85"/>
        <item x="268"/>
        <item x="689"/>
        <item x="752"/>
        <item x="254"/>
        <item x="817"/>
        <item x="524"/>
        <item x="415"/>
        <item x="9"/>
        <item x="914"/>
        <item x="76"/>
        <item x="129"/>
        <item x="709"/>
        <item x="371"/>
        <item x="495"/>
        <item x="997"/>
        <item x="211"/>
        <item x="426"/>
        <item x="241"/>
        <item x="874"/>
        <item x="716"/>
        <item x="155"/>
        <item x="926"/>
        <item x="291"/>
        <item x="88"/>
        <item x="505"/>
        <item x="438"/>
        <item x="477"/>
        <item x="944"/>
        <item x="18"/>
        <item x="657"/>
        <item x="866"/>
        <item x="883"/>
        <item x="80"/>
        <item x="93"/>
        <item x="25"/>
        <item x="405"/>
        <item x="956"/>
        <item x="741"/>
        <item x="158"/>
        <item x="797"/>
        <item x="633"/>
        <item x="432"/>
        <item x="98"/>
        <item x="5"/>
        <item x="789"/>
        <item x="852"/>
        <item x="849"/>
        <item x="742"/>
        <item x="728"/>
        <item x="767"/>
        <item x="961"/>
        <item x="691"/>
        <item x="186"/>
        <item x="170"/>
        <item x="898"/>
        <item x="207"/>
        <item x="753"/>
        <item x="127"/>
        <item x="602"/>
        <item x="550"/>
        <item x="261"/>
        <item x="22"/>
        <item x="659"/>
        <item x="217"/>
        <item x="369"/>
        <item x="759"/>
        <item x="279"/>
        <item x="249"/>
        <item x="959"/>
        <item x="204"/>
        <item x="462"/>
        <item x="194"/>
        <item x="131"/>
        <item x="395"/>
        <item x="620"/>
        <item x="710"/>
        <item t="default"/>
      </items>
    </pivotField>
    <pivotField numFmtId="2" showAll="0"/>
    <pivotField showAll="0"/>
    <pivotField dataField="1" numFmtId="2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numFmtId="10" showAll="0">
      <items count="1001">
        <item x="52"/>
        <item x="102"/>
        <item x="813"/>
        <item x="631"/>
        <item x="709"/>
        <item x="232"/>
        <item x="508"/>
        <item x="359"/>
        <item x="610"/>
        <item x="939"/>
        <item x="860"/>
        <item x="80"/>
        <item x="20"/>
        <item x="242"/>
        <item x="910"/>
        <item x="66"/>
        <item x="206"/>
        <item x="534"/>
        <item x="959"/>
        <item x="529"/>
        <item x="266"/>
        <item x="739"/>
        <item x="751"/>
        <item x="418"/>
        <item x="675"/>
        <item x="576"/>
        <item x="162"/>
        <item x="772"/>
        <item x="845"/>
        <item x="19"/>
        <item x="392"/>
        <item x="850"/>
        <item x="474"/>
        <item x="965"/>
        <item x="491"/>
        <item x="884"/>
        <item x="302"/>
        <item x="955"/>
        <item x="702"/>
        <item x="585"/>
        <item x="594"/>
        <item x="335"/>
        <item x="758"/>
        <item x="964"/>
        <item x="23"/>
        <item x="827"/>
        <item x="22"/>
        <item x="832"/>
        <item x="842"/>
        <item x="292"/>
        <item x="148"/>
        <item x="934"/>
        <item x="715"/>
        <item x="169"/>
        <item x="596"/>
        <item x="113"/>
        <item x="390"/>
        <item x="27"/>
        <item x="372"/>
        <item x="808"/>
        <item x="611"/>
        <item x="75"/>
        <item x="654"/>
        <item x="888"/>
        <item x="926"/>
        <item x="960"/>
        <item x="251"/>
        <item x="310"/>
        <item x="572"/>
        <item x="662"/>
        <item x="485"/>
        <item x="416"/>
        <item x="831"/>
        <item x="138"/>
        <item x="565"/>
        <item x="258"/>
        <item x="962"/>
        <item x="688"/>
        <item x="509"/>
        <item x="597"/>
        <item x="556"/>
        <item x="36"/>
        <item x="710"/>
        <item x="627"/>
        <item x="72"/>
        <item x="685"/>
        <item x="612"/>
        <item x="643"/>
        <item x="822"/>
        <item x="141"/>
        <item x="504"/>
        <item x="606"/>
        <item x="542"/>
        <item x="445"/>
        <item x="177"/>
        <item x="208"/>
        <item x="644"/>
        <item x="386"/>
        <item x="85"/>
        <item x="142"/>
        <item x="995"/>
        <item x="317"/>
        <item x="967"/>
        <item x="812"/>
        <item x="433"/>
        <item x="804"/>
        <item x="375"/>
        <item x="771"/>
        <item x="635"/>
        <item x="118"/>
        <item x="642"/>
        <item x="438"/>
        <item x="681"/>
        <item x="83"/>
        <item x="431"/>
        <item x="853"/>
        <item x="150"/>
        <item x="966"/>
        <item x="155"/>
        <item x="488"/>
        <item x="501"/>
        <item x="834"/>
        <item x="464"/>
        <item x="677"/>
        <item x="103"/>
        <item x="96"/>
        <item x="518"/>
        <item x="946"/>
        <item x="590"/>
        <item x="660"/>
        <item x="914"/>
        <item x="646"/>
        <item x="938"/>
        <item x="12"/>
        <item x="411"/>
        <item x="994"/>
        <item x="397"/>
        <item x="288"/>
        <item x="97"/>
        <item x="623"/>
        <item x="770"/>
        <item x="761"/>
        <item x="95"/>
        <item x="952"/>
        <item x="912"/>
        <item x="175"/>
        <item x="886"/>
        <item x="262"/>
        <item x="737"/>
        <item x="442"/>
        <item x="419"/>
        <item x="160"/>
        <item x="125"/>
        <item x="366"/>
        <item x="413"/>
        <item x="548"/>
        <item x="353"/>
        <item x="764"/>
        <item x="835"/>
        <item x="120"/>
        <item x="541"/>
        <item x="224"/>
        <item x="691"/>
        <item x="874"/>
        <item x="10"/>
        <item x="415"/>
        <item x="451"/>
        <item x="756"/>
        <item x="460"/>
        <item x="222"/>
        <item x="682"/>
        <item x="421"/>
        <item x="790"/>
        <item x="948"/>
        <item x="528"/>
        <item x="28"/>
        <item x="313"/>
        <item x="571"/>
        <item x="730"/>
        <item x="941"/>
        <item x="762"/>
        <item x="57"/>
        <item x="163"/>
        <item x="801"/>
        <item x="367"/>
        <item x="723"/>
        <item x="983"/>
        <item x="128"/>
        <item x="293"/>
        <item x="248"/>
        <item x="166"/>
        <item x="200"/>
        <item x="65"/>
        <item x="692"/>
        <item x="778"/>
        <item x="122"/>
        <item x="98"/>
        <item x="720"/>
        <item x="517"/>
        <item x="624"/>
        <item x="972"/>
        <item x="522"/>
        <item x="747"/>
        <item x="592"/>
        <item x="327"/>
        <item x="686"/>
        <item x="957"/>
        <item x="320"/>
        <item x="893"/>
        <item x="13"/>
        <item x="37"/>
        <item x="727"/>
        <item x="881"/>
        <item x="44"/>
        <item x="856"/>
        <item x="984"/>
        <item x="453"/>
        <item x="131"/>
        <item x="179"/>
        <item x="217"/>
        <item x="718"/>
        <item x="204"/>
        <item x="31"/>
        <item x="267"/>
        <item x="496"/>
        <item x="350"/>
        <item x="793"/>
        <item x="992"/>
        <item x="653"/>
        <item x="477"/>
        <item x="469"/>
        <item x="839"/>
        <item x="180"/>
        <item x="932"/>
        <item x="440"/>
        <item x="2"/>
        <item x="982"/>
        <item x="338"/>
        <item x="978"/>
        <item x="527"/>
        <item x="178"/>
        <item x="786"/>
        <item x="820"/>
        <item x="655"/>
        <item x="243"/>
        <item x="211"/>
        <item x="185"/>
        <item x="619"/>
        <item x="59"/>
        <item x="708"/>
        <item x="913"/>
        <item x="969"/>
        <item x="579"/>
        <item x="848"/>
        <item x="883"/>
        <item x="617"/>
        <item x="82"/>
        <item x="209"/>
        <item x="51"/>
        <item x="651"/>
        <item x="668"/>
        <item x="729"/>
        <item x="523"/>
        <item x="15"/>
        <item x="785"/>
        <item x="427"/>
        <item x="383"/>
        <item x="402"/>
        <item x="265"/>
        <item x="728"/>
        <item x="908"/>
        <item x="121"/>
        <item x="713"/>
        <item x="257"/>
        <item x="980"/>
        <item x="869"/>
        <item x="417"/>
        <item x="977"/>
        <item x="601"/>
        <item x="766"/>
        <item x="604"/>
        <item x="750"/>
        <item x="25"/>
        <item x="988"/>
        <item x="763"/>
        <item x="901"/>
        <item x="971"/>
        <item x="7"/>
        <item x="159"/>
        <item x="228"/>
        <item x="490"/>
        <item x="802"/>
        <item x="408"/>
        <item x="347"/>
        <item x="558"/>
        <item x="137"/>
        <item x="757"/>
        <item x="414"/>
        <item x="352"/>
        <item x="467"/>
        <item x="780"/>
        <item x="863"/>
        <item x="920"/>
        <item x="365"/>
        <item x="699"/>
        <item x="694"/>
        <item x="549"/>
        <item x="743"/>
        <item x="857"/>
        <item x="181"/>
        <item x="674"/>
        <item x="441"/>
        <item x="918"/>
        <item x="781"/>
        <item x="537"/>
        <item x="143"/>
        <item x="238"/>
        <item x="915"/>
        <item x="363"/>
        <item x="602"/>
        <item x="492"/>
        <item x="133"/>
        <item x="45"/>
        <item x="526"/>
        <item x="742"/>
        <item x="871"/>
        <item x="146"/>
        <item x="215"/>
        <item x="483"/>
        <item x="568"/>
        <item x="194"/>
        <item x="241"/>
        <item x="754"/>
        <item x="940"/>
        <item x="783"/>
        <item x="281"/>
        <item x="573"/>
        <item x="640"/>
        <item x="30"/>
        <item x="724"/>
        <item x="680"/>
        <item x="503"/>
        <item x="406"/>
        <item x="391"/>
        <item x="254"/>
        <item x="87"/>
        <item x="574"/>
        <item x="272"/>
        <item x="276"/>
        <item x="161"/>
        <item x="497"/>
        <item x="301"/>
        <item x="510"/>
        <item x="673"/>
        <item x="92"/>
        <item x="309"/>
        <item x="303"/>
        <item x="829"/>
        <item x="364"/>
        <item x="117"/>
        <item x="958"/>
        <item x="641"/>
        <item x="379"/>
        <item x="683"/>
        <item x="789"/>
        <item x="925"/>
        <item x="873"/>
        <item x="519"/>
        <item x="630"/>
        <item x="775"/>
        <item x="377"/>
        <item x="629"/>
        <item x="398"/>
        <item x="69"/>
        <item x="6"/>
        <item x="255"/>
        <item x="136"/>
        <item x="112"/>
        <item x="779"/>
        <item x="830"/>
        <item x="796"/>
        <item x="456"/>
        <item x="426"/>
        <item x="168"/>
        <item x="714"/>
        <item x="79"/>
        <item x="859"/>
        <item x="104"/>
        <item x="246"/>
        <item x="731"/>
        <item x="256"/>
        <item x="583"/>
        <item x="666"/>
        <item x="221"/>
        <item x="220"/>
        <item x="540"/>
        <item x="311"/>
        <item x="632"/>
        <item x="712"/>
        <item x="60"/>
        <item x="524"/>
        <item x="769"/>
        <item x="550"/>
        <item x="11"/>
        <item x="567"/>
        <item x="158"/>
        <item x="192"/>
        <item x="840"/>
        <item x="157"/>
        <item x="270"/>
        <item x="470"/>
        <item x="676"/>
        <item x="931"/>
        <item x="634"/>
        <item x="308"/>
        <item x="875"/>
        <item x="905"/>
        <item x="657"/>
        <item x="410"/>
        <item x="911"/>
        <item x="207"/>
        <item x="638"/>
        <item x="70"/>
        <item x="90"/>
        <item x="986"/>
        <item x="151"/>
        <item x="930"/>
        <item x="704"/>
        <item x="798"/>
        <item x="679"/>
        <item x="420"/>
        <item x="264"/>
        <item x="428"/>
        <item x="233"/>
        <item x="543"/>
        <item x="295"/>
        <item x="536"/>
        <item x="385"/>
        <item x="582"/>
        <item x="944"/>
        <item x="370"/>
        <item x="589"/>
        <item x="726"/>
        <item x="216"/>
        <item x="928"/>
        <item x="953"/>
        <item x="239"/>
        <item x="935"/>
        <item x="989"/>
        <item x="361"/>
        <item x="760"/>
        <item x="917"/>
        <item x="76"/>
        <item x="340"/>
        <item x="580"/>
        <item x="452"/>
        <item x="482"/>
        <item x="555"/>
        <item x="794"/>
        <item x="234"/>
        <item x="358"/>
        <item x="669"/>
        <item x="18"/>
        <item x="553"/>
        <item x="836"/>
        <item x="821"/>
        <item x="261"/>
        <item x="318"/>
        <item x="907"/>
        <item x="879"/>
        <item x="201"/>
        <item x="903"/>
        <item x="956"/>
        <item x="898"/>
        <item x="636"/>
        <item x="26"/>
        <item x="868"/>
        <item x="403"/>
        <item x="284"/>
        <item x="106"/>
        <item x="373"/>
        <item x="732"/>
        <item x="259"/>
        <item x="449"/>
        <item x="126"/>
        <item x="225"/>
        <item x="110"/>
        <item x="475"/>
        <item x="382"/>
        <item x="693"/>
        <item x="560"/>
        <item x="725"/>
        <item x="396"/>
        <item x="182"/>
        <item x="152"/>
        <item x="767"/>
        <item x="741"/>
        <item x="188"/>
        <item x="999"/>
        <item x="4"/>
        <item x="512"/>
        <item x="321"/>
        <item x="507"/>
        <item x="154"/>
        <item x="463"/>
        <item x="947"/>
        <item x="227"/>
        <item x="749"/>
        <item x="889"/>
        <item x="174"/>
        <item x="882"/>
        <item x="14"/>
        <item x="409"/>
        <item x="551"/>
        <item x="843"/>
        <item x="279"/>
        <item x="841"/>
        <item x="189"/>
        <item x="55"/>
        <item x="554"/>
        <item x="997"/>
        <item x="280"/>
        <item x="84"/>
        <item x="78"/>
        <item x="696"/>
        <item x="656"/>
        <item x="171"/>
        <item x="784"/>
        <item x="21"/>
        <item x="511"/>
        <item x="291"/>
        <item x="961"/>
        <item x="823"/>
        <item x="39"/>
        <item x="890"/>
        <item x="400"/>
        <item x="493"/>
        <item x="716"/>
        <item x="24"/>
        <item x="521"/>
        <item x="457"/>
        <item x="736"/>
        <item x="299"/>
        <item x="546"/>
        <item x="443"/>
        <item x="906"/>
        <item x="296"/>
        <item x="746"/>
        <item x="134"/>
        <item x="591"/>
        <item x="343"/>
        <item x="147"/>
        <item x="58"/>
        <item x="777"/>
        <item x="99"/>
        <item x="297"/>
        <item x="423"/>
        <item x="711"/>
        <item x="837"/>
        <item x="479"/>
        <item x="825"/>
        <item x="290"/>
        <item x="866"/>
        <item x="896"/>
        <item x="91"/>
        <item x="791"/>
        <item x="305"/>
        <item x="139"/>
        <item x="149"/>
        <item x="722"/>
        <item x="444"/>
        <item x="355"/>
        <item x="650"/>
        <item x="111"/>
        <item x="219"/>
        <item x="891"/>
        <item x="765"/>
        <item x="628"/>
        <item x="314"/>
        <item x="615"/>
        <item x="461"/>
        <item x="797"/>
        <item x="250"/>
        <item x="40"/>
        <item x="819"/>
        <item x="973"/>
        <item x="430"/>
        <item x="127"/>
        <item x="755"/>
        <item x="369"/>
        <item x="600"/>
        <item x="494"/>
        <item x="193"/>
        <item x="249"/>
        <item x="539"/>
        <item x="618"/>
        <item x="847"/>
        <item x="649"/>
        <item x="334"/>
        <item x="670"/>
        <item x="184"/>
        <item x="833"/>
        <item x="172"/>
        <item x="298"/>
        <item x="557"/>
        <item x="360"/>
        <item x="809"/>
        <item x="332"/>
        <item x="684"/>
        <item x="584"/>
        <item x="687"/>
        <item x="173"/>
        <item x="748"/>
        <item x="132"/>
        <item x="61"/>
        <item x="170"/>
        <item x="620"/>
        <item x="64"/>
        <item x="974"/>
        <item x="535"/>
        <item x="979"/>
        <item x="436"/>
        <item x="625"/>
        <item x="838"/>
        <item x="936"/>
        <item x="667"/>
        <item x="328"/>
        <item x="190"/>
        <item x="306"/>
        <item x="260"/>
        <item x="701"/>
        <item x="895"/>
        <item x="476"/>
        <item x="878"/>
        <item x="230"/>
        <item x="285"/>
        <item x="532"/>
        <item x="223"/>
        <item x="495"/>
        <item x="578"/>
        <item x="5"/>
        <item x="459"/>
        <item x="478"/>
        <item x="810"/>
        <item x="74"/>
        <item x="140"/>
        <item x="498"/>
        <item x="407"/>
        <item x="945"/>
        <item x="56"/>
        <item x="439"/>
        <item x="16"/>
        <item x="229"/>
        <item x="300"/>
        <item x="799"/>
        <item x="663"/>
        <item x="916"/>
        <item x="900"/>
        <item x="42"/>
        <item x="787"/>
        <item x="354"/>
        <item x="877"/>
        <item x="695"/>
        <item x="480"/>
        <item x="738"/>
        <item x="271"/>
        <item x="880"/>
        <item x="357"/>
        <item x="569"/>
        <item x="345"/>
        <item x="951"/>
        <item x="968"/>
        <item x="218"/>
        <item x="795"/>
        <item x="849"/>
        <item x="195"/>
        <item x="399"/>
        <item x="661"/>
        <item x="71"/>
        <item x="380"/>
        <item x="976"/>
        <item x="774"/>
        <item x="870"/>
        <item x="86"/>
        <item x="455"/>
        <item x="269"/>
        <item x="502"/>
        <item x="186"/>
        <item x="514"/>
        <item x="817"/>
        <item x="8"/>
        <item x="544"/>
        <item x="924"/>
        <item x="593"/>
        <item x="672"/>
        <item x="378"/>
        <item x="768"/>
        <item x="263"/>
        <item x="740"/>
        <item x="505"/>
        <item x="203"/>
        <item x="698"/>
        <item x="805"/>
        <item x="450"/>
        <item x="855"/>
        <item x="89"/>
        <item x="721"/>
        <item x="981"/>
        <item x="547"/>
        <item x="621"/>
        <item x="48"/>
        <item x="647"/>
        <item x="63"/>
        <item x="993"/>
        <item x="975"/>
        <item x="341"/>
        <item x="595"/>
        <item x="434"/>
        <item x="325"/>
        <item x="214"/>
        <item x="274"/>
        <item x="851"/>
        <item x="608"/>
        <item x="466"/>
        <item x="559"/>
        <item x="165"/>
        <item x="289"/>
        <item x="562"/>
        <item x="124"/>
        <item x="202"/>
        <item x="581"/>
        <item x="803"/>
        <item x="852"/>
        <item x="887"/>
        <item x="575"/>
        <item x="530"/>
        <item x="346"/>
        <item x="471"/>
        <item x="130"/>
        <item x="304"/>
        <item x="923"/>
        <item x="985"/>
        <item x="697"/>
        <item x="231"/>
        <item x="394"/>
        <item x="336"/>
        <item x="937"/>
        <item x="489"/>
        <item x="34"/>
        <item x="183"/>
        <item x="253"/>
        <item x="806"/>
        <item x="123"/>
        <item x="422"/>
        <item x="954"/>
        <item x="101"/>
        <item x="3"/>
        <item x="105"/>
        <item x="818"/>
        <item x="197"/>
        <item x="330"/>
        <item x="339"/>
        <item x="387"/>
        <item x="652"/>
        <item x="689"/>
        <item x="275"/>
        <item x="145"/>
        <item x="499"/>
        <item x="846"/>
        <item x="587"/>
        <item x="970"/>
        <item x="472"/>
        <item x="533"/>
        <item x="734"/>
        <item x="854"/>
        <item x="942"/>
        <item x="119"/>
        <item x="865"/>
        <item x="933"/>
        <item x="828"/>
        <item x="53"/>
        <item x="515"/>
        <item x="561"/>
        <item x="815"/>
        <item x="389"/>
        <item x="226"/>
        <item x="212"/>
        <item x="745"/>
        <item x="114"/>
        <item x="484"/>
        <item x="637"/>
        <item x="116"/>
        <item x="437"/>
        <item x="929"/>
        <item x="922"/>
        <item x="633"/>
        <item x="68"/>
        <item x="552"/>
        <item x="43"/>
        <item x="344"/>
        <item x="401"/>
        <item x="753"/>
        <item x="909"/>
        <item x="245"/>
        <item x="435"/>
        <item x="531"/>
        <item x="384"/>
        <item x="282"/>
        <item x="135"/>
        <item x="371"/>
        <item x="788"/>
        <item x="77"/>
        <item x="486"/>
        <item x="41"/>
        <item x="566"/>
        <item x="717"/>
        <item x="706"/>
        <item x="545"/>
        <item x="991"/>
        <item x="899"/>
        <item x="861"/>
        <item x="844"/>
        <item x="81"/>
        <item x="759"/>
        <item x="616"/>
        <item x="626"/>
        <item x="462"/>
        <item x="904"/>
        <item x="577"/>
        <item x="671"/>
        <item x="513"/>
        <item x="800"/>
        <item x="351"/>
        <item x="927"/>
        <item x="198"/>
        <item x="447"/>
        <item x="388"/>
        <item x="32"/>
        <item x="902"/>
        <item x="374"/>
        <item x="240"/>
        <item x="109"/>
        <item x="454"/>
        <item x="525"/>
        <item x="319"/>
        <item x="950"/>
        <item x="603"/>
        <item x="862"/>
        <item x="598"/>
        <item x="278"/>
        <item x="773"/>
        <item x="919"/>
        <item x="607"/>
        <item x="283"/>
        <item x="312"/>
        <item x="164"/>
        <item x="538"/>
        <item x="506"/>
        <item x="191"/>
        <item x="807"/>
        <item x="324"/>
        <item x="705"/>
        <item x="998"/>
        <item x="645"/>
        <item x="943"/>
        <item x="368"/>
        <item x="707"/>
        <item x="733"/>
        <item x="570"/>
        <item x="235"/>
        <item x="921"/>
        <item x="811"/>
        <item x="100"/>
        <item x="735"/>
        <item x="432"/>
        <item x="167"/>
        <item x="520"/>
        <item x="996"/>
        <item x="237"/>
        <item x="362"/>
        <item x="342"/>
        <item x="404"/>
        <item x="586"/>
        <item x="892"/>
        <item x="776"/>
        <item x="376"/>
        <item x="563"/>
        <item x="38"/>
        <item x="487"/>
        <item x="47"/>
        <item x="614"/>
        <item x="88"/>
        <item x="876"/>
        <item x="858"/>
        <item x="196"/>
        <item x="236"/>
        <item x="129"/>
        <item x="424"/>
        <item x="990"/>
        <item x="814"/>
        <item x="247"/>
        <item x="412"/>
        <item x="307"/>
        <item x="50"/>
        <item x="448"/>
        <item x="323"/>
        <item x="658"/>
        <item x="473"/>
        <item x="9"/>
        <item x="213"/>
        <item x="987"/>
        <item x="381"/>
        <item x="700"/>
        <item x="46"/>
        <item x="867"/>
        <item x="277"/>
        <item x="816"/>
        <item x="322"/>
        <item x="678"/>
        <item x="963"/>
        <item x="425"/>
        <item x="17"/>
        <item x="108"/>
        <item x="144"/>
        <item x="864"/>
        <item x="252"/>
        <item x="329"/>
        <item x="356"/>
        <item x="639"/>
        <item x="824"/>
        <item x="187"/>
        <item x="826"/>
        <item x="719"/>
        <item x="605"/>
        <item x="395"/>
        <item x="872"/>
        <item x="73"/>
        <item x="885"/>
        <item x="33"/>
        <item x="153"/>
        <item x="205"/>
        <item x="429"/>
        <item x="690"/>
        <item x="599"/>
        <item x="516"/>
        <item x="458"/>
        <item x="949"/>
        <item x="622"/>
        <item x="500"/>
        <item x="468"/>
        <item x="744"/>
        <item x="29"/>
        <item x="0"/>
        <item x="782"/>
        <item x="316"/>
        <item x="176"/>
        <item x="613"/>
        <item x="331"/>
        <item x="67"/>
        <item x="664"/>
        <item x="326"/>
        <item x="481"/>
        <item x="107"/>
        <item x="648"/>
        <item x="659"/>
        <item x="294"/>
        <item x="792"/>
        <item x="337"/>
        <item x="94"/>
        <item x="897"/>
        <item x="465"/>
        <item x="35"/>
        <item x="588"/>
        <item x="348"/>
        <item x="115"/>
        <item x="287"/>
        <item x="273"/>
        <item x="315"/>
        <item x="333"/>
        <item x="62"/>
        <item x="752"/>
        <item x="286"/>
        <item x="268"/>
        <item x="894"/>
        <item x="405"/>
        <item x="609"/>
        <item x="93"/>
        <item x="210"/>
        <item x="564"/>
        <item x="244"/>
        <item x="446"/>
        <item x="665"/>
        <item x="703"/>
        <item x="54"/>
        <item x="349"/>
        <item x="156"/>
        <item x="1"/>
        <item x="49"/>
        <item x="393"/>
        <item x="199"/>
        <item t="default"/>
      </items>
    </pivotField>
    <pivotField showAll="0"/>
    <pivotField showAll="0"/>
  </pivotFields>
  <rowFields count="1">
    <field x="3"/>
  </rowFields>
  <rowItems count="5">
    <i>
      <x/>
    </i>
    <i>
      <x v="3"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8" baseField="3" baseItem="0" numFmtId="164"/>
    <dataField name="Total Profit" fld="11" baseField="3" baseItem="0" numFmtId="2"/>
    <dataField name="Profit margin" fld="16" subtotal="average" baseField="3" baseItem="0" numFmtId="10"/>
  </dataFields>
  <formats count="2">
    <format dxfId="4">
      <pivotArea grandRow="1" outline="0" collapsedLevelsAreSubtotals="1" fieldPosition="0"/>
    </format>
    <format dxfId="5">
      <pivotArea dataOnly="0" labelOnly="1" grandRow="1" outline="0" fieldPosition="0"/>
    </format>
  </format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54F6D7-C690-40FF-AA4F-D26F000F032B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Order Date" tableColumnId="2"/>
      <queryTableField id="3" name="Customer Name" tableColumnId="3"/>
      <queryTableField id="4" name="Region" tableColumnId="4"/>
      <queryTableField id="5" name="City" tableColumnId="5"/>
      <queryTableField id="6" name="Category" tableColumnId="6"/>
      <queryTableField id="7" name="Sub-Category" tableColumnId="7"/>
      <queryTableField id="8" name="Product Name" tableColumnId="8"/>
      <queryTableField id="9" name="Sales Amount" tableColumnId="9"/>
      <queryTableField id="10" name="Quantity" tableColumnId="10"/>
      <queryTableField id="11" name="Discount (%)" tableColumnId="11"/>
      <queryTableField id="12" name="Profit" tableColumnId="12"/>
      <queryTableField id="13" name="Delivery Status" tableColumnId="13"/>
      <queryTableField id="14" name="Payment Method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304EC4F-143E-41B1-900C-BCE5E664DDB3}" autoFormatId="16" applyNumberFormats="0" applyBorderFormats="0" applyFontFormats="0" applyPatternFormats="0" applyAlignmentFormats="0" applyWidthHeightFormats="0">
  <queryTableRefresh nextId="20" unboundColumnsRight="5">
    <queryTableFields count="19">
      <queryTableField id="1" name="Order ID" tableColumnId="1"/>
      <queryTableField id="2" name="Order Date" tableColumnId="2"/>
      <queryTableField id="3" name="Customer Name" tableColumnId="3"/>
      <queryTableField id="4" name="Region" tableColumnId="4"/>
      <queryTableField id="5" name="City" tableColumnId="5"/>
      <queryTableField id="6" name="Category" tableColumnId="6"/>
      <queryTableField id="7" name="Sub-Category" tableColumnId="7"/>
      <queryTableField id="8" name="Product Name" tableColumnId="8"/>
      <queryTableField id="9" name="Sales Amount" tableColumnId="9"/>
      <queryTableField id="10" name="Quantity" tableColumnId="10"/>
      <queryTableField id="11" name="Discount (%)" tableColumnId="11"/>
      <queryTableField id="12" name="Profit" tableColumnId="12"/>
      <queryTableField id="13" name="Delivery Status" tableColumnId="13"/>
      <queryTableField id="14" name="Payment Method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0481E7-DF68-4C83-9202-DDB225AB743C}" name="Sheet1" displayName="Sheet1" ref="A1:N1001" tableType="queryTable" totalsRowShown="0">
  <autoFilter ref="A1:N1001" xr:uid="{5E0481E7-DF68-4C83-9202-DDB225AB743C}"/>
  <tableColumns count="14">
    <tableColumn id="1" xr3:uid="{81690069-B928-432C-B23A-EB6B9AA194CC}" uniqueName="1" name="Order ID" queryTableFieldId="1" dataDxfId="42"/>
    <tableColumn id="2" xr3:uid="{7E79D12F-6416-4406-9A61-9F6BC3F76A9D}" uniqueName="2" name="Order Date" queryTableFieldId="2" dataDxfId="43"/>
    <tableColumn id="3" xr3:uid="{9E499CE1-6756-4B3B-8F15-B176331DA5DB}" uniqueName="3" name="Customer Name" queryTableFieldId="3" dataDxfId="44"/>
    <tableColumn id="4" xr3:uid="{329A3D80-7D91-405C-A5A8-1D841A9A4C2D}" uniqueName="4" name="Region" queryTableFieldId="4" dataDxfId="41"/>
    <tableColumn id="5" xr3:uid="{29E36724-A210-4E75-8708-B2029F916F1F}" uniqueName="5" name="City" queryTableFieldId="5" dataDxfId="40"/>
    <tableColumn id="6" xr3:uid="{8DC2153B-6A3E-4840-842D-02CDF11AA7CD}" uniqueName="6" name="Category" queryTableFieldId="6" dataDxfId="39"/>
    <tableColumn id="7" xr3:uid="{9615D736-6603-4467-B4BF-365DF745BE5A}" uniqueName="7" name="Sub-Category" queryTableFieldId="7" dataDxfId="38"/>
    <tableColumn id="8" xr3:uid="{33E9AB2D-5B03-4BCB-A6BB-62FC374E7883}" uniqueName="8" name="Product Name" queryTableFieldId="8" dataDxfId="37"/>
    <tableColumn id="9" xr3:uid="{B4B7B336-99CE-4985-B551-6E4146383D5C}" uniqueName="9" name="Sales Amount" queryTableFieldId="9" dataDxfId="36"/>
    <tableColumn id="10" xr3:uid="{74A7C600-891E-45E8-A004-B648EF2DCC35}" uniqueName="10" name="Quantity" queryTableFieldId="10" dataDxfId="35"/>
    <tableColumn id="11" xr3:uid="{FA0F23CF-48CC-4568-8F93-741902ECC43B}" uniqueName="11" name="Discount (%)" queryTableFieldId="11" dataDxfId="34"/>
    <tableColumn id="12" xr3:uid="{8EF580FA-610F-4F9C-83D2-CE153A4204F0}" uniqueName="12" name="Profit" queryTableFieldId="12" dataDxfId="33"/>
    <tableColumn id="13" xr3:uid="{7493B89F-BBCF-423C-AE7C-B9B36CB0E607}" uniqueName="13" name="Delivery Status" queryTableFieldId="13" dataDxfId="32"/>
    <tableColumn id="14" xr3:uid="{EE845DC1-7FA1-4D12-9B09-A421AA693788}" uniqueName="14" name="Payment Method" queryTableFieldId="14" dataDxf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D252C1-2A44-4D81-A26E-331FE2A827C4}" name="Sheet13" displayName="Sheet13" ref="A1:S1001" tableType="queryTable" totalsRowShown="0">
  <autoFilter ref="A1:S1001" xr:uid="{8CD252C1-2A44-4D81-A26E-331FE2A827C4}"/>
  <tableColumns count="19">
    <tableColumn id="1" xr3:uid="{1D961262-7716-4A61-AC39-CC528F7B28AA}" uniqueName="1" name="Order ID" queryTableFieldId="1" dataDxfId="30"/>
    <tableColumn id="2" xr3:uid="{97FD202C-EA1F-4192-8D7B-B497A3CC6AE6}" uniqueName="2" name="Order Date" queryTableFieldId="2" dataDxfId="29"/>
    <tableColumn id="3" xr3:uid="{8F75BFEA-0AF4-4319-A922-FE306743B0E1}" uniqueName="3" name="Customer Name" queryTableFieldId="3" dataDxfId="28"/>
    <tableColumn id="4" xr3:uid="{F080ACAF-2D83-47CC-832C-C4C614895172}" uniqueName="4" name="Region" queryTableFieldId="4" dataDxfId="27"/>
    <tableColumn id="5" xr3:uid="{682571AA-707F-4955-91B2-235F94A170C7}" uniqueName="5" name="City" queryTableFieldId="5" dataDxfId="26"/>
    <tableColumn id="6" xr3:uid="{09B2C0A1-E291-45FC-BE67-62494BC80387}" uniqueName="6" name="Category" queryTableFieldId="6" dataDxfId="25"/>
    <tableColumn id="7" xr3:uid="{707C79B4-923F-478C-961D-2DD76D32B8AF}" uniqueName="7" name="Sub-Category" queryTableFieldId="7" dataDxfId="24"/>
    <tableColumn id="8" xr3:uid="{8FD9CAF8-A69E-4C2F-8BFB-9F8CC508BC63}" uniqueName="8" name="Product Name" queryTableFieldId="8" dataDxfId="23"/>
    <tableColumn id="9" xr3:uid="{941F533F-0B1D-453B-9F11-C2AEAFFE64F7}" uniqueName="9" name="Sales Amount" queryTableFieldId="9" dataDxfId="22"/>
    <tableColumn id="10" xr3:uid="{7AC5F9D7-5908-49D2-ADB4-47D3EB2012DF}" uniqueName="10" name="Quantity" queryTableFieldId="10" dataDxfId="21"/>
    <tableColumn id="11" xr3:uid="{7BC7FDB2-C304-4B7F-80ED-A5B57F7A7B1B}" uniqueName="11" name="Discount (%)" queryTableFieldId="11" dataDxfId="20"/>
    <tableColumn id="12" xr3:uid="{25F59B33-9561-4887-9C2A-1F350DFD5FD4}" uniqueName="12" name="Profit" queryTableFieldId="12" dataDxfId="19"/>
    <tableColumn id="13" xr3:uid="{F5081DEF-7625-43D2-AFF3-6354D791C86E}" uniqueName="13" name="Delivery Status" queryTableFieldId="13" dataDxfId="18"/>
    <tableColumn id="14" xr3:uid="{0D8BE5EA-5DD0-43FD-BBDB-FE1597C9DA06}" uniqueName="14" name="Payment Method" queryTableFieldId="14" dataDxfId="17"/>
    <tableColumn id="15" xr3:uid="{B35B04A5-CA09-4AD2-B8CA-2436AF5C14D5}" uniqueName="15" name="Month- year" queryTableFieldId="15" dataDxfId="16">
      <calculatedColumnFormula xml:space="preserve"> TEXT(B2,"MM-YYYY")</calculatedColumnFormula>
    </tableColumn>
    <tableColumn id="16" xr3:uid="{EEFDD876-CBA5-4A99-AD74-8797600B78A4}" uniqueName="16" name="Year" queryTableFieldId="16" dataDxfId="14">
      <calculatedColumnFormula>TEXT(B2,"YYYY")</calculatedColumnFormula>
    </tableColumn>
    <tableColumn id="17" xr3:uid="{83782894-E6F5-4909-8556-2E98C7D0252E}" uniqueName="17" name="Profit margin %" queryTableFieldId="17" dataDxfId="12">
      <calculatedColumnFormula>IFERROR(L2/I2,0)</calculatedColumnFormula>
    </tableColumn>
    <tableColumn id="18" xr3:uid="{6D6FCA8B-03B1-4814-B71A-568B82E3DB60}" uniqueName="18" name="Profit/loss flag" queryTableFieldId="18" dataDxfId="13">
      <calculatedColumnFormula>IF(L2&gt;0,"Profit","Loss")</calculatedColumnFormula>
    </tableColumn>
    <tableColumn id="19" xr3:uid="{07AE7F08-BF5D-4EE9-ADF7-44094582F631}" uniqueName="19" name="Discount band" queryTableFieldId="19" dataDxfId="15">
      <calculatedColumnFormula>IF(K2=0,"No Discount",IF(K2&lt;=10,"Low (1-10%)",IF(K2&lt;=20,"Mid (11-20%)","High (&gt;20%)")))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E791-1EB8-4CC5-ABE0-8A45F1B505BF}">
  <dimension ref="A1:N1001"/>
  <sheetViews>
    <sheetView workbookViewId="0"/>
  </sheetViews>
  <sheetFormatPr defaultRowHeight="14.4" x14ac:dyDescent="0.3"/>
  <cols>
    <col min="1" max="1" width="10.21875" style="3" bestFit="1" customWidth="1"/>
    <col min="2" max="2" width="12.33203125" style="2" bestFit="1" customWidth="1"/>
    <col min="3" max="3" width="16.88671875" style="3" bestFit="1" customWidth="1"/>
    <col min="4" max="4" width="9" style="3" bestFit="1" customWidth="1"/>
    <col min="5" max="5" width="12" style="3" bestFit="1" customWidth="1"/>
    <col min="6" max="6" width="13.109375" style="3" bestFit="1" customWidth="1"/>
    <col min="7" max="7" width="14.6640625" style="3" bestFit="1" customWidth="1"/>
    <col min="8" max="8" width="23.109375" style="3" bestFit="1" customWidth="1"/>
    <col min="9" max="9" width="14.77734375" style="5" bestFit="1" customWidth="1"/>
    <col min="10" max="10" width="10.5546875" style="4" bestFit="1" customWidth="1"/>
    <col min="11" max="11" width="13.77734375" style="1" bestFit="1" customWidth="1"/>
    <col min="12" max="12" width="9.44140625" style="4" bestFit="1" customWidth="1"/>
    <col min="13" max="13" width="15.77734375" style="3" bestFit="1" customWidth="1"/>
    <col min="14" max="14" width="18.109375" style="3" bestFit="1" customWidth="1"/>
  </cols>
  <sheetData>
    <row r="1" spans="1:14" x14ac:dyDescent="0.3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4" t="s">
        <v>9</v>
      </c>
      <c r="K1" s="1" t="s">
        <v>10</v>
      </c>
      <c r="L1" s="4" t="s">
        <v>11</v>
      </c>
      <c r="M1" s="3" t="s">
        <v>12</v>
      </c>
      <c r="N1" s="3" t="s">
        <v>13</v>
      </c>
    </row>
    <row r="2" spans="1:14" x14ac:dyDescent="0.3">
      <c r="A2" s="3" t="s">
        <v>14</v>
      </c>
      <c r="B2" s="2">
        <v>45709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5">
        <v>5921.04</v>
      </c>
      <c r="J2" s="4">
        <v>4</v>
      </c>
      <c r="K2" s="1">
        <v>9</v>
      </c>
      <c r="L2" s="4">
        <v>1269.0999999999999</v>
      </c>
      <c r="M2" s="3" t="s">
        <v>21</v>
      </c>
      <c r="N2" s="3" t="s">
        <v>22</v>
      </c>
    </row>
    <row r="3" spans="1:14" x14ac:dyDescent="0.3">
      <c r="A3" s="3" t="s">
        <v>23</v>
      </c>
      <c r="B3" s="2">
        <v>45484</v>
      </c>
      <c r="C3" s="3" t="s">
        <v>24</v>
      </c>
      <c r="D3" s="3" t="s">
        <v>16</v>
      </c>
      <c r="E3" s="3" t="s">
        <v>25</v>
      </c>
      <c r="F3" s="3" t="s">
        <v>18</v>
      </c>
      <c r="G3" s="3" t="s">
        <v>26</v>
      </c>
      <c r="H3" s="3" t="s">
        <v>27</v>
      </c>
      <c r="I3" s="5">
        <v>1017.94</v>
      </c>
      <c r="J3" s="4">
        <v>1</v>
      </c>
      <c r="K3" s="1">
        <v>4</v>
      </c>
      <c r="L3" s="4">
        <v>242.63</v>
      </c>
      <c r="M3" s="3" t="s">
        <v>28</v>
      </c>
      <c r="N3" s="3" t="s">
        <v>22</v>
      </c>
    </row>
    <row r="4" spans="1:14" x14ac:dyDescent="0.3">
      <c r="A4" s="3" t="s">
        <v>29</v>
      </c>
      <c r="B4" s="2">
        <v>45733</v>
      </c>
      <c r="C4" s="3" t="s">
        <v>30</v>
      </c>
      <c r="D4" s="3" t="s">
        <v>16</v>
      </c>
      <c r="E4" s="3" t="s">
        <v>31</v>
      </c>
      <c r="F4" s="3" t="s">
        <v>32</v>
      </c>
      <c r="G4" s="3" t="s">
        <v>33</v>
      </c>
      <c r="H4" s="3" t="s">
        <v>34</v>
      </c>
      <c r="I4" s="5">
        <v>10652.76</v>
      </c>
      <c r="J4" s="4">
        <v>6</v>
      </c>
      <c r="K4" s="1">
        <v>25</v>
      </c>
      <c r="L4" s="4">
        <v>859.08</v>
      </c>
      <c r="M4" s="3" t="s">
        <v>28</v>
      </c>
      <c r="N4" s="3" t="s">
        <v>35</v>
      </c>
    </row>
    <row r="5" spans="1:14" x14ac:dyDescent="0.3">
      <c r="A5" s="3" t="s">
        <v>36</v>
      </c>
      <c r="B5" s="2">
        <v>45713</v>
      </c>
      <c r="C5" s="3" t="s">
        <v>37</v>
      </c>
      <c r="D5" s="3" t="s">
        <v>38</v>
      </c>
      <c r="E5" s="3" t="s">
        <v>39</v>
      </c>
      <c r="F5" s="3" t="s">
        <v>18</v>
      </c>
      <c r="G5" s="3" t="s">
        <v>26</v>
      </c>
      <c r="H5" s="3" t="s">
        <v>27</v>
      </c>
      <c r="I5" s="5">
        <v>8665.7999999999993</v>
      </c>
      <c r="J5" s="4">
        <v>5</v>
      </c>
      <c r="K5" s="1">
        <v>19</v>
      </c>
      <c r="L5" s="4">
        <v>1444.74</v>
      </c>
      <c r="M5" s="3" t="s">
        <v>21</v>
      </c>
      <c r="N5" s="3" t="s">
        <v>40</v>
      </c>
    </row>
    <row r="6" spans="1:14" x14ac:dyDescent="0.3">
      <c r="A6" s="3" t="s">
        <v>41</v>
      </c>
      <c r="B6" s="2">
        <v>45646</v>
      </c>
      <c r="C6" s="3" t="s">
        <v>42</v>
      </c>
      <c r="D6" s="3" t="s">
        <v>38</v>
      </c>
      <c r="E6" s="3" t="s">
        <v>43</v>
      </c>
      <c r="F6" s="3" t="s">
        <v>18</v>
      </c>
      <c r="G6" s="3" t="s">
        <v>19</v>
      </c>
      <c r="H6" s="3" t="s">
        <v>20</v>
      </c>
      <c r="I6" s="5">
        <v>2150.4</v>
      </c>
      <c r="J6" s="4">
        <v>2</v>
      </c>
      <c r="K6" s="1">
        <v>20</v>
      </c>
      <c r="L6" s="4">
        <v>267.77</v>
      </c>
      <c r="M6" s="3" t="s">
        <v>21</v>
      </c>
      <c r="N6" s="3" t="s">
        <v>44</v>
      </c>
    </row>
    <row r="7" spans="1:14" x14ac:dyDescent="0.3">
      <c r="A7" s="3" t="s">
        <v>45</v>
      </c>
      <c r="B7" s="2">
        <v>45769</v>
      </c>
      <c r="C7" s="3" t="s">
        <v>30</v>
      </c>
      <c r="D7" s="3" t="s">
        <v>38</v>
      </c>
      <c r="E7" s="3" t="s">
        <v>43</v>
      </c>
      <c r="F7" s="3" t="s">
        <v>32</v>
      </c>
      <c r="G7" s="3" t="s">
        <v>33</v>
      </c>
      <c r="H7" s="3" t="s">
        <v>34</v>
      </c>
      <c r="I7" s="5">
        <v>16306.4</v>
      </c>
      <c r="J7" s="4">
        <v>10</v>
      </c>
      <c r="K7" s="1">
        <v>18</v>
      </c>
      <c r="L7" s="4">
        <v>2357.5300000000002</v>
      </c>
      <c r="M7" s="3" t="s">
        <v>28</v>
      </c>
      <c r="N7" s="3" t="s">
        <v>35</v>
      </c>
    </row>
    <row r="8" spans="1:14" x14ac:dyDescent="0.3">
      <c r="A8" s="3" t="s">
        <v>46</v>
      </c>
      <c r="B8" s="2">
        <v>45446</v>
      </c>
      <c r="C8" s="3" t="s">
        <v>30</v>
      </c>
      <c r="D8" s="3" t="s">
        <v>38</v>
      </c>
      <c r="E8" s="3" t="s">
        <v>43</v>
      </c>
      <c r="F8" s="3" t="s">
        <v>32</v>
      </c>
      <c r="G8" s="3" t="s">
        <v>47</v>
      </c>
      <c r="H8" s="3" t="s">
        <v>48</v>
      </c>
      <c r="I8" s="5">
        <v>2537.52</v>
      </c>
      <c r="J8" s="4">
        <v>4</v>
      </c>
      <c r="K8" s="1">
        <v>19</v>
      </c>
      <c r="L8" s="4">
        <v>261.63</v>
      </c>
      <c r="M8" s="3" t="s">
        <v>21</v>
      </c>
      <c r="N8" s="3" t="s">
        <v>40</v>
      </c>
    </row>
    <row r="9" spans="1:14" x14ac:dyDescent="0.3">
      <c r="A9" s="3" t="s">
        <v>49</v>
      </c>
      <c r="B9" s="2">
        <v>45460</v>
      </c>
      <c r="C9" s="3" t="s">
        <v>50</v>
      </c>
      <c r="D9" s="3" t="s">
        <v>38</v>
      </c>
      <c r="E9" s="3" t="s">
        <v>43</v>
      </c>
      <c r="F9" s="3" t="s">
        <v>18</v>
      </c>
      <c r="G9" s="3" t="s">
        <v>26</v>
      </c>
      <c r="H9" s="3" t="s">
        <v>27</v>
      </c>
      <c r="I9" s="5">
        <v>3252.76</v>
      </c>
      <c r="J9" s="4">
        <v>7</v>
      </c>
      <c r="K9" s="1">
        <v>4</v>
      </c>
      <c r="L9" s="4">
        <v>292.45999999999998</v>
      </c>
      <c r="M9" s="3" t="s">
        <v>51</v>
      </c>
      <c r="N9" s="3" t="s">
        <v>35</v>
      </c>
    </row>
    <row r="10" spans="1:14" x14ac:dyDescent="0.3">
      <c r="A10" s="3" t="s">
        <v>52</v>
      </c>
      <c r="B10" s="2">
        <v>45686</v>
      </c>
      <c r="C10" s="3" t="s">
        <v>50</v>
      </c>
      <c r="D10" s="3" t="s">
        <v>38</v>
      </c>
      <c r="E10" s="3" t="s">
        <v>53</v>
      </c>
      <c r="F10" s="3" t="s">
        <v>32</v>
      </c>
      <c r="G10" s="3" t="s">
        <v>47</v>
      </c>
      <c r="H10" s="3" t="s">
        <v>48</v>
      </c>
      <c r="I10" s="5">
        <v>1145.98</v>
      </c>
      <c r="J10" s="4">
        <v>1</v>
      </c>
      <c r="K10" s="1">
        <v>22</v>
      </c>
      <c r="L10" s="4">
        <v>177.37</v>
      </c>
      <c r="M10" s="3" t="s">
        <v>21</v>
      </c>
      <c r="N10" s="3" t="s">
        <v>22</v>
      </c>
    </row>
    <row r="11" spans="1:14" x14ac:dyDescent="0.3">
      <c r="A11" s="3" t="s">
        <v>54</v>
      </c>
      <c r="B11" s="2">
        <v>45683</v>
      </c>
      <c r="C11" s="3" t="s">
        <v>24</v>
      </c>
      <c r="D11" s="3" t="s">
        <v>16</v>
      </c>
      <c r="E11" s="3" t="s">
        <v>25</v>
      </c>
      <c r="F11" s="3" t="s">
        <v>18</v>
      </c>
      <c r="G11" s="3" t="s">
        <v>19</v>
      </c>
      <c r="H11" s="3" t="s">
        <v>20</v>
      </c>
      <c r="I11" s="5">
        <v>13863.85</v>
      </c>
      <c r="J11" s="4">
        <v>7</v>
      </c>
      <c r="K11" s="1">
        <v>4</v>
      </c>
      <c r="L11" s="4">
        <v>2735.89</v>
      </c>
      <c r="M11" s="3" t="s">
        <v>51</v>
      </c>
      <c r="N11" s="3" t="s">
        <v>40</v>
      </c>
    </row>
    <row r="12" spans="1:14" x14ac:dyDescent="0.3">
      <c r="A12" s="3" t="s">
        <v>55</v>
      </c>
      <c r="B12" s="2">
        <v>45595</v>
      </c>
      <c r="C12" s="3" t="s">
        <v>24</v>
      </c>
      <c r="D12" s="3" t="s">
        <v>56</v>
      </c>
      <c r="E12" s="3" t="s">
        <v>57</v>
      </c>
      <c r="F12" s="3" t="s">
        <v>32</v>
      </c>
      <c r="G12" s="3" t="s">
        <v>58</v>
      </c>
      <c r="H12" s="3" t="s">
        <v>59</v>
      </c>
      <c r="I12" s="5">
        <v>4557.8500000000004</v>
      </c>
      <c r="J12" s="4">
        <v>5</v>
      </c>
      <c r="K12" s="1">
        <v>18</v>
      </c>
      <c r="L12" s="4">
        <v>317.76</v>
      </c>
      <c r="M12" s="3" t="s">
        <v>28</v>
      </c>
      <c r="N12" s="3" t="s">
        <v>35</v>
      </c>
    </row>
    <row r="13" spans="1:14" x14ac:dyDescent="0.3">
      <c r="A13" s="3" t="s">
        <v>60</v>
      </c>
      <c r="B13" s="2">
        <v>45733</v>
      </c>
      <c r="C13" s="3" t="s">
        <v>30</v>
      </c>
      <c r="D13" s="3" t="s">
        <v>56</v>
      </c>
      <c r="E13" s="3" t="s">
        <v>61</v>
      </c>
      <c r="F13" s="3" t="s">
        <v>62</v>
      </c>
      <c r="G13" s="3" t="s">
        <v>63</v>
      </c>
      <c r="H13" s="3" t="s">
        <v>64</v>
      </c>
      <c r="I13" s="5">
        <v>2654.82</v>
      </c>
      <c r="J13" s="4">
        <v>7</v>
      </c>
      <c r="K13" s="1">
        <v>25</v>
      </c>
      <c r="L13" s="4">
        <v>289.19</v>
      </c>
      <c r="M13" s="3" t="s">
        <v>51</v>
      </c>
      <c r="N13" s="3" t="s">
        <v>35</v>
      </c>
    </row>
    <row r="14" spans="1:14" x14ac:dyDescent="0.3">
      <c r="A14" s="3" t="s">
        <v>65</v>
      </c>
      <c r="B14" s="2">
        <v>45781</v>
      </c>
      <c r="C14" s="3" t="s">
        <v>66</v>
      </c>
      <c r="D14" s="3" t="s">
        <v>38</v>
      </c>
      <c r="E14" s="3" t="s">
        <v>39</v>
      </c>
      <c r="F14" s="3" t="s">
        <v>62</v>
      </c>
      <c r="G14" s="3" t="s">
        <v>67</v>
      </c>
      <c r="H14" s="3" t="s">
        <v>68</v>
      </c>
      <c r="I14" s="5">
        <v>1626.72</v>
      </c>
      <c r="J14" s="4">
        <v>6</v>
      </c>
      <c r="K14" s="1">
        <v>1</v>
      </c>
      <c r="L14" s="4">
        <v>104.38</v>
      </c>
      <c r="M14" s="3" t="s">
        <v>28</v>
      </c>
      <c r="N14" s="3" t="s">
        <v>35</v>
      </c>
    </row>
    <row r="15" spans="1:14" x14ac:dyDescent="0.3">
      <c r="A15" s="3" t="s">
        <v>69</v>
      </c>
      <c r="B15" s="2">
        <v>45585</v>
      </c>
      <c r="C15" s="3" t="s">
        <v>70</v>
      </c>
      <c r="D15" s="3" t="s">
        <v>38</v>
      </c>
      <c r="E15" s="3" t="s">
        <v>71</v>
      </c>
      <c r="F15" s="3" t="s">
        <v>32</v>
      </c>
      <c r="G15" s="3" t="s">
        <v>47</v>
      </c>
      <c r="H15" s="3" t="s">
        <v>48</v>
      </c>
      <c r="I15" s="5">
        <v>1879.32</v>
      </c>
      <c r="J15" s="4">
        <v>4</v>
      </c>
      <c r="K15" s="1">
        <v>14</v>
      </c>
      <c r="L15" s="4">
        <v>144</v>
      </c>
      <c r="M15" s="3" t="s">
        <v>51</v>
      </c>
      <c r="N15" s="3" t="s">
        <v>40</v>
      </c>
    </row>
    <row r="16" spans="1:14" x14ac:dyDescent="0.3">
      <c r="A16" s="3" t="s">
        <v>72</v>
      </c>
      <c r="B16" s="2">
        <v>45505</v>
      </c>
      <c r="C16" s="3" t="s">
        <v>73</v>
      </c>
      <c r="D16" s="3" t="s">
        <v>38</v>
      </c>
      <c r="E16" s="3" t="s">
        <v>71</v>
      </c>
      <c r="F16" s="3" t="s">
        <v>18</v>
      </c>
      <c r="G16" s="3" t="s">
        <v>26</v>
      </c>
      <c r="H16" s="3" t="s">
        <v>27</v>
      </c>
      <c r="I16" s="5">
        <v>9731.9599999999991</v>
      </c>
      <c r="J16" s="4">
        <v>7</v>
      </c>
      <c r="K16" s="1">
        <v>30</v>
      </c>
      <c r="L16" s="4">
        <v>1228</v>
      </c>
      <c r="M16" s="3" t="s">
        <v>51</v>
      </c>
      <c r="N16" s="3" t="s">
        <v>40</v>
      </c>
    </row>
    <row r="17" spans="1:14" x14ac:dyDescent="0.3">
      <c r="A17" s="3" t="s">
        <v>74</v>
      </c>
      <c r="B17" s="2">
        <v>45485</v>
      </c>
      <c r="C17" s="3" t="s">
        <v>75</v>
      </c>
      <c r="D17" s="3" t="s">
        <v>16</v>
      </c>
      <c r="E17" s="3" t="s">
        <v>31</v>
      </c>
      <c r="F17" s="3" t="s">
        <v>18</v>
      </c>
      <c r="G17" s="3" t="s">
        <v>76</v>
      </c>
      <c r="H17" s="3" t="s">
        <v>77</v>
      </c>
      <c r="I17" s="5">
        <v>411.1</v>
      </c>
      <c r="J17" s="4">
        <v>2</v>
      </c>
      <c r="K17" s="1">
        <v>26</v>
      </c>
      <c r="L17" s="4">
        <v>35.159999999999997</v>
      </c>
      <c r="M17" s="3" t="s">
        <v>51</v>
      </c>
      <c r="N17" s="3" t="s">
        <v>22</v>
      </c>
    </row>
    <row r="18" spans="1:14" x14ac:dyDescent="0.3">
      <c r="A18" s="3" t="s">
        <v>78</v>
      </c>
      <c r="B18" s="2">
        <v>45720</v>
      </c>
      <c r="C18" s="3" t="s">
        <v>42</v>
      </c>
      <c r="D18" s="3" t="s">
        <v>16</v>
      </c>
      <c r="E18" s="3" t="s">
        <v>25</v>
      </c>
      <c r="F18" s="3" t="s">
        <v>18</v>
      </c>
      <c r="G18" s="3" t="s">
        <v>76</v>
      </c>
      <c r="H18" s="3" t="s">
        <v>77</v>
      </c>
      <c r="I18" s="5">
        <v>9701.1</v>
      </c>
      <c r="J18" s="4">
        <v>6</v>
      </c>
      <c r="K18" s="1">
        <v>26</v>
      </c>
      <c r="L18" s="4">
        <v>1420.5</v>
      </c>
      <c r="M18" s="3" t="s">
        <v>51</v>
      </c>
      <c r="N18" s="3" t="s">
        <v>40</v>
      </c>
    </row>
    <row r="19" spans="1:14" x14ac:dyDescent="0.3">
      <c r="A19" s="3" t="s">
        <v>79</v>
      </c>
      <c r="B19" s="2">
        <v>45478</v>
      </c>
      <c r="C19" s="3" t="s">
        <v>73</v>
      </c>
      <c r="D19" s="3" t="s">
        <v>16</v>
      </c>
      <c r="E19" s="3" t="s">
        <v>31</v>
      </c>
      <c r="F19" s="3" t="s">
        <v>62</v>
      </c>
      <c r="G19" s="3" t="s">
        <v>80</v>
      </c>
      <c r="H19" s="3" t="s">
        <v>81</v>
      </c>
      <c r="I19" s="5">
        <v>2894.72</v>
      </c>
      <c r="J19" s="4">
        <v>2</v>
      </c>
      <c r="K19" s="1">
        <v>1</v>
      </c>
      <c r="L19" s="4">
        <v>589.64</v>
      </c>
      <c r="M19" s="3" t="s">
        <v>51</v>
      </c>
      <c r="N19" s="3" t="s">
        <v>35</v>
      </c>
    </row>
    <row r="20" spans="1:14" x14ac:dyDescent="0.3">
      <c r="A20" s="3" t="s">
        <v>82</v>
      </c>
      <c r="B20" s="2">
        <v>45466</v>
      </c>
      <c r="C20" s="3" t="s">
        <v>15</v>
      </c>
      <c r="D20" s="3" t="s">
        <v>56</v>
      </c>
      <c r="E20" s="3" t="s">
        <v>57</v>
      </c>
      <c r="F20" s="3" t="s">
        <v>62</v>
      </c>
      <c r="G20" s="3" t="s">
        <v>80</v>
      </c>
      <c r="H20" s="3" t="s">
        <v>81</v>
      </c>
      <c r="I20" s="5">
        <v>15095.8</v>
      </c>
      <c r="J20" s="4">
        <v>10</v>
      </c>
      <c r="K20" s="1">
        <v>0</v>
      </c>
      <c r="L20" s="4">
        <v>1791.89</v>
      </c>
      <c r="M20" s="3" t="s">
        <v>51</v>
      </c>
      <c r="N20" s="3" t="s">
        <v>35</v>
      </c>
    </row>
    <row r="21" spans="1:14" x14ac:dyDescent="0.3">
      <c r="A21" s="3" t="s">
        <v>83</v>
      </c>
      <c r="B21" s="2">
        <v>45596</v>
      </c>
      <c r="C21" s="3" t="s">
        <v>84</v>
      </c>
      <c r="D21" s="3" t="s">
        <v>56</v>
      </c>
      <c r="E21" s="3" t="s">
        <v>57</v>
      </c>
      <c r="F21" s="3" t="s">
        <v>32</v>
      </c>
      <c r="G21" s="3" t="s">
        <v>47</v>
      </c>
      <c r="H21" s="3" t="s">
        <v>48</v>
      </c>
      <c r="I21" s="5">
        <v>7913.6</v>
      </c>
      <c r="J21" s="4">
        <v>5</v>
      </c>
      <c r="K21" s="1">
        <v>27</v>
      </c>
      <c r="L21" s="4">
        <v>365.9</v>
      </c>
      <c r="M21" s="3" t="s">
        <v>28</v>
      </c>
      <c r="N21" s="3" t="s">
        <v>22</v>
      </c>
    </row>
    <row r="22" spans="1:14" x14ac:dyDescent="0.3">
      <c r="A22" s="3" t="s">
        <v>85</v>
      </c>
      <c r="B22" s="2">
        <v>45680</v>
      </c>
      <c r="C22" s="3" t="s">
        <v>86</v>
      </c>
      <c r="D22" s="3" t="s">
        <v>38</v>
      </c>
      <c r="E22" s="3" t="s">
        <v>53</v>
      </c>
      <c r="F22" s="3" t="s">
        <v>32</v>
      </c>
      <c r="G22" s="3" t="s">
        <v>33</v>
      </c>
      <c r="H22" s="3" t="s">
        <v>34</v>
      </c>
      <c r="I22" s="5">
        <v>1344.77</v>
      </c>
      <c r="J22" s="4">
        <v>1</v>
      </c>
      <c r="K22" s="1">
        <v>25</v>
      </c>
      <c r="L22" s="4">
        <v>56.96</v>
      </c>
      <c r="M22" s="3" t="s">
        <v>28</v>
      </c>
      <c r="N22" s="3" t="s">
        <v>35</v>
      </c>
    </row>
    <row r="23" spans="1:14" x14ac:dyDescent="0.3">
      <c r="A23" s="3" t="s">
        <v>87</v>
      </c>
      <c r="B23" s="2">
        <v>45712</v>
      </c>
      <c r="C23" s="3" t="s">
        <v>42</v>
      </c>
      <c r="D23" s="3" t="s">
        <v>56</v>
      </c>
      <c r="E23" s="3" t="s">
        <v>61</v>
      </c>
      <c r="F23" s="3" t="s">
        <v>32</v>
      </c>
      <c r="G23" s="3" t="s">
        <v>33</v>
      </c>
      <c r="H23" s="3" t="s">
        <v>34</v>
      </c>
      <c r="I23" s="5">
        <v>7816.32</v>
      </c>
      <c r="J23" s="4">
        <v>6</v>
      </c>
      <c r="K23" s="1">
        <v>1</v>
      </c>
      <c r="L23" s="4">
        <v>1009.31</v>
      </c>
      <c r="M23" s="3" t="s">
        <v>28</v>
      </c>
      <c r="N23" s="3" t="s">
        <v>35</v>
      </c>
    </row>
    <row r="24" spans="1:14" x14ac:dyDescent="0.3">
      <c r="A24" s="3" t="s">
        <v>88</v>
      </c>
      <c r="B24" s="2">
        <v>45469</v>
      </c>
      <c r="C24" s="3" t="s">
        <v>73</v>
      </c>
      <c r="D24" s="3" t="s">
        <v>89</v>
      </c>
      <c r="E24" s="3" t="s">
        <v>90</v>
      </c>
      <c r="F24" s="3" t="s">
        <v>32</v>
      </c>
      <c r="G24" s="3" t="s">
        <v>33</v>
      </c>
      <c r="H24" s="3" t="s">
        <v>34</v>
      </c>
      <c r="I24" s="5">
        <v>17681.099999999999</v>
      </c>
      <c r="J24" s="4">
        <v>10</v>
      </c>
      <c r="K24" s="1">
        <v>26</v>
      </c>
      <c r="L24" s="4">
        <v>884.53</v>
      </c>
      <c r="M24" s="3" t="s">
        <v>21</v>
      </c>
      <c r="N24" s="3" t="s">
        <v>22</v>
      </c>
    </row>
    <row r="25" spans="1:14" x14ac:dyDescent="0.3">
      <c r="A25" s="3" t="s">
        <v>91</v>
      </c>
      <c r="B25" s="2">
        <v>45689</v>
      </c>
      <c r="C25" s="3" t="s">
        <v>42</v>
      </c>
      <c r="D25" s="3" t="s">
        <v>38</v>
      </c>
      <c r="E25" s="3" t="s">
        <v>39</v>
      </c>
      <c r="F25" s="3" t="s">
        <v>62</v>
      </c>
      <c r="G25" s="3" t="s">
        <v>67</v>
      </c>
      <c r="H25" s="3" t="s">
        <v>68</v>
      </c>
      <c r="I25" s="5">
        <v>5216.7</v>
      </c>
      <c r="J25" s="4">
        <v>10</v>
      </c>
      <c r="K25" s="1">
        <v>21</v>
      </c>
      <c r="L25" s="4">
        <v>259.14999999999998</v>
      </c>
      <c r="M25" s="3" t="s">
        <v>21</v>
      </c>
      <c r="N25" s="3" t="s">
        <v>44</v>
      </c>
    </row>
    <row r="26" spans="1:14" x14ac:dyDescent="0.3">
      <c r="A26" s="3" t="s">
        <v>92</v>
      </c>
      <c r="B26" s="2">
        <v>45646</v>
      </c>
      <c r="C26" s="3" t="s">
        <v>37</v>
      </c>
      <c r="D26" s="3" t="s">
        <v>56</v>
      </c>
      <c r="E26" s="3" t="s">
        <v>61</v>
      </c>
      <c r="F26" s="3" t="s">
        <v>18</v>
      </c>
      <c r="G26" s="3" t="s">
        <v>76</v>
      </c>
      <c r="H26" s="3" t="s">
        <v>77</v>
      </c>
      <c r="I26" s="5">
        <v>9898.4699999999993</v>
      </c>
      <c r="J26" s="4">
        <v>9</v>
      </c>
      <c r="K26" s="1">
        <v>28</v>
      </c>
      <c r="L26" s="4">
        <v>1292.04</v>
      </c>
      <c r="M26" s="3" t="s">
        <v>51</v>
      </c>
      <c r="N26" s="3" t="s">
        <v>22</v>
      </c>
    </row>
    <row r="27" spans="1:14" x14ac:dyDescent="0.3">
      <c r="A27" s="3" t="s">
        <v>93</v>
      </c>
      <c r="B27" s="2">
        <v>45697</v>
      </c>
      <c r="C27" s="3" t="s">
        <v>75</v>
      </c>
      <c r="D27" s="3" t="s">
        <v>16</v>
      </c>
      <c r="E27" s="3" t="s">
        <v>25</v>
      </c>
      <c r="F27" s="3" t="s">
        <v>18</v>
      </c>
      <c r="G27" s="3" t="s">
        <v>94</v>
      </c>
      <c r="H27" s="3" t="s">
        <v>95</v>
      </c>
      <c r="I27" s="5">
        <v>15473</v>
      </c>
      <c r="J27" s="4">
        <v>10</v>
      </c>
      <c r="K27" s="1">
        <v>10</v>
      </c>
      <c r="L27" s="4">
        <v>1377.35</v>
      </c>
      <c r="M27" s="3" t="s">
        <v>28</v>
      </c>
      <c r="N27" s="3" t="s">
        <v>35</v>
      </c>
    </row>
    <row r="28" spans="1:14" x14ac:dyDescent="0.3">
      <c r="A28" s="3" t="s">
        <v>96</v>
      </c>
      <c r="B28" s="2">
        <v>45788</v>
      </c>
      <c r="C28" s="3" t="s">
        <v>70</v>
      </c>
      <c r="D28" s="3" t="s">
        <v>89</v>
      </c>
      <c r="E28" s="3" t="s">
        <v>97</v>
      </c>
      <c r="F28" s="3" t="s">
        <v>62</v>
      </c>
      <c r="G28" s="3" t="s">
        <v>63</v>
      </c>
      <c r="H28" s="3" t="s">
        <v>64</v>
      </c>
      <c r="I28" s="5">
        <v>8638.56</v>
      </c>
      <c r="J28" s="4">
        <v>8</v>
      </c>
      <c r="K28" s="1">
        <v>26</v>
      </c>
      <c r="L28" s="4">
        <v>1043.43</v>
      </c>
      <c r="M28" s="3" t="s">
        <v>28</v>
      </c>
      <c r="N28" s="3" t="s">
        <v>22</v>
      </c>
    </row>
    <row r="29" spans="1:14" x14ac:dyDescent="0.3">
      <c r="A29" s="3" t="s">
        <v>98</v>
      </c>
      <c r="B29" s="2">
        <v>45532</v>
      </c>
      <c r="C29" s="3" t="s">
        <v>99</v>
      </c>
      <c r="D29" s="3" t="s">
        <v>16</v>
      </c>
      <c r="E29" s="3" t="s">
        <v>17</v>
      </c>
      <c r="F29" s="3" t="s">
        <v>62</v>
      </c>
      <c r="G29" s="3" t="s">
        <v>63</v>
      </c>
      <c r="H29" s="3" t="s">
        <v>64</v>
      </c>
      <c r="I29" s="5">
        <v>1242.6600000000001</v>
      </c>
      <c r="J29" s="4">
        <v>3</v>
      </c>
      <c r="K29" s="1">
        <v>3</v>
      </c>
      <c r="L29" s="4">
        <v>63.8</v>
      </c>
      <c r="M29" s="3" t="s">
        <v>28</v>
      </c>
      <c r="N29" s="3" t="s">
        <v>44</v>
      </c>
    </row>
    <row r="30" spans="1:14" x14ac:dyDescent="0.3">
      <c r="A30" s="3" t="s">
        <v>100</v>
      </c>
      <c r="B30" s="2">
        <v>45773</v>
      </c>
      <c r="C30" s="3" t="s">
        <v>101</v>
      </c>
      <c r="D30" s="3" t="s">
        <v>89</v>
      </c>
      <c r="E30" s="3" t="s">
        <v>102</v>
      </c>
      <c r="F30" s="3" t="s">
        <v>62</v>
      </c>
      <c r="G30" s="3" t="s">
        <v>103</v>
      </c>
      <c r="H30" s="3" t="s">
        <v>104</v>
      </c>
      <c r="I30" s="5">
        <v>802.35</v>
      </c>
      <c r="J30" s="4">
        <v>5</v>
      </c>
      <c r="K30" s="1">
        <v>24</v>
      </c>
      <c r="L30" s="4">
        <v>57.18</v>
      </c>
      <c r="M30" s="3" t="s">
        <v>28</v>
      </c>
      <c r="N30" s="3" t="s">
        <v>44</v>
      </c>
    </row>
    <row r="31" spans="1:14" x14ac:dyDescent="0.3">
      <c r="A31" s="3" t="s">
        <v>105</v>
      </c>
      <c r="B31" s="2">
        <v>45566</v>
      </c>
      <c r="C31" s="3" t="s">
        <v>99</v>
      </c>
      <c r="D31" s="3" t="s">
        <v>56</v>
      </c>
      <c r="E31" s="3" t="s">
        <v>57</v>
      </c>
      <c r="F31" s="3" t="s">
        <v>32</v>
      </c>
      <c r="G31" s="3" t="s">
        <v>33</v>
      </c>
      <c r="H31" s="3" t="s">
        <v>34</v>
      </c>
      <c r="I31" s="5">
        <v>3375.2</v>
      </c>
      <c r="J31" s="4">
        <v>2</v>
      </c>
      <c r="K31" s="1">
        <v>5</v>
      </c>
      <c r="L31" s="4">
        <v>722.26</v>
      </c>
      <c r="M31" s="3" t="s">
        <v>51</v>
      </c>
      <c r="N31" s="3" t="s">
        <v>22</v>
      </c>
    </row>
    <row r="32" spans="1:14" x14ac:dyDescent="0.3">
      <c r="A32" s="3" t="s">
        <v>106</v>
      </c>
      <c r="B32" s="2">
        <v>45447</v>
      </c>
      <c r="C32" s="3" t="s">
        <v>15</v>
      </c>
      <c r="D32" s="3" t="s">
        <v>89</v>
      </c>
      <c r="E32" s="3" t="s">
        <v>102</v>
      </c>
      <c r="F32" s="3" t="s">
        <v>18</v>
      </c>
      <c r="G32" s="3" t="s">
        <v>94</v>
      </c>
      <c r="H32" s="3" t="s">
        <v>95</v>
      </c>
      <c r="I32" s="5">
        <v>2209.2800000000002</v>
      </c>
      <c r="J32" s="4">
        <v>8</v>
      </c>
      <c r="K32" s="1">
        <v>4</v>
      </c>
      <c r="L32" s="4">
        <v>217.17</v>
      </c>
      <c r="M32" s="3" t="s">
        <v>28</v>
      </c>
      <c r="N32" s="3" t="s">
        <v>22</v>
      </c>
    </row>
    <row r="33" spans="1:14" x14ac:dyDescent="0.3">
      <c r="A33" s="3" t="s">
        <v>107</v>
      </c>
      <c r="B33" s="2">
        <v>45424</v>
      </c>
      <c r="C33" s="3" t="s">
        <v>24</v>
      </c>
      <c r="D33" s="3" t="s">
        <v>56</v>
      </c>
      <c r="E33" s="3" t="s">
        <v>108</v>
      </c>
      <c r="F33" s="3" t="s">
        <v>62</v>
      </c>
      <c r="G33" s="3" t="s">
        <v>63</v>
      </c>
      <c r="H33" s="3" t="s">
        <v>64</v>
      </c>
      <c r="I33" s="5">
        <v>6503.75</v>
      </c>
      <c r="J33" s="4">
        <v>5</v>
      </c>
      <c r="K33" s="1">
        <v>12</v>
      </c>
      <c r="L33" s="4">
        <v>510.77</v>
      </c>
      <c r="M33" s="3" t="s">
        <v>21</v>
      </c>
      <c r="N33" s="3" t="s">
        <v>40</v>
      </c>
    </row>
    <row r="34" spans="1:14" x14ac:dyDescent="0.3">
      <c r="A34" s="3" t="s">
        <v>109</v>
      </c>
      <c r="B34" s="2">
        <v>45779</v>
      </c>
      <c r="C34" s="3" t="s">
        <v>42</v>
      </c>
      <c r="D34" s="3" t="s">
        <v>38</v>
      </c>
      <c r="E34" s="3" t="s">
        <v>71</v>
      </c>
      <c r="F34" s="3" t="s">
        <v>32</v>
      </c>
      <c r="G34" s="3" t="s">
        <v>47</v>
      </c>
      <c r="H34" s="3" t="s">
        <v>48</v>
      </c>
      <c r="I34" s="5">
        <v>7153.4</v>
      </c>
      <c r="J34" s="4">
        <v>4</v>
      </c>
      <c r="K34" s="1">
        <v>18</v>
      </c>
      <c r="L34" s="4">
        <v>1309.46</v>
      </c>
      <c r="M34" s="3" t="s">
        <v>51</v>
      </c>
      <c r="N34" s="3" t="s">
        <v>44</v>
      </c>
    </row>
    <row r="35" spans="1:14" x14ac:dyDescent="0.3">
      <c r="A35" s="3" t="s">
        <v>110</v>
      </c>
      <c r="B35" s="2">
        <v>45701</v>
      </c>
      <c r="C35" s="3" t="s">
        <v>75</v>
      </c>
      <c r="D35" s="3" t="s">
        <v>89</v>
      </c>
      <c r="E35" s="3" t="s">
        <v>90</v>
      </c>
      <c r="F35" s="3" t="s">
        <v>62</v>
      </c>
      <c r="G35" s="3" t="s">
        <v>80</v>
      </c>
      <c r="H35" s="3" t="s">
        <v>81</v>
      </c>
      <c r="I35" s="5">
        <v>8470.5499999999993</v>
      </c>
      <c r="J35" s="4">
        <v>5</v>
      </c>
      <c r="K35" s="1">
        <v>5</v>
      </c>
      <c r="L35" s="4">
        <v>1774.25</v>
      </c>
      <c r="M35" s="3" t="s">
        <v>28</v>
      </c>
      <c r="N35" s="3" t="s">
        <v>44</v>
      </c>
    </row>
    <row r="36" spans="1:14" x14ac:dyDescent="0.3">
      <c r="A36" s="3" t="s">
        <v>111</v>
      </c>
      <c r="B36" s="2">
        <v>45479</v>
      </c>
      <c r="C36" s="3" t="s">
        <v>50</v>
      </c>
      <c r="D36" s="3" t="s">
        <v>38</v>
      </c>
      <c r="E36" s="3" t="s">
        <v>71</v>
      </c>
      <c r="F36" s="3" t="s">
        <v>32</v>
      </c>
      <c r="G36" s="3" t="s">
        <v>112</v>
      </c>
      <c r="H36" s="3" t="s">
        <v>113</v>
      </c>
      <c r="I36" s="5">
        <v>6147.72</v>
      </c>
      <c r="J36" s="4">
        <v>4</v>
      </c>
      <c r="K36" s="1">
        <v>7.0000000000000009</v>
      </c>
      <c r="L36" s="4">
        <v>1020</v>
      </c>
      <c r="M36" s="3" t="s">
        <v>51</v>
      </c>
      <c r="N36" s="3" t="s">
        <v>35</v>
      </c>
    </row>
    <row r="37" spans="1:14" x14ac:dyDescent="0.3">
      <c r="A37" s="3" t="s">
        <v>114</v>
      </c>
      <c r="B37" s="2">
        <v>45437</v>
      </c>
      <c r="C37" s="3" t="s">
        <v>75</v>
      </c>
      <c r="D37" s="3" t="s">
        <v>16</v>
      </c>
      <c r="E37" s="3" t="s">
        <v>17</v>
      </c>
      <c r="F37" s="3" t="s">
        <v>62</v>
      </c>
      <c r="G37" s="3" t="s">
        <v>63</v>
      </c>
      <c r="H37" s="3" t="s">
        <v>64</v>
      </c>
      <c r="I37" s="5">
        <v>2836.5</v>
      </c>
      <c r="J37" s="4">
        <v>5</v>
      </c>
      <c r="K37" s="1">
        <v>2</v>
      </c>
      <c r="L37" s="4">
        <v>628.39</v>
      </c>
      <c r="M37" s="3" t="s">
        <v>21</v>
      </c>
      <c r="N37" s="3" t="s">
        <v>35</v>
      </c>
    </row>
    <row r="38" spans="1:14" x14ac:dyDescent="0.3">
      <c r="A38" s="3" t="s">
        <v>115</v>
      </c>
      <c r="B38" s="2">
        <v>45556</v>
      </c>
      <c r="C38" s="3" t="s">
        <v>73</v>
      </c>
      <c r="D38" s="3" t="s">
        <v>89</v>
      </c>
      <c r="E38" s="3" t="s">
        <v>116</v>
      </c>
      <c r="F38" s="3" t="s">
        <v>18</v>
      </c>
      <c r="G38" s="3" t="s">
        <v>19</v>
      </c>
      <c r="H38" s="3" t="s">
        <v>20</v>
      </c>
      <c r="I38" s="5">
        <v>1870.92</v>
      </c>
      <c r="J38" s="4">
        <v>1</v>
      </c>
      <c r="K38" s="1">
        <v>0</v>
      </c>
      <c r="L38" s="4">
        <v>104.31</v>
      </c>
      <c r="M38" s="3" t="s">
        <v>21</v>
      </c>
      <c r="N38" s="3" t="s">
        <v>22</v>
      </c>
    </row>
    <row r="39" spans="1:14" x14ac:dyDescent="0.3">
      <c r="A39" s="3" t="s">
        <v>117</v>
      </c>
      <c r="B39" s="2">
        <v>45487</v>
      </c>
      <c r="C39" s="3" t="s">
        <v>15</v>
      </c>
      <c r="D39" s="3" t="s">
        <v>16</v>
      </c>
      <c r="E39" s="3" t="s">
        <v>31</v>
      </c>
      <c r="F39" s="3" t="s">
        <v>32</v>
      </c>
      <c r="G39" s="3" t="s">
        <v>33</v>
      </c>
      <c r="H39" s="3" t="s">
        <v>34</v>
      </c>
      <c r="I39" s="5">
        <v>9352.85</v>
      </c>
      <c r="J39" s="4">
        <v>5</v>
      </c>
      <c r="K39" s="1">
        <v>23</v>
      </c>
      <c r="L39" s="4">
        <v>717.65</v>
      </c>
      <c r="M39" s="3" t="s">
        <v>28</v>
      </c>
      <c r="N39" s="3" t="s">
        <v>22</v>
      </c>
    </row>
    <row r="40" spans="1:14" x14ac:dyDescent="0.3">
      <c r="A40" s="3" t="s">
        <v>118</v>
      </c>
      <c r="B40" s="2">
        <v>45504</v>
      </c>
      <c r="C40" s="3" t="s">
        <v>24</v>
      </c>
      <c r="D40" s="3" t="s">
        <v>89</v>
      </c>
      <c r="E40" s="3" t="s">
        <v>90</v>
      </c>
      <c r="F40" s="3" t="s">
        <v>18</v>
      </c>
      <c r="G40" s="3" t="s">
        <v>19</v>
      </c>
      <c r="H40" s="3" t="s">
        <v>20</v>
      </c>
      <c r="I40" s="5">
        <v>4498.8599999999997</v>
      </c>
      <c r="J40" s="4">
        <v>3</v>
      </c>
      <c r="K40" s="1">
        <v>22</v>
      </c>
      <c r="L40" s="4">
        <v>862.46</v>
      </c>
      <c r="M40" s="3" t="s">
        <v>51</v>
      </c>
      <c r="N40" s="3" t="s">
        <v>44</v>
      </c>
    </row>
    <row r="41" spans="1:14" x14ac:dyDescent="0.3">
      <c r="A41" s="3" t="s">
        <v>119</v>
      </c>
      <c r="B41" s="2">
        <v>45752</v>
      </c>
      <c r="C41" s="3" t="s">
        <v>42</v>
      </c>
      <c r="D41" s="3" t="s">
        <v>38</v>
      </c>
      <c r="E41" s="3" t="s">
        <v>53</v>
      </c>
      <c r="F41" s="3" t="s">
        <v>32</v>
      </c>
      <c r="G41" s="3" t="s">
        <v>58</v>
      </c>
      <c r="H41" s="3" t="s">
        <v>59</v>
      </c>
      <c r="I41" s="5">
        <v>4073.37</v>
      </c>
      <c r="J41" s="4">
        <v>7</v>
      </c>
      <c r="K41" s="1">
        <v>24</v>
      </c>
      <c r="L41" s="4">
        <v>528.49</v>
      </c>
      <c r="M41" s="3" t="s">
        <v>21</v>
      </c>
      <c r="N41" s="3" t="s">
        <v>22</v>
      </c>
    </row>
    <row r="42" spans="1:14" x14ac:dyDescent="0.3">
      <c r="A42" s="3" t="s">
        <v>120</v>
      </c>
      <c r="B42" s="2">
        <v>45439</v>
      </c>
      <c r="C42" s="3" t="s">
        <v>84</v>
      </c>
      <c r="D42" s="3" t="s">
        <v>38</v>
      </c>
      <c r="E42" s="3" t="s">
        <v>71</v>
      </c>
      <c r="F42" s="3" t="s">
        <v>32</v>
      </c>
      <c r="G42" s="3" t="s">
        <v>112</v>
      </c>
      <c r="H42" s="3" t="s">
        <v>113</v>
      </c>
      <c r="I42" s="5">
        <v>4120.0600000000004</v>
      </c>
      <c r="J42" s="4">
        <v>7</v>
      </c>
      <c r="K42" s="1">
        <v>25</v>
      </c>
      <c r="L42" s="4">
        <v>565.57000000000005</v>
      </c>
      <c r="M42" s="3" t="s">
        <v>51</v>
      </c>
      <c r="N42" s="3" t="s">
        <v>35</v>
      </c>
    </row>
    <row r="43" spans="1:14" x14ac:dyDescent="0.3">
      <c r="A43" s="3" t="s">
        <v>121</v>
      </c>
      <c r="B43" s="2">
        <v>45515</v>
      </c>
      <c r="C43" s="3" t="s">
        <v>66</v>
      </c>
      <c r="D43" s="3" t="s">
        <v>38</v>
      </c>
      <c r="E43" s="3" t="s">
        <v>39</v>
      </c>
      <c r="F43" s="3" t="s">
        <v>32</v>
      </c>
      <c r="G43" s="3" t="s">
        <v>112</v>
      </c>
      <c r="H43" s="3" t="s">
        <v>113</v>
      </c>
      <c r="I43" s="5">
        <v>4954.95</v>
      </c>
      <c r="J43" s="4">
        <v>9</v>
      </c>
      <c r="K43" s="1">
        <v>11</v>
      </c>
      <c r="L43" s="4">
        <v>884.66</v>
      </c>
      <c r="M43" s="3" t="s">
        <v>28</v>
      </c>
      <c r="N43" s="3" t="s">
        <v>22</v>
      </c>
    </row>
    <row r="44" spans="1:14" x14ac:dyDescent="0.3">
      <c r="A44" s="3" t="s">
        <v>122</v>
      </c>
      <c r="B44" s="2">
        <v>45516</v>
      </c>
      <c r="C44" s="3" t="s">
        <v>50</v>
      </c>
      <c r="D44" s="3" t="s">
        <v>16</v>
      </c>
      <c r="E44" s="3" t="s">
        <v>31</v>
      </c>
      <c r="F44" s="3" t="s">
        <v>18</v>
      </c>
      <c r="G44" s="3" t="s">
        <v>26</v>
      </c>
      <c r="H44" s="3" t="s">
        <v>27</v>
      </c>
      <c r="I44" s="5">
        <v>13218.4</v>
      </c>
      <c r="J44" s="4">
        <v>8</v>
      </c>
      <c r="K44" s="1">
        <v>14</v>
      </c>
      <c r="L44" s="4">
        <v>1949.19</v>
      </c>
      <c r="M44" s="3" t="s">
        <v>51</v>
      </c>
      <c r="N44" s="3" t="s">
        <v>35</v>
      </c>
    </row>
    <row r="45" spans="1:14" x14ac:dyDescent="0.3">
      <c r="A45" s="3" t="s">
        <v>123</v>
      </c>
      <c r="B45" s="2">
        <v>45765</v>
      </c>
      <c r="C45" s="3" t="s">
        <v>24</v>
      </c>
      <c r="D45" s="3" t="s">
        <v>16</v>
      </c>
      <c r="E45" s="3" t="s">
        <v>31</v>
      </c>
      <c r="F45" s="3" t="s">
        <v>32</v>
      </c>
      <c r="G45" s="3" t="s">
        <v>58</v>
      </c>
      <c r="H45" s="3" t="s">
        <v>59</v>
      </c>
      <c r="I45" s="5">
        <v>8531.8799999999992</v>
      </c>
      <c r="J45" s="4">
        <v>7</v>
      </c>
      <c r="K45" s="1">
        <v>3</v>
      </c>
      <c r="L45" s="4">
        <v>1496.19</v>
      </c>
      <c r="M45" s="3" t="s">
        <v>51</v>
      </c>
      <c r="N45" s="3" t="s">
        <v>22</v>
      </c>
    </row>
    <row r="46" spans="1:14" x14ac:dyDescent="0.3">
      <c r="A46" s="3" t="s">
        <v>124</v>
      </c>
      <c r="B46" s="2">
        <v>45642</v>
      </c>
      <c r="C46" s="3" t="s">
        <v>42</v>
      </c>
      <c r="D46" s="3" t="s">
        <v>89</v>
      </c>
      <c r="E46" s="3" t="s">
        <v>90</v>
      </c>
      <c r="F46" s="3" t="s">
        <v>18</v>
      </c>
      <c r="G46" s="3" t="s">
        <v>19</v>
      </c>
      <c r="H46" s="3" t="s">
        <v>20</v>
      </c>
      <c r="I46" s="5">
        <v>2359.92</v>
      </c>
      <c r="J46" s="4">
        <v>3</v>
      </c>
      <c r="K46" s="1">
        <v>3</v>
      </c>
      <c r="L46" s="4">
        <v>183.13</v>
      </c>
      <c r="M46" s="3" t="s">
        <v>28</v>
      </c>
      <c r="N46" s="3" t="s">
        <v>40</v>
      </c>
    </row>
    <row r="47" spans="1:14" x14ac:dyDescent="0.3">
      <c r="A47" s="3" t="s">
        <v>125</v>
      </c>
      <c r="B47" s="2">
        <v>45511</v>
      </c>
      <c r="C47" s="3" t="s">
        <v>101</v>
      </c>
      <c r="D47" s="3" t="s">
        <v>89</v>
      </c>
      <c r="E47" s="3" t="s">
        <v>97</v>
      </c>
      <c r="F47" s="3" t="s">
        <v>18</v>
      </c>
      <c r="G47" s="3" t="s">
        <v>19</v>
      </c>
      <c r="H47" s="3" t="s">
        <v>20</v>
      </c>
      <c r="I47" s="5">
        <v>655.93</v>
      </c>
      <c r="J47" s="4">
        <v>1</v>
      </c>
      <c r="K47" s="1">
        <v>12</v>
      </c>
      <c r="L47" s="4">
        <v>62.71</v>
      </c>
      <c r="M47" s="3" t="s">
        <v>21</v>
      </c>
      <c r="N47" s="3" t="s">
        <v>44</v>
      </c>
    </row>
    <row r="48" spans="1:14" x14ac:dyDescent="0.3">
      <c r="A48" s="3" t="s">
        <v>126</v>
      </c>
      <c r="B48" s="2">
        <v>45714</v>
      </c>
      <c r="C48" s="3" t="s">
        <v>37</v>
      </c>
      <c r="D48" s="3" t="s">
        <v>56</v>
      </c>
      <c r="E48" s="3" t="s">
        <v>57</v>
      </c>
      <c r="F48" s="3" t="s">
        <v>62</v>
      </c>
      <c r="G48" s="3" t="s">
        <v>67</v>
      </c>
      <c r="H48" s="3" t="s">
        <v>68</v>
      </c>
      <c r="I48" s="5">
        <v>358.98</v>
      </c>
      <c r="J48" s="4">
        <v>1</v>
      </c>
      <c r="K48" s="1">
        <v>9</v>
      </c>
      <c r="L48" s="4">
        <v>71.81</v>
      </c>
      <c r="M48" s="3" t="s">
        <v>21</v>
      </c>
      <c r="N48" s="3" t="s">
        <v>22</v>
      </c>
    </row>
    <row r="49" spans="1:14" x14ac:dyDescent="0.3">
      <c r="A49" s="3" t="s">
        <v>127</v>
      </c>
      <c r="B49" s="2">
        <v>45609</v>
      </c>
      <c r="C49" s="3" t="s">
        <v>66</v>
      </c>
      <c r="D49" s="3" t="s">
        <v>16</v>
      </c>
      <c r="E49" s="3" t="s">
        <v>17</v>
      </c>
      <c r="F49" s="3" t="s">
        <v>32</v>
      </c>
      <c r="G49" s="3" t="s">
        <v>47</v>
      </c>
      <c r="H49" s="3" t="s">
        <v>48</v>
      </c>
      <c r="I49" s="5">
        <v>1902.93</v>
      </c>
      <c r="J49" s="4">
        <v>1</v>
      </c>
      <c r="K49" s="1">
        <v>15</v>
      </c>
      <c r="L49" s="4">
        <v>365.62</v>
      </c>
      <c r="M49" s="3" t="s">
        <v>21</v>
      </c>
      <c r="N49" s="3" t="s">
        <v>44</v>
      </c>
    </row>
    <row r="50" spans="1:14" x14ac:dyDescent="0.3">
      <c r="A50" s="3" t="s">
        <v>128</v>
      </c>
      <c r="B50" s="2">
        <v>45719</v>
      </c>
      <c r="C50" s="3" t="s">
        <v>86</v>
      </c>
      <c r="D50" s="3" t="s">
        <v>56</v>
      </c>
      <c r="E50" s="3" t="s">
        <v>61</v>
      </c>
      <c r="F50" s="3" t="s">
        <v>32</v>
      </c>
      <c r="G50" s="3" t="s">
        <v>33</v>
      </c>
      <c r="H50" s="3" t="s">
        <v>34</v>
      </c>
      <c r="I50" s="5">
        <v>5095.6499999999996</v>
      </c>
      <c r="J50" s="4">
        <v>7</v>
      </c>
      <c r="K50" s="1">
        <v>5</v>
      </c>
      <c r="L50" s="4">
        <v>808.51</v>
      </c>
      <c r="M50" s="3" t="s">
        <v>21</v>
      </c>
      <c r="N50" s="3" t="s">
        <v>35</v>
      </c>
    </row>
    <row r="51" spans="1:14" x14ac:dyDescent="0.3">
      <c r="A51" s="3" t="s">
        <v>129</v>
      </c>
      <c r="B51" s="2">
        <v>45520</v>
      </c>
      <c r="C51" s="3" t="s">
        <v>101</v>
      </c>
      <c r="D51" s="3" t="s">
        <v>56</v>
      </c>
      <c r="E51" s="3" t="s">
        <v>57</v>
      </c>
      <c r="F51" s="3" t="s">
        <v>62</v>
      </c>
      <c r="G51" s="3" t="s">
        <v>80</v>
      </c>
      <c r="H51" s="3" t="s">
        <v>81</v>
      </c>
      <c r="I51" s="5">
        <v>11397.75</v>
      </c>
      <c r="J51" s="4">
        <v>7</v>
      </c>
      <c r="K51" s="1">
        <v>1</v>
      </c>
      <c r="L51" s="4">
        <v>2719.65</v>
      </c>
      <c r="M51" s="3" t="s">
        <v>51</v>
      </c>
      <c r="N51" s="3" t="s">
        <v>35</v>
      </c>
    </row>
    <row r="52" spans="1:14" x14ac:dyDescent="0.3">
      <c r="A52" s="3" t="s">
        <v>130</v>
      </c>
      <c r="B52" s="2">
        <v>45539</v>
      </c>
      <c r="C52" s="3" t="s">
        <v>50</v>
      </c>
      <c r="D52" s="3" t="s">
        <v>38</v>
      </c>
      <c r="E52" s="3" t="s">
        <v>71</v>
      </c>
      <c r="F52" s="3" t="s">
        <v>18</v>
      </c>
      <c r="G52" s="3" t="s">
        <v>94</v>
      </c>
      <c r="H52" s="3" t="s">
        <v>95</v>
      </c>
      <c r="I52" s="5">
        <v>947.64</v>
      </c>
      <c r="J52" s="4">
        <v>6</v>
      </c>
      <c r="K52" s="1">
        <v>10</v>
      </c>
      <c r="L52" s="4">
        <v>185.53</v>
      </c>
      <c r="M52" s="3" t="s">
        <v>28</v>
      </c>
      <c r="N52" s="3" t="s">
        <v>22</v>
      </c>
    </row>
    <row r="53" spans="1:14" x14ac:dyDescent="0.3">
      <c r="A53" s="3" t="s">
        <v>131</v>
      </c>
      <c r="B53" s="2">
        <v>45708</v>
      </c>
      <c r="C53" s="3" t="s">
        <v>86</v>
      </c>
      <c r="D53" s="3" t="s">
        <v>56</v>
      </c>
      <c r="E53" s="3" t="s">
        <v>108</v>
      </c>
      <c r="F53" s="3" t="s">
        <v>18</v>
      </c>
      <c r="G53" s="3" t="s">
        <v>26</v>
      </c>
      <c r="H53" s="3" t="s">
        <v>27</v>
      </c>
      <c r="I53" s="5">
        <v>3094.56</v>
      </c>
      <c r="J53" s="4">
        <v>4</v>
      </c>
      <c r="K53" s="1">
        <v>21</v>
      </c>
      <c r="L53" s="4">
        <v>261.86</v>
      </c>
      <c r="M53" s="3" t="s">
        <v>28</v>
      </c>
      <c r="N53" s="3" t="s">
        <v>40</v>
      </c>
    </row>
    <row r="54" spans="1:14" x14ac:dyDescent="0.3">
      <c r="A54" s="3" t="s">
        <v>132</v>
      </c>
      <c r="B54" s="2">
        <v>45570</v>
      </c>
      <c r="C54" s="3" t="s">
        <v>133</v>
      </c>
      <c r="D54" s="3" t="s">
        <v>38</v>
      </c>
      <c r="E54" s="3" t="s">
        <v>53</v>
      </c>
      <c r="F54" s="3" t="s">
        <v>62</v>
      </c>
      <c r="G54" s="3" t="s">
        <v>80</v>
      </c>
      <c r="H54" s="3" t="s">
        <v>81</v>
      </c>
      <c r="I54" s="5">
        <v>9718.73</v>
      </c>
      <c r="J54" s="4">
        <v>7</v>
      </c>
      <c r="K54" s="1">
        <v>27</v>
      </c>
      <c r="L54" s="4">
        <v>356.81</v>
      </c>
      <c r="M54" s="3" t="s">
        <v>51</v>
      </c>
      <c r="N54" s="3" t="s">
        <v>44</v>
      </c>
    </row>
    <row r="55" spans="1:14" x14ac:dyDescent="0.3">
      <c r="A55" s="3" t="s">
        <v>134</v>
      </c>
      <c r="B55" s="2">
        <v>45653</v>
      </c>
      <c r="C55" s="3" t="s">
        <v>70</v>
      </c>
      <c r="D55" s="3" t="s">
        <v>89</v>
      </c>
      <c r="E55" s="3" t="s">
        <v>90</v>
      </c>
      <c r="F55" s="3" t="s">
        <v>32</v>
      </c>
      <c r="G55" s="3" t="s">
        <v>58</v>
      </c>
      <c r="H55" s="3" t="s">
        <v>59</v>
      </c>
      <c r="I55" s="5">
        <v>13397.79</v>
      </c>
      <c r="J55" s="4">
        <v>7</v>
      </c>
      <c r="K55" s="1">
        <v>19</v>
      </c>
      <c r="L55" s="4">
        <v>2309.5500000000002</v>
      </c>
      <c r="M55" s="3" t="s">
        <v>28</v>
      </c>
      <c r="N55" s="3" t="s">
        <v>44</v>
      </c>
    </row>
    <row r="56" spans="1:14" x14ac:dyDescent="0.3">
      <c r="A56" s="3" t="s">
        <v>135</v>
      </c>
      <c r="B56" s="2">
        <v>45710</v>
      </c>
      <c r="C56" s="3" t="s">
        <v>86</v>
      </c>
      <c r="D56" s="3" t="s">
        <v>16</v>
      </c>
      <c r="E56" s="3" t="s">
        <v>25</v>
      </c>
      <c r="F56" s="3" t="s">
        <v>62</v>
      </c>
      <c r="G56" s="3" t="s">
        <v>67</v>
      </c>
      <c r="H56" s="3" t="s">
        <v>68</v>
      </c>
      <c r="I56" s="5">
        <v>3592.82</v>
      </c>
      <c r="J56" s="4">
        <v>2</v>
      </c>
      <c r="K56" s="1">
        <v>1</v>
      </c>
      <c r="L56" s="4">
        <v>841.7</v>
      </c>
      <c r="M56" s="3" t="s">
        <v>51</v>
      </c>
      <c r="N56" s="3" t="s">
        <v>35</v>
      </c>
    </row>
    <row r="57" spans="1:14" x14ac:dyDescent="0.3">
      <c r="A57" s="3" t="s">
        <v>136</v>
      </c>
      <c r="B57" s="2">
        <v>45543</v>
      </c>
      <c r="C57" s="3" t="s">
        <v>30</v>
      </c>
      <c r="D57" s="3" t="s">
        <v>89</v>
      </c>
      <c r="E57" s="3" t="s">
        <v>90</v>
      </c>
      <c r="F57" s="3" t="s">
        <v>62</v>
      </c>
      <c r="G57" s="3" t="s">
        <v>80</v>
      </c>
      <c r="H57" s="3" t="s">
        <v>81</v>
      </c>
      <c r="I57" s="5">
        <v>1613.09</v>
      </c>
      <c r="J57" s="4">
        <v>1</v>
      </c>
      <c r="K57" s="1">
        <v>27</v>
      </c>
      <c r="L57" s="4">
        <v>205.51</v>
      </c>
      <c r="M57" s="3" t="s">
        <v>21</v>
      </c>
      <c r="N57" s="3" t="s">
        <v>40</v>
      </c>
    </row>
    <row r="58" spans="1:14" x14ac:dyDescent="0.3">
      <c r="A58" s="3" t="s">
        <v>137</v>
      </c>
      <c r="B58" s="2">
        <v>45517</v>
      </c>
      <c r="C58" s="3" t="s">
        <v>133</v>
      </c>
      <c r="D58" s="3" t="s">
        <v>38</v>
      </c>
      <c r="E58" s="3" t="s">
        <v>53</v>
      </c>
      <c r="F58" s="3" t="s">
        <v>18</v>
      </c>
      <c r="G58" s="3" t="s">
        <v>26</v>
      </c>
      <c r="H58" s="3" t="s">
        <v>27</v>
      </c>
      <c r="I58" s="5">
        <v>10848.16</v>
      </c>
      <c r="J58" s="4">
        <v>8</v>
      </c>
      <c r="K58" s="1">
        <v>26</v>
      </c>
      <c r="L58" s="4">
        <v>1581.16</v>
      </c>
      <c r="M58" s="3" t="s">
        <v>21</v>
      </c>
      <c r="N58" s="3" t="s">
        <v>35</v>
      </c>
    </row>
    <row r="59" spans="1:14" x14ac:dyDescent="0.3">
      <c r="A59" s="3" t="s">
        <v>138</v>
      </c>
      <c r="B59" s="2">
        <v>45621</v>
      </c>
      <c r="C59" s="3" t="s">
        <v>15</v>
      </c>
      <c r="D59" s="3" t="s">
        <v>56</v>
      </c>
      <c r="E59" s="3" t="s">
        <v>61</v>
      </c>
      <c r="F59" s="3" t="s">
        <v>32</v>
      </c>
      <c r="G59" s="3" t="s">
        <v>47</v>
      </c>
      <c r="H59" s="3" t="s">
        <v>48</v>
      </c>
      <c r="I59" s="5">
        <v>11803.92</v>
      </c>
      <c r="J59" s="4">
        <v>6</v>
      </c>
      <c r="K59" s="1">
        <v>10</v>
      </c>
      <c r="L59" s="4">
        <v>856.03</v>
      </c>
      <c r="M59" s="3" t="s">
        <v>51</v>
      </c>
      <c r="N59" s="3" t="s">
        <v>35</v>
      </c>
    </row>
    <row r="60" spans="1:14" x14ac:dyDescent="0.3">
      <c r="A60" s="3" t="s">
        <v>139</v>
      </c>
      <c r="B60" s="2">
        <v>45544</v>
      </c>
      <c r="C60" s="3" t="s">
        <v>70</v>
      </c>
      <c r="D60" s="3" t="s">
        <v>89</v>
      </c>
      <c r="E60" s="3" t="s">
        <v>140</v>
      </c>
      <c r="F60" s="3" t="s">
        <v>62</v>
      </c>
      <c r="G60" s="3" t="s">
        <v>103</v>
      </c>
      <c r="H60" s="3" t="s">
        <v>104</v>
      </c>
      <c r="I60" s="5">
        <v>4463.4799999999996</v>
      </c>
      <c r="J60" s="4">
        <v>7</v>
      </c>
      <c r="K60" s="1">
        <v>2</v>
      </c>
      <c r="L60" s="4">
        <v>591.73</v>
      </c>
      <c r="M60" s="3" t="s">
        <v>28</v>
      </c>
      <c r="N60" s="3" t="s">
        <v>22</v>
      </c>
    </row>
    <row r="61" spans="1:14" x14ac:dyDescent="0.3">
      <c r="A61" s="3" t="s">
        <v>141</v>
      </c>
      <c r="B61" s="2">
        <v>45517</v>
      </c>
      <c r="C61" s="3" t="s">
        <v>101</v>
      </c>
      <c r="D61" s="3" t="s">
        <v>16</v>
      </c>
      <c r="E61" s="3" t="s">
        <v>17</v>
      </c>
      <c r="F61" s="3" t="s">
        <v>32</v>
      </c>
      <c r="G61" s="3" t="s">
        <v>58</v>
      </c>
      <c r="H61" s="3" t="s">
        <v>59</v>
      </c>
      <c r="I61" s="5">
        <v>649.30999999999995</v>
      </c>
      <c r="J61" s="4">
        <v>1</v>
      </c>
      <c r="K61" s="1">
        <v>19</v>
      </c>
      <c r="L61" s="4">
        <v>53.76</v>
      </c>
      <c r="M61" s="3" t="s">
        <v>28</v>
      </c>
      <c r="N61" s="3" t="s">
        <v>22</v>
      </c>
    </row>
    <row r="62" spans="1:14" x14ac:dyDescent="0.3">
      <c r="A62" s="3" t="s">
        <v>142</v>
      </c>
      <c r="B62" s="2">
        <v>45784</v>
      </c>
      <c r="C62" s="3" t="s">
        <v>70</v>
      </c>
      <c r="D62" s="3" t="s">
        <v>16</v>
      </c>
      <c r="E62" s="3" t="s">
        <v>17</v>
      </c>
      <c r="F62" s="3" t="s">
        <v>62</v>
      </c>
      <c r="G62" s="3" t="s">
        <v>103</v>
      </c>
      <c r="H62" s="3" t="s">
        <v>104</v>
      </c>
      <c r="I62" s="5">
        <v>1693.85</v>
      </c>
      <c r="J62" s="4">
        <v>1</v>
      </c>
      <c r="K62" s="1">
        <v>16</v>
      </c>
      <c r="L62" s="4">
        <v>182.97</v>
      </c>
      <c r="M62" s="3" t="s">
        <v>51</v>
      </c>
      <c r="N62" s="3" t="s">
        <v>22</v>
      </c>
    </row>
    <row r="63" spans="1:14" x14ac:dyDescent="0.3">
      <c r="A63" s="3" t="s">
        <v>143</v>
      </c>
      <c r="B63" s="2">
        <v>45700</v>
      </c>
      <c r="C63" s="3" t="s">
        <v>66</v>
      </c>
      <c r="D63" s="3" t="s">
        <v>56</v>
      </c>
      <c r="E63" s="3" t="s">
        <v>108</v>
      </c>
      <c r="F63" s="3" t="s">
        <v>62</v>
      </c>
      <c r="G63" s="3" t="s">
        <v>80</v>
      </c>
      <c r="H63" s="3" t="s">
        <v>81</v>
      </c>
      <c r="I63" s="5">
        <v>1530.08</v>
      </c>
      <c r="J63" s="4">
        <v>2</v>
      </c>
      <c r="K63" s="1">
        <v>22</v>
      </c>
      <c r="L63" s="4">
        <v>216.71</v>
      </c>
      <c r="M63" s="3" t="s">
        <v>51</v>
      </c>
      <c r="N63" s="3" t="s">
        <v>40</v>
      </c>
    </row>
    <row r="64" spans="1:14" x14ac:dyDescent="0.3">
      <c r="A64" s="3" t="s">
        <v>144</v>
      </c>
      <c r="B64" s="2">
        <v>45788</v>
      </c>
      <c r="C64" s="3" t="s">
        <v>37</v>
      </c>
      <c r="D64" s="3" t="s">
        <v>16</v>
      </c>
      <c r="E64" s="3" t="s">
        <v>25</v>
      </c>
      <c r="F64" s="3" t="s">
        <v>62</v>
      </c>
      <c r="G64" s="3" t="s">
        <v>63</v>
      </c>
      <c r="H64" s="3" t="s">
        <v>64</v>
      </c>
      <c r="I64" s="5">
        <v>12486.95</v>
      </c>
      <c r="J64" s="4">
        <v>7</v>
      </c>
      <c r="K64" s="1">
        <v>5</v>
      </c>
      <c r="L64" s="4">
        <v>2799.04</v>
      </c>
      <c r="M64" s="3" t="s">
        <v>51</v>
      </c>
      <c r="N64" s="3" t="s">
        <v>35</v>
      </c>
    </row>
    <row r="65" spans="1:14" x14ac:dyDescent="0.3">
      <c r="A65" s="3" t="s">
        <v>145</v>
      </c>
      <c r="B65" s="2">
        <v>45531</v>
      </c>
      <c r="C65" s="3" t="s">
        <v>15</v>
      </c>
      <c r="D65" s="3" t="s">
        <v>16</v>
      </c>
      <c r="E65" s="3" t="s">
        <v>31</v>
      </c>
      <c r="F65" s="3" t="s">
        <v>62</v>
      </c>
      <c r="G65" s="3" t="s">
        <v>67</v>
      </c>
      <c r="H65" s="3" t="s">
        <v>68</v>
      </c>
      <c r="I65" s="5">
        <v>4574.22</v>
      </c>
      <c r="J65" s="4">
        <v>7</v>
      </c>
      <c r="K65" s="1">
        <v>23</v>
      </c>
      <c r="L65" s="4">
        <v>727.68</v>
      </c>
      <c r="M65" s="3" t="s">
        <v>51</v>
      </c>
      <c r="N65" s="3" t="s">
        <v>35</v>
      </c>
    </row>
    <row r="66" spans="1:14" x14ac:dyDescent="0.3">
      <c r="A66" s="3" t="s">
        <v>146</v>
      </c>
      <c r="B66" s="2">
        <v>45783</v>
      </c>
      <c r="C66" s="3" t="s">
        <v>101</v>
      </c>
      <c r="D66" s="3" t="s">
        <v>56</v>
      </c>
      <c r="E66" s="3" t="s">
        <v>57</v>
      </c>
      <c r="F66" s="3" t="s">
        <v>18</v>
      </c>
      <c r="G66" s="3" t="s">
        <v>94</v>
      </c>
      <c r="H66" s="3" t="s">
        <v>95</v>
      </c>
      <c r="I66" s="5">
        <v>7773.93</v>
      </c>
      <c r="J66" s="4">
        <v>9</v>
      </c>
      <c r="K66" s="1">
        <v>28</v>
      </c>
      <c r="L66" s="4">
        <v>1104.03</v>
      </c>
      <c r="M66" s="3" t="s">
        <v>21</v>
      </c>
      <c r="N66" s="3" t="s">
        <v>40</v>
      </c>
    </row>
    <row r="67" spans="1:14" x14ac:dyDescent="0.3">
      <c r="A67" s="3" t="s">
        <v>147</v>
      </c>
      <c r="B67" s="2">
        <v>45611</v>
      </c>
      <c r="C67" s="3" t="s">
        <v>15</v>
      </c>
      <c r="D67" s="3" t="s">
        <v>56</v>
      </c>
      <c r="E67" s="3" t="s">
        <v>57</v>
      </c>
      <c r="F67" s="3" t="s">
        <v>32</v>
      </c>
      <c r="G67" s="3" t="s">
        <v>33</v>
      </c>
      <c r="H67" s="3" t="s">
        <v>34</v>
      </c>
      <c r="I67" s="5">
        <v>9476.4</v>
      </c>
      <c r="J67" s="4">
        <v>8</v>
      </c>
      <c r="K67" s="1">
        <v>4</v>
      </c>
      <c r="L67" s="4">
        <v>703.64</v>
      </c>
      <c r="M67" s="3" t="s">
        <v>28</v>
      </c>
      <c r="N67" s="3" t="s">
        <v>22</v>
      </c>
    </row>
    <row r="68" spans="1:14" x14ac:dyDescent="0.3">
      <c r="A68" s="3" t="s">
        <v>148</v>
      </c>
      <c r="B68" s="2">
        <v>45541</v>
      </c>
      <c r="C68" s="3" t="s">
        <v>99</v>
      </c>
      <c r="D68" s="3" t="s">
        <v>38</v>
      </c>
      <c r="E68" s="3" t="s">
        <v>39</v>
      </c>
      <c r="F68" s="3" t="s">
        <v>62</v>
      </c>
      <c r="G68" s="3" t="s">
        <v>103</v>
      </c>
      <c r="H68" s="3" t="s">
        <v>104</v>
      </c>
      <c r="I68" s="5">
        <v>3774.96</v>
      </c>
      <c r="J68" s="4">
        <v>9</v>
      </c>
      <c r="K68" s="1">
        <v>17</v>
      </c>
      <c r="L68" s="4">
        <v>163.01</v>
      </c>
      <c r="M68" s="3" t="s">
        <v>28</v>
      </c>
      <c r="N68" s="3" t="s">
        <v>40</v>
      </c>
    </row>
    <row r="69" spans="1:14" x14ac:dyDescent="0.3">
      <c r="A69" s="3" t="s">
        <v>149</v>
      </c>
      <c r="B69" s="2">
        <v>45583</v>
      </c>
      <c r="C69" s="3" t="s">
        <v>99</v>
      </c>
      <c r="D69" s="3" t="s">
        <v>16</v>
      </c>
      <c r="E69" s="3" t="s">
        <v>17</v>
      </c>
      <c r="F69" s="3" t="s">
        <v>62</v>
      </c>
      <c r="G69" s="3" t="s">
        <v>80</v>
      </c>
      <c r="H69" s="3" t="s">
        <v>81</v>
      </c>
      <c r="I69" s="5">
        <v>11246.04</v>
      </c>
      <c r="J69" s="4">
        <v>6</v>
      </c>
      <c r="K69" s="1">
        <v>6</v>
      </c>
      <c r="L69" s="4">
        <v>2435.79</v>
      </c>
      <c r="M69" s="3" t="s">
        <v>21</v>
      </c>
      <c r="N69" s="3" t="s">
        <v>40</v>
      </c>
    </row>
    <row r="70" spans="1:14" x14ac:dyDescent="0.3">
      <c r="A70" s="3" t="s">
        <v>150</v>
      </c>
      <c r="B70" s="2">
        <v>45730</v>
      </c>
      <c r="C70" s="3" t="s">
        <v>15</v>
      </c>
      <c r="D70" s="3" t="s">
        <v>16</v>
      </c>
      <c r="E70" s="3" t="s">
        <v>31</v>
      </c>
      <c r="F70" s="3" t="s">
        <v>32</v>
      </c>
      <c r="G70" s="3" t="s">
        <v>58</v>
      </c>
      <c r="H70" s="3" t="s">
        <v>59</v>
      </c>
      <c r="I70" s="5">
        <v>3300.72</v>
      </c>
      <c r="J70" s="4">
        <v>2</v>
      </c>
      <c r="K70" s="1">
        <v>25</v>
      </c>
      <c r="L70" s="4">
        <v>578.44000000000005</v>
      </c>
      <c r="M70" s="3" t="s">
        <v>21</v>
      </c>
      <c r="N70" s="3" t="s">
        <v>35</v>
      </c>
    </row>
    <row r="71" spans="1:14" x14ac:dyDescent="0.3">
      <c r="A71" s="3" t="s">
        <v>151</v>
      </c>
      <c r="B71" s="2">
        <v>45603</v>
      </c>
      <c r="C71" s="3" t="s">
        <v>70</v>
      </c>
      <c r="D71" s="3" t="s">
        <v>16</v>
      </c>
      <c r="E71" s="3" t="s">
        <v>25</v>
      </c>
      <c r="F71" s="3" t="s">
        <v>62</v>
      </c>
      <c r="G71" s="3" t="s">
        <v>67</v>
      </c>
      <c r="H71" s="3" t="s">
        <v>68</v>
      </c>
      <c r="I71" s="5">
        <v>8488.2000000000007</v>
      </c>
      <c r="J71" s="4">
        <v>6</v>
      </c>
      <c r="K71" s="1">
        <v>24</v>
      </c>
      <c r="L71" s="4">
        <v>873.92</v>
      </c>
      <c r="M71" s="3" t="s">
        <v>51</v>
      </c>
      <c r="N71" s="3" t="s">
        <v>40</v>
      </c>
    </row>
    <row r="72" spans="1:14" x14ac:dyDescent="0.3">
      <c r="A72" s="3" t="s">
        <v>152</v>
      </c>
      <c r="B72" s="2">
        <v>45518</v>
      </c>
      <c r="C72" s="3" t="s">
        <v>73</v>
      </c>
      <c r="D72" s="3" t="s">
        <v>56</v>
      </c>
      <c r="E72" s="3" t="s">
        <v>61</v>
      </c>
      <c r="F72" s="3" t="s">
        <v>18</v>
      </c>
      <c r="G72" s="3" t="s">
        <v>76</v>
      </c>
      <c r="H72" s="3" t="s">
        <v>77</v>
      </c>
      <c r="I72" s="5">
        <v>2992.53</v>
      </c>
      <c r="J72" s="4">
        <v>3</v>
      </c>
      <c r="K72" s="1">
        <v>16</v>
      </c>
      <c r="L72" s="4">
        <v>335.06</v>
      </c>
      <c r="M72" s="3" t="s">
        <v>21</v>
      </c>
      <c r="N72" s="3" t="s">
        <v>35</v>
      </c>
    </row>
    <row r="73" spans="1:14" x14ac:dyDescent="0.3">
      <c r="A73" s="3" t="s">
        <v>153</v>
      </c>
      <c r="B73" s="2">
        <v>45720</v>
      </c>
      <c r="C73" s="3" t="s">
        <v>66</v>
      </c>
      <c r="D73" s="3" t="s">
        <v>38</v>
      </c>
      <c r="E73" s="3" t="s">
        <v>71</v>
      </c>
      <c r="F73" s="3" t="s">
        <v>18</v>
      </c>
      <c r="G73" s="3" t="s">
        <v>26</v>
      </c>
      <c r="H73" s="3" t="s">
        <v>27</v>
      </c>
      <c r="I73" s="5">
        <v>1637.42</v>
      </c>
      <c r="J73" s="4">
        <v>2</v>
      </c>
      <c r="K73" s="1">
        <v>1</v>
      </c>
      <c r="L73" s="4">
        <v>248.33</v>
      </c>
      <c r="M73" s="3" t="s">
        <v>21</v>
      </c>
      <c r="N73" s="3" t="s">
        <v>35</v>
      </c>
    </row>
    <row r="74" spans="1:14" x14ac:dyDescent="0.3">
      <c r="A74" s="3" t="s">
        <v>154</v>
      </c>
      <c r="B74" s="2">
        <v>45768</v>
      </c>
      <c r="C74" s="3" t="s">
        <v>86</v>
      </c>
      <c r="D74" s="3" t="s">
        <v>56</v>
      </c>
      <c r="E74" s="3" t="s">
        <v>61</v>
      </c>
      <c r="F74" s="3" t="s">
        <v>32</v>
      </c>
      <c r="G74" s="3" t="s">
        <v>112</v>
      </c>
      <c r="H74" s="3" t="s">
        <v>113</v>
      </c>
      <c r="I74" s="5">
        <v>11379.96</v>
      </c>
      <c r="J74" s="4">
        <v>6</v>
      </c>
      <c r="K74" s="1">
        <v>13</v>
      </c>
      <c r="L74" s="4">
        <v>636.80999999999995</v>
      </c>
      <c r="M74" s="3" t="s">
        <v>28</v>
      </c>
      <c r="N74" s="3" t="s">
        <v>35</v>
      </c>
    </row>
    <row r="75" spans="1:14" x14ac:dyDescent="0.3">
      <c r="A75" s="3" t="s">
        <v>155</v>
      </c>
      <c r="B75" s="2">
        <v>45465</v>
      </c>
      <c r="C75" s="3" t="s">
        <v>30</v>
      </c>
      <c r="D75" s="3" t="s">
        <v>56</v>
      </c>
      <c r="E75" s="3" t="s">
        <v>57</v>
      </c>
      <c r="F75" s="3" t="s">
        <v>18</v>
      </c>
      <c r="G75" s="3" t="s">
        <v>19</v>
      </c>
      <c r="H75" s="3" t="s">
        <v>20</v>
      </c>
      <c r="I75" s="5">
        <v>7066.55</v>
      </c>
      <c r="J75" s="4">
        <v>5</v>
      </c>
      <c r="K75" s="1">
        <v>13</v>
      </c>
      <c r="L75" s="4">
        <v>1479.7</v>
      </c>
      <c r="M75" s="3" t="s">
        <v>28</v>
      </c>
      <c r="N75" s="3" t="s">
        <v>44</v>
      </c>
    </row>
    <row r="76" spans="1:14" x14ac:dyDescent="0.3">
      <c r="A76" s="3" t="s">
        <v>156</v>
      </c>
      <c r="B76" s="2">
        <v>45781</v>
      </c>
      <c r="C76" s="3" t="s">
        <v>37</v>
      </c>
      <c r="D76" s="3" t="s">
        <v>89</v>
      </c>
      <c r="E76" s="3" t="s">
        <v>102</v>
      </c>
      <c r="F76" s="3" t="s">
        <v>18</v>
      </c>
      <c r="G76" s="3" t="s">
        <v>26</v>
      </c>
      <c r="H76" s="3" t="s">
        <v>27</v>
      </c>
      <c r="I76" s="5">
        <v>1577.94</v>
      </c>
      <c r="J76" s="4">
        <v>2</v>
      </c>
      <c r="K76" s="1">
        <v>26</v>
      </c>
      <c r="L76" s="4">
        <v>229.33</v>
      </c>
      <c r="M76" s="3" t="s">
        <v>21</v>
      </c>
      <c r="N76" s="3" t="s">
        <v>35</v>
      </c>
    </row>
    <row r="77" spans="1:14" x14ac:dyDescent="0.3">
      <c r="A77" s="3" t="s">
        <v>157</v>
      </c>
      <c r="B77" s="2">
        <v>45577</v>
      </c>
      <c r="C77" s="3" t="s">
        <v>24</v>
      </c>
      <c r="D77" s="3" t="s">
        <v>56</v>
      </c>
      <c r="E77" s="3" t="s">
        <v>57</v>
      </c>
      <c r="F77" s="3" t="s">
        <v>62</v>
      </c>
      <c r="G77" s="3" t="s">
        <v>63</v>
      </c>
      <c r="H77" s="3" t="s">
        <v>64</v>
      </c>
      <c r="I77" s="5">
        <v>763.96</v>
      </c>
      <c r="J77" s="4">
        <v>1</v>
      </c>
      <c r="K77" s="1">
        <v>10</v>
      </c>
      <c r="L77" s="4">
        <v>39.58</v>
      </c>
      <c r="M77" s="3" t="s">
        <v>28</v>
      </c>
      <c r="N77" s="3" t="s">
        <v>35</v>
      </c>
    </row>
    <row r="78" spans="1:14" x14ac:dyDescent="0.3">
      <c r="A78" s="3" t="s">
        <v>158</v>
      </c>
      <c r="B78" s="2">
        <v>45735</v>
      </c>
      <c r="C78" s="3" t="s">
        <v>42</v>
      </c>
      <c r="D78" s="3" t="s">
        <v>89</v>
      </c>
      <c r="E78" s="3" t="s">
        <v>97</v>
      </c>
      <c r="F78" s="3" t="s">
        <v>18</v>
      </c>
      <c r="G78" s="3" t="s">
        <v>19</v>
      </c>
      <c r="H78" s="3" t="s">
        <v>20</v>
      </c>
      <c r="I78" s="5">
        <v>13950.09</v>
      </c>
      <c r="J78" s="4">
        <v>9</v>
      </c>
      <c r="K78" s="1">
        <v>24</v>
      </c>
      <c r="L78" s="4">
        <v>1635.16</v>
      </c>
      <c r="M78" s="3" t="s">
        <v>21</v>
      </c>
      <c r="N78" s="3" t="s">
        <v>35</v>
      </c>
    </row>
    <row r="79" spans="1:14" x14ac:dyDescent="0.3">
      <c r="A79" s="3" t="s">
        <v>159</v>
      </c>
      <c r="B79" s="2">
        <v>45664</v>
      </c>
      <c r="C79" s="3" t="s">
        <v>99</v>
      </c>
      <c r="D79" s="3" t="s">
        <v>38</v>
      </c>
      <c r="E79" s="3" t="s">
        <v>71</v>
      </c>
      <c r="F79" s="3" t="s">
        <v>32</v>
      </c>
      <c r="G79" s="3" t="s">
        <v>58</v>
      </c>
      <c r="H79" s="3" t="s">
        <v>59</v>
      </c>
      <c r="I79" s="5">
        <v>8912.76</v>
      </c>
      <c r="J79" s="4">
        <v>6</v>
      </c>
      <c r="K79" s="1">
        <v>26</v>
      </c>
      <c r="L79" s="4">
        <v>1590.24</v>
      </c>
      <c r="M79" s="3" t="s">
        <v>21</v>
      </c>
      <c r="N79" s="3" t="s">
        <v>35</v>
      </c>
    </row>
    <row r="80" spans="1:14" x14ac:dyDescent="0.3">
      <c r="A80" s="3" t="s">
        <v>160</v>
      </c>
      <c r="B80" s="2">
        <v>45774</v>
      </c>
      <c r="C80" s="3" t="s">
        <v>133</v>
      </c>
      <c r="D80" s="3" t="s">
        <v>89</v>
      </c>
      <c r="E80" s="3" t="s">
        <v>102</v>
      </c>
      <c r="F80" s="3" t="s">
        <v>32</v>
      </c>
      <c r="G80" s="3" t="s">
        <v>47</v>
      </c>
      <c r="H80" s="3" t="s">
        <v>48</v>
      </c>
      <c r="I80" s="5">
        <v>9077.0400000000009</v>
      </c>
      <c r="J80" s="4">
        <v>8</v>
      </c>
      <c r="K80" s="1">
        <v>23</v>
      </c>
      <c r="L80" s="4">
        <v>1162.69</v>
      </c>
      <c r="M80" s="3" t="s">
        <v>28</v>
      </c>
      <c r="N80" s="3" t="s">
        <v>35</v>
      </c>
    </row>
    <row r="81" spans="1:14" x14ac:dyDescent="0.3">
      <c r="A81" s="3" t="s">
        <v>161</v>
      </c>
      <c r="B81" s="2">
        <v>45623</v>
      </c>
      <c r="C81" s="3" t="s">
        <v>101</v>
      </c>
      <c r="D81" s="3" t="s">
        <v>56</v>
      </c>
      <c r="E81" s="3" t="s">
        <v>108</v>
      </c>
      <c r="F81" s="3" t="s">
        <v>18</v>
      </c>
      <c r="G81" s="3" t="s">
        <v>76</v>
      </c>
      <c r="H81" s="3" t="s">
        <v>77</v>
      </c>
      <c r="I81" s="5">
        <v>8681.76</v>
      </c>
      <c r="J81" s="4">
        <v>6</v>
      </c>
      <c r="K81" s="1">
        <v>0</v>
      </c>
      <c r="L81" s="4">
        <v>914.67</v>
      </c>
      <c r="M81" s="3" t="s">
        <v>51</v>
      </c>
      <c r="N81" s="3" t="s">
        <v>22</v>
      </c>
    </row>
    <row r="82" spans="1:14" x14ac:dyDescent="0.3">
      <c r="A82" s="3" t="s">
        <v>162</v>
      </c>
      <c r="B82" s="2">
        <v>45474</v>
      </c>
      <c r="C82" s="3" t="s">
        <v>37</v>
      </c>
      <c r="D82" s="3" t="s">
        <v>38</v>
      </c>
      <c r="E82" s="3" t="s">
        <v>53</v>
      </c>
      <c r="F82" s="3" t="s">
        <v>32</v>
      </c>
      <c r="G82" s="3" t="s">
        <v>33</v>
      </c>
      <c r="H82" s="3" t="s">
        <v>34</v>
      </c>
      <c r="I82" s="5">
        <v>15324.96</v>
      </c>
      <c r="J82" s="4">
        <v>8</v>
      </c>
      <c r="K82" s="1">
        <v>27</v>
      </c>
      <c r="L82" s="4">
        <v>630.78</v>
      </c>
      <c r="M82" s="3" t="s">
        <v>28</v>
      </c>
      <c r="N82" s="3" t="s">
        <v>44</v>
      </c>
    </row>
    <row r="83" spans="1:14" x14ac:dyDescent="0.3">
      <c r="A83" s="3" t="s">
        <v>163</v>
      </c>
      <c r="B83" s="2">
        <v>45540</v>
      </c>
      <c r="C83" s="3" t="s">
        <v>84</v>
      </c>
      <c r="D83" s="3" t="s">
        <v>56</v>
      </c>
      <c r="E83" s="3" t="s">
        <v>61</v>
      </c>
      <c r="F83" s="3" t="s">
        <v>18</v>
      </c>
      <c r="G83" s="3" t="s">
        <v>94</v>
      </c>
      <c r="H83" s="3" t="s">
        <v>95</v>
      </c>
      <c r="I83" s="5">
        <v>4456.62</v>
      </c>
      <c r="J83" s="4">
        <v>9</v>
      </c>
      <c r="K83" s="1">
        <v>11</v>
      </c>
      <c r="L83" s="4">
        <v>803.43</v>
      </c>
      <c r="M83" s="3" t="s">
        <v>51</v>
      </c>
      <c r="N83" s="3" t="s">
        <v>40</v>
      </c>
    </row>
    <row r="84" spans="1:14" x14ac:dyDescent="0.3">
      <c r="A84" s="3" t="s">
        <v>164</v>
      </c>
      <c r="B84" s="2">
        <v>45629</v>
      </c>
      <c r="C84" s="3" t="s">
        <v>30</v>
      </c>
      <c r="D84" s="3" t="s">
        <v>89</v>
      </c>
      <c r="E84" s="3" t="s">
        <v>116</v>
      </c>
      <c r="F84" s="3" t="s">
        <v>18</v>
      </c>
      <c r="G84" s="3" t="s">
        <v>26</v>
      </c>
      <c r="H84" s="3" t="s">
        <v>27</v>
      </c>
      <c r="I84" s="5">
        <v>13463.12</v>
      </c>
      <c r="J84" s="4">
        <v>8</v>
      </c>
      <c r="K84" s="1">
        <v>29</v>
      </c>
      <c r="L84" s="4">
        <v>1135.76</v>
      </c>
      <c r="M84" s="3" t="s">
        <v>21</v>
      </c>
      <c r="N84" s="3" t="s">
        <v>35</v>
      </c>
    </row>
    <row r="85" spans="1:14" x14ac:dyDescent="0.3">
      <c r="A85" s="3" t="s">
        <v>165</v>
      </c>
      <c r="B85" s="2">
        <v>45660</v>
      </c>
      <c r="C85" s="3" t="s">
        <v>37</v>
      </c>
      <c r="D85" s="3" t="s">
        <v>38</v>
      </c>
      <c r="E85" s="3" t="s">
        <v>53</v>
      </c>
      <c r="F85" s="3" t="s">
        <v>62</v>
      </c>
      <c r="G85" s="3" t="s">
        <v>80</v>
      </c>
      <c r="H85" s="3" t="s">
        <v>81</v>
      </c>
      <c r="I85" s="5">
        <v>12675.39</v>
      </c>
      <c r="J85" s="4">
        <v>7</v>
      </c>
      <c r="K85" s="1">
        <v>10</v>
      </c>
      <c r="L85" s="4">
        <v>768.8</v>
      </c>
      <c r="M85" s="3" t="s">
        <v>51</v>
      </c>
      <c r="N85" s="3" t="s">
        <v>40</v>
      </c>
    </row>
    <row r="86" spans="1:14" x14ac:dyDescent="0.3">
      <c r="A86" s="3" t="s">
        <v>166</v>
      </c>
      <c r="B86" s="2">
        <v>45479</v>
      </c>
      <c r="C86" s="3" t="s">
        <v>70</v>
      </c>
      <c r="D86" s="3" t="s">
        <v>16</v>
      </c>
      <c r="E86" s="3" t="s">
        <v>17</v>
      </c>
      <c r="F86" s="3" t="s">
        <v>18</v>
      </c>
      <c r="G86" s="3" t="s">
        <v>19</v>
      </c>
      <c r="H86" s="3" t="s">
        <v>20</v>
      </c>
      <c r="I86" s="5">
        <v>12314.64</v>
      </c>
      <c r="J86" s="4">
        <v>8</v>
      </c>
      <c r="K86" s="1">
        <v>21</v>
      </c>
      <c r="L86" s="4">
        <v>1574.18</v>
      </c>
      <c r="M86" s="3" t="s">
        <v>21</v>
      </c>
      <c r="N86" s="3" t="s">
        <v>22</v>
      </c>
    </row>
    <row r="87" spans="1:14" x14ac:dyDescent="0.3">
      <c r="A87" s="3" t="s">
        <v>167</v>
      </c>
      <c r="B87" s="2">
        <v>45667</v>
      </c>
      <c r="C87" s="3" t="s">
        <v>99</v>
      </c>
      <c r="D87" s="3" t="s">
        <v>89</v>
      </c>
      <c r="E87" s="3" t="s">
        <v>102</v>
      </c>
      <c r="F87" s="3" t="s">
        <v>32</v>
      </c>
      <c r="G87" s="3" t="s">
        <v>47</v>
      </c>
      <c r="H87" s="3" t="s">
        <v>48</v>
      </c>
      <c r="I87" s="5">
        <v>13555.1</v>
      </c>
      <c r="J87" s="4">
        <v>10</v>
      </c>
      <c r="K87" s="1">
        <v>26</v>
      </c>
      <c r="L87" s="4">
        <v>788.7</v>
      </c>
      <c r="M87" s="3" t="s">
        <v>21</v>
      </c>
      <c r="N87" s="3" t="s">
        <v>44</v>
      </c>
    </row>
    <row r="88" spans="1:14" x14ac:dyDescent="0.3">
      <c r="A88" s="3" t="s">
        <v>168</v>
      </c>
      <c r="B88" s="2">
        <v>45510</v>
      </c>
      <c r="C88" s="3" t="s">
        <v>30</v>
      </c>
      <c r="D88" s="3" t="s">
        <v>89</v>
      </c>
      <c r="E88" s="3" t="s">
        <v>116</v>
      </c>
      <c r="F88" s="3" t="s">
        <v>18</v>
      </c>
      <c r="G88" s="3" t="s">
        <v>76</v>
      </c>
      <c r="H88" s="3" t="s">
        <v>77</v>
      </c>
      <c r="I88" s="5">
        <v>3461.64</v>
      </c>
      <c r="J88" s="4">
        <v>6</v>
      </c>
      <c r="K88" s="1">
        <v>10</v>
      </c>
      <c r="L88" s="4">
        <v>530.79999999999995</v>
      </c>
      <c r="M88" s="3" t="s">
        <v>51</v>
      </c>
      <c r="N88" s="3" t="s">
        <v>22</v>
      </c>
    </row>
    <row r="89" spans="1:14" x14ac:dyDescent="0.3">
      <c r="A89" s="3" t="s">
        <v>169</v>
      </c>
      <c r="B89" s="2">
        <v>45491</v>
      </c>
      <c r="C89" s="3" t="s">
        <v>84</v>
      </c>
      <c r="D89" s="3" t="s">
        <v>89</v>
      </c>
      <c r="E89" s="3" t="s">
        <v>140</v>
      </c>
      <c r="F89" s="3" t="s">
        <v>62</v>
      </c>
      <c r="G89" s="3" t="s">
        <v>63</v>
      </c>
      <c r="H89" s="3" t="s">
        <v>64</v>
      </c>
      <c r="I89" s="5">
        <v>8002.98</v>
      </c>
      <c r="J89" s="4">
        <v>9</v>
      </c>
      <c r="K89" s="1">
        <v>21</v>
      </c>
      <c r="L89" s="4">
        <v>800.58</v>
      </c>
      <c r="M89" s="3" t="s">
        <v>28</v>
      </c>
      <c r="N89" s="3" t="s">
        <v>35</v>
      </c>
    </row>
    <row r="90" spans="1:14" x14ac:dyDescent="0.3">
      <c r="A90" s="3" t="s">
        <v>170</v>
      </c>
      <c r="B90" s="2">
        <v>45560</v>
      </c>
      <c r="C90" s="3" t="s">
        <v>86</v>
      </c>
      <c r="D90" s="3" t="s">
        <v>89</v>
      </c>
      <c r="E90" s="3" t="s">
        <v>97</v>
      </c>
      <c r="F90" s="3" t="s">
        <v>18</v>
      </c>
      <c r="G90" s="3" t="s">
        <v>94</v>
      </c>
      <c r="H90" s="3" t="s">
        <v>95</v>
      </c>
      <c r="I90" s="5">
        <v>14939.73</v>
      </c>
      <c r="J90" s="4">
        <v>9</v>
      </c>
      <c r="K90" s="1">
        <v>20</v>
      </c>
      <c r="L90" s="4">
        <v>2876.37</v>
      </c>
      <c r="M90" s="3" t="s">
        <v>51</v>
      </c>
      <c r="N90" s="3" t="s">
        <v>44</v>
      </c>
    </row>
    <row r="91" spans="1:14" x14ac:dyDescent="0.3">
      <c r="A91" s="3" t="s">
        <v>171</v>
      </c>
      <c r="B91" s="2">
        <v>45468</v>
      </c>
      <c r="C91" s="3" t="s">
        <v>66</v>
      </c>
      <c r="D91" s="3" t="s">
        <v>16</v>
      </c>
      <c r="E91" s="3" t="s">
        <v>25</v>
      </c>
      <c r="F91" s="3" t="s">
        <v>32</v>
      </c>
      <c r="G91" s="3" t="s">
        <v>112</v>
      </c>
      <c r="H91" s="3" t="s">
        <v>113</v>
      </c>
      <c r="I91" s="5">
        <v>11401.1</v>
      </c>
      <c r="J91" s="4">
        <v>10</v>
      </c>
      <c r="K91" s="1">
        <v>1</v>
      </c>
      <c r="L91" s="4">
        <v>1794.61</v>
      </c>
      <c r="M91" s="3" t="s">
        <v>28</v>
      </c>
      <c r="N91" s="3" t="s">
        <v>44</v>
      </c>
    </row>
    <row r="92" spans="1:14" x14ac:dyDescent="0.3">
      <c r="A92" s="3" t="s">
        <v>172</v>
      </c>
      <c r="B92" s="2">
        <v>45615</v>
      </c>
      <c r="C92" s="3" t="s">
        <v>86</v>
      </c>
      <c r="D92" s="3" t="s">
        <v>16</v>
      </c>
      <c r="E92" s="3" t="s">
        <v>25</v>
      </c>
      <c r="F92" s="3" t="s">
        <v>62</v>
      </c>
      <c r="G92" s="3" t="s">
        <v>80</v>
      </c>
      <c r="H92" s="3" t="s">
        <v>81</v>
      </c>
      <c r="I92" s="5">
        <v>7994.22</v>
      </c>
      <c r="J92" s="4">
        <v>6</v>
      </c>
      <c r="K92" s="1">
        <v>11</v>
      </c>
      <c r="L92" s="4">
        <v>895.16</v>
      </c>
      <c r="M92" s="3" t="s">
        <v>21</v>
      </c>
      <c r="N92" s="3" t="s">
        <v>22</v>
      </c>
    </row>
    <row r="93" spans="1:14" x14ac:dyDescent="0.3">
      <c r="A93" s="3" t="s">
        <v>173</v>
      </c>
      <c r="B93" s="2">
        <v>45692</v>
      </c>
      <c r="C93" s="3" t="s">
        <v>24</v>
      </c>
      <c r="D93" s="3" t="s">
        <v>16</v>
      </c>
      <c r="E93" s="3" t="s">
        <v>31</v>
      </c>
      <c r="F93" s="3" t="s">
        <v>18</v>
      </c>
      <c r="G93" s="3" t="s">
        <v>26</v>
      </c>
      <c r="H93" s="3" t="s">
        <v>27</v>
      </c>
      <c r="I93" s="5">
        <v>6333.35</v>
      </c>
      <c r="J93" s="4">
        <v>5</v>
      </c>
      <c r="K93" s="1">
        <v>17</v>
      </c>
      <c r="L93" s="4">
        <v>853.27</v>
      </c>
      <c r="M93" s="3" t="s">
        <v>51</v>
      </c>
      <c r="N93" s="3" t="s">
        <v>40</v>
      </c>
    </row>
    <row r="94" spans="1:14" x14ac:dyDescent="0.3">
      <c r="A94" s="3" t="s">
        <v>174</v>
      </c>
      <c r="B94" s="2">
        <v>45622</v>
      </c>
      <c r="C94" s="3" t="s">
        <v>50</v>
      </c>
      <c r="D94" s="3" t="s">
        <v>16</v>
      </c>
      <c r="E94" s="3" t="s">
        <v>25</v>
      </c>
      <c r="F94" s="3" t="s">
        <v>32</v>
      </c>
      <c r="G94" s="3" t="s">
        <v>33</v>
      </c>
      <c r="H94" s="3" t="s">
        <v>34</v>
      </c>
      <c r="I94" s="5">
        <v>10863.04</v>
      </c>
      <c r="J94" s="4">
        <v>8</v>
      </c>
      <c r="K94" s="1">
        <v>4</v>
      </c>
      <c r="L94" s="4">
        <v>1093.22</v>
      </c>
      <c r="M94" s="3" t="s">
        <v>21</v>
      </c>
      <c r="N94" s="3" t="s">
        <v>40</v>
      </c>
    </row>
    <row r="95" spans="1:14" x14ac:dyDescent="0.3">
      <c r="A95" s="3" t="s">
        <v>175</v>
      </c>
      <c r="B95" s="2">
        <v>45748</v>
      </c>
      <c r="C95" s="3" t="s">
        <v>99</v>
      </c>
      <c r="D95" s="3" t="s">
        <v>16</v>
      </c>
      <c r="E95" s="3" t="s">
        <v>17</v>
      </c>
      <c r="F95" s="3" t="s">
        <v>62</v>
      </c>
      <c r="G95" s="3" t="s">
        <v>80</v>
      </c>
      <c r="H95" s="3" t="s">
        <v>81</v>
      </c>
      <c r="I95" s="5">
        <v>15379.2</v>
      </c>
      <c r="J95" s="4">
        <v>9</v>
      </c>
      <c r="K95" s="1">
        <v>8</v>
      </c>
      <c r="L95" s="4">
        <v>3526.58</v>
      </c>
      <c r="M95" s="3" t="s">
        <v>51</v>
      </c>
      <c r="N95" s="3" t="s">
        <v>40</v>
      </c>
    </row>
    <row r="96" spans="1:14" x14ac:dyDescent="0.3">
      <c r="A96" s="3" t="s">
        <v>176</v>
      </c>
      <c r="B96" s="2">
        <v>45752</v>
      </c>
      <c r="C96" s="3" t="s">
        <v>86</v>
      </c>
      <c r="D96" s="3" t="s">
        <v>89</v>
      </c>
      <c r="E96" s="3" t="s">
        <v>102</v>
      </c>
      <c r="F96" s="3" t="s">
        <v>18</v>
      </c>
      <c r="G96" s="3" t="s">
        <v>19</v>
      </c>
      <c r="H96" s="3" t="s">
        <v>20</v>
      </c>
      <c r="I96" s="5">
        <v>10251.01</v>
      </c>
      <c r="J96" s="4">
        <v>7</v>
      </c>
      <c r="K96" s="1">
        <v>2</v>
      </c>
      <c r="L96" s="4">
        <v>2263.8200000000002</v>
      </c>
      <c r="M96" s="3" t="s">
        <v>28</v>
      </c>
      <c r="N96" s="3" t="s">
        <v>40</v>
      </c>
    </row>
    <row r="97" spans="1:14" x14ac:dyDescent="0.3">
      <c r="A97" s="3" t="s">
        <v>177</v>
      </c>
      <c r="B97" s="2">
        <v>45454</v>
      </c>
      <c r="C97" s="3" t="s">
        <v>42</v>
      </c>
      <c r="D97" s="3" t="s">
        <v>89</v>
      </c>
      <c r="E97" s="3" t="s">
        <v>116</v>
      </c>
      <c r="F97" s="3" t="s">
        <v>18</v>
      </c>
      <c r="G97" s="3" t="s">
        <v>94</v>
      </c>
      <c r="H97" s="3" t="s">
        <v>95</v>
      </c>
      <c r="I97" s="5">
        <v>437.48</v>
      </c>
      <c r="J97" s="4">
        <v>2</v>
      </c>
      <c r="K97" s="1">
        <v>3</v>
      </c>
      <c r="L97" s="4">
        <v>28.55</v>
      </c>
      <c r="M97" s="3" t="s">
        <v>21</v>
      </c>
      <c r="N97" s="3" t="s">
        <v>22</v>
      </c>
    </row>
    <row r="98" spans="1:14" x14ac:dyDescent="0.3">
      <c r="A98" s="3" t="s">
        <v>178</v>
      </c>
      <c r="B98" s="2">
        <v>45560</v>
      </c>
      <c r="C98" s="3" t="s">
        <v>42</v>
      </c>
      <c r="D98" s="3" t="s">
        <v>16</v>
      </c>
      <c r="E98" s="3" t="s">
        <v>25</v>
      </c>
      <c r="F98" s="3" t="s">
        <v>18</v>
      </c>
      <c r="G98" s="3" t="s">
        <v>19</v>
      </c>
      <c r="H98" s="3" t="s">
        <v>20</v>
      </c>
      <c r="I98" s="5">
        <v>640.4</v>
      </c>
      <c r="J98" s="4">
        <v>2</v>
      </c>
      <c r="K98" s="1">
        <v>9</v>
      </c>
      <c r="L98" s="4">
        <v>40.450000000000003</v>
      </c>
      <c r="M98" s="3" t="s">
        <v>51</v>
      </c>
      <c r="N98" s="3" t="s">
        <v>40</v>
      </c>
    </row>
    <row r="99" spans="1:14" x14ac:dyDescent="0.3">
      <c r="A99" s="3" t="s">
        <v>179</v>
      </c>
      <c r="B99" s="2">
        <v>45479</v>
      </c>
      <c r="C99" s="3" t="s">
        <v>24</v>
      </c>
      <c r="D99" s="3" t="s">
        <v>56</v>
      </c>
      <c r="E99" s="3" t="s">
        <v>108</v>
      </c>
      <c r="F99" s="3" t="s">
        <v>32</v>
      </c>
      <c r="G99" s="3" t="s">
        <v>33</v>
      </c>
      <c r="H99" s="3" t="s">
        <v>34</v>
      </c>
      <c r="I99" s="5">
        <v>5637.84</v>
      </c>
      <c r="J99" s="4">
        <v>3</v>
      </c>
      <c r="K99" s="1">
        <v>5</v>
      </c>
      <c r="L99" s="4">
        <v>366.61</v>
      </c>
      <c r="M99" s="3" t="s">
        <v>51</v>
      </c>
      <c r="N99" s="3" t="s">
        <v>22</v>
      </c>
    </row>
    <row r="100" spans="1:14" x14ac:dyDescent="0.3">
      <c r="A100" s="3" t="s">
        <v>180</v>
      </c>
      <c r="B100" s="2">
        <v>45427</v>
      </c>
      <c r="C100" s="3" t="s">
        <v>101</v>
      </c>
      <c r="D100" s="3" t="s">
        <v>38</v>
      </c>
      <c r="E100" s="3" t="s">
        <v>43</v>
      </c>
      <c r="F100" s="3" t="s">
        <v>32</v>
      </c>
      <c r="G100" s="3" t="s">
        <v>33</v>
      </c>
      <c r="H100" s="3" t="s">
        <v>34</v>
      </c>
      <c r="I100" s="5">
        <v>16167.51</v>
      </c>
      <c r="J100" s="4">
        <v>9</v>
      </c>
      <c r="K100" s="1">
        <v>19</v>
      </c>
      <c r="L100" s="4">
        <v>1210.18</v>
      </c>
      <c r="M100" s="3" t="s">
        <v>28</v>
      </c>
      <c r="N100" s="3" t="s">
        <v>22</v>
      </c>
    </row>
    <row r="101" spans="1:14" x14ac:dyDescent="0.3">
      <c r="A101" s="3" t="s">
        <v>181</v>
      </c>
      <c r="B101" s="2">
        <v>45443</v>
      </c>
      <c r="C101" s="3" t="s">
        <v>99</v>
      </c>
      <c r="D101" s="3" t="s">
        <v>16</v>
      </c>
      <c r="E101" s="3" t="s">
        <v>31</v>
      </c>
      <c r="F101" s="3" t="s">
        <v>18</v>
      </c>
      <c r="G101" s="3" t="s">
        <v>76</v>
      </c>
      <c r="H101" s="3" t="s">
        <v>77</v>
      </c>
      <c r="I101" s="5">
        <v>8236.48</v>
      </c>
      <c r="J101" s="4">
        <v>8</v>
      </c>
      <c r="K101" s="1">
        <v>22</v>
      </c>
      <c r="L101" s="4">
        <v>1095.97</v>
      </c>
      <c r="M101" s="3" t="s">
        <v>51</v>
      </c>
      <c r="N101" s="3" t="s">
        <v>40</v>
      </c>
    </row>
    <row r="102" spans="1:14" x14ac:dyDescent="0.3">
      <c r="A102" s="3" t="s">
        <v>182</v>
      </c>
      <c r="B102" s="2">
        <v>45639</v>
      </c>
      <c r="C102" s="3" t="s">
        <v>42</v>
      </c>
      <c r="D102" s="3" t="s">
        <v>16</v>
      </c>
      <c r="E102" s="3" t="s">
        <v>17</v>
      </c>
      <c r="F102" s="3" t="s">
        <v>62</v>
      </c>
      <c r="G102" s="3" t="s">
        <v>80</v>
      </c>
      <c r="H102" s="3" t="s">
        <v>81</v>
      </c>
      <c r="I102" s="5">
        <v>12156.5</v>
      </c>
      <c r="J102" s="4">
        <v>10</v>
      </c>
      <c r="K102" s="1">
        <v>15</v>
      </c>
      <c r="L102" s="4">
        <v>2302.3000000000002</v>
      </c>
      <c r="M102" s="3" t="s">
        <v>21</v>
      </c>
      <c r="N102" s="3" t="s">
        <v>44</v>
      </c>
    </row>
    <row r="103" spans="1:14" x14ac:dyDescent="0.3">
      <c r="A103" s="3" t="s">
        <v>183</v>
      </c>
      <c r="B103" s="2">
        <v>45501</v>
      </c>
      <c r="C103" s="3" t="s">
        <v>84</v>
      </c>
      <c r="D103" s="3" t="s">
        <v>38</v>
      </c>
      <c r="E103" s="3" t="s">
        <v>43</v>
      </c>
      <c r="F103" s="3" t="s">
        <v>18</v>
      </c>
      <c r="G103" s="3" t="s">
        <v>19</v>
      </c>
      <c r="H103" s="3" t="s">
        <v>20</v>
      </c>
      <c r="I103" s="5">
        <v>1007.37</v>
      </c>
      <c r="J103" s="4">
        <v>1</v>
      </c>
      <c r="K103" s="1">
        <v>20</v>
      </c>
      <c r="L103" s="4">
        <v>167.76</v>
      </c>
      <c r="M103" s="3" t="s">
        <v>51</v>
      </c>
      <c r="N103" s="3" t="s">
        <v>40</v>
      </c>
    </row>
    <row r="104" spans="1:14" x14ac:dyDescent="0.3">
      <c r="A104" s="3" t="s">
        <v>184</v>
      </c>
      <c r="B104" s="2">
        <v>45730</v>
      </c>
      <c r="C104" s="3" t="s">
        <v>75</v>
      </c>
      <c r="D104" s="3" t="s">
        <v>89</v>
      </c>
      <c r="E104" s="3" t="s">
        <v>90</v>
      </c>
      <c r="F104" s="3" t="s">
        <v>18</v>
      </c>
      <c r="G104" s="3" t="s">
        <v>26</v>
      </c>
      <c r="H104" s="3" t="s">
        <v>27</v>
      </c>
      <c r="I104" s="5">
        <v>948.24</v>
      </c>
      <c r="J104" s="4">
        <v>1</v>
      </c>
      <c r="K104" s="1">
        <v>27</v>
      </c>
      <c r="L104" s="4">
        <v>34.909999999999997</v>
      </c>
      <c r="M104" s="3" t="s">
        <v>28</v>
      </c>
      <c r="N104" s="3" t="s">
        <v>35</v>
      </c>
    </row>
    <row r="105" spans="1:14" x14ac:dyDescent="0.3">
      <c r="A105" s="3" t="s">
        <v>185</v>
      </c>
      <c r="B105" s="2">
        <v>45776</v>
      </c>
      <c r="C105" s="3" t="s">
        <v>75</v>
      </c>
      <c r="D105" s="3" t="s">
        <v>16</v>
      </c>
      <c r="E105" s="3" t="s">
        <v>31</v>
      </c>
      <c r="F105" s="3" t="s">
        <v>18</v>
      </c>
      <c r="G105" s="3" t="s">
        <v>19</v>
      </c>
      <c r="H105" s="3" t="s">
        <v>20</v>
      </c>
      <c r="I105" s="5">
        <v>7304.5</v>
      </c>
      <c r="J105" s="4">
        <v>10</v>
      </c>
      <c r="K105" s="1">
        <v>5</v>
      </c>
      <c r="L105" s="4">
        <v>461.1</v>
      </c>
      <c r="M105" s="3" t="s">
        <v>21</v>
      </c>
      <c r="N105" s="3" t="s">
        <v>44</v>
      </c>
    </row>
    <row r="106" spans="1:14" x14ac:dyDescent="0.3">
      <c r="A106" s="3" t="s">
        <v>186</v>
      </c>
      <c r="B106" s="2">
        <v>45736</v>
      </c>
      <c r="C106" s="3" t="s">
        <v>101</v>
      </c>
      <c r="D106" s="3" t="s">
        <v>56</v>
      </c>
      <c r="E106" s="3" t="s">
        <v>57</v>
      </c>
      <c r="F106" s="3" t="s">
        <v>32</v>
      </c>
      <c r="G106" s="3" t="s">
        <v>33</v>
      </c>
      <c r="H106" s="3" t="s">
        <v>34</v>
      </c>
      <c r="I106" s="5">
        <v>4409.01</v>
      </c>
      <c r="J106" s="4">
        <v>3</v>
      </c>
      <c r="K106" s="1">
        <v>26</v>
      </c>
      <c r="L106" s="4">
        <v>466.16</v>
      </c>
      <c r="M106" s="3" t="s">
        <v>51</v>
      </c>
      <c r="N106" s="3" t="s">
        <v>35</v>
      </c>
    </row>
    <row r="107" spans="1:14" x14ac:dyDescent="0.3">
      <c r="A107" s="3" t="s">
        <v>187</v>
      </c>
      <c r="B107" s="2">
        <v>45481</v>
      </c>
      <c r="C107" s="3" t="s">
        <v>101</v>
      </c>
      <c r="D107" s="3" t="s">
        <v>16</v>
      </c>
      <c r="E107" s="3" t="s">
        <v>17</v>
      </c>
      <c r="F107" s="3" t="s">
        <v>62</v>
      </c>
      <c r="G107" s="3" t="s">
        <v>63</v>
      </c>
      <c r="H107" s="3" t="s">
        <v>64</v>
      </c>
      <c r="I107" s="5">
        <v>736.65</v>
      </c>
      <c r="J107" s="4">
        <v>3</v>
      </c>
      <c r="K107" s="1">
        <v>8</v>
      </c>
      <c r="L107" s="4">
        <v>123.05</v>
      </c>
      <c r="M107" s="3" t="s">
        <v>28</v>
      </c>
      <c r="N107" s="3" t="s">
        <v>22</v>
      </c>
    </row>
    <row r="108" spans="1:14" x14ac:dyDescent="0.3">
      <c r="A108" s="3" t="s">
        <v>188</v>
      </c>
      <c r="B108" s="2">
        <v>45632</v>
      </c>
      <c r="C108" s="3" t="s">
        <v>84</v>
      </c>
      <c r="D108" s="3" t="s">
        <v>16</v>
      </c>
      <c r="E108" s="3" t="s">
        <v>25</v>
      </c>
      <c r="F108" s="3" t="s">
        <v>32</v>
      </c>
      <c r="G108" s="3" t="s">
        <v>112</v>
      </c>
      <c r="H108" s="3" t="s">
        <v>113</v>
      </c>
      <c r="I108" s="5">
        <v>12407.84</v>
      </c>
      <c r="J108" s="4">
        <v>8</v>
      </c>
      <c r="K108" s="1">
        <v>24</v>
      </c>
      <c r="L108" s="4">
        <v>1510</v>
      </c>
      <c r="M108" s="3" t="s">
        <v>51</v>
      </c>
      <c r="N108" s="3" t="s">
        <v>35</v>
      </c>
    </row>
    <row r="109" spans="1:14" x14ac:dyDescent="0.3">
      <c r="A109" s="3" t="s">
        <v>189</v>
      </c>
      <c r="B109" s="2">
        <v>45764</v>
      </c>
      <c r="C109" s="3" t="s">
        <v>24</v>
      </c>
      <c r="D109" s="3" t="s">
        <v>56</v>
      </c>
      <c r="E109" s="3" t="s">
        <v>61</v>
      </c>
      <c r="F109" s="3" t="s">
        <v>18</v>
      </c>
      <c r="G109" s="3" t="s">
        <v>19</v>
      </c>
      <c r="H109" s="3" t="s">
        <v>20</v>
      </c>
      <c r="I109" s="5">
        <v>6470.3</v>
      </c>
      <c r="J109" s="4">
        <v>10</v>
      </c>
      <c r="K109" s="1">
        <v>3</v>
      </c>
      <c r="L109" s="4">
        <v>1412.01</v>
      </c>
      <c r="M109" s="3" t="s">
        <v>51</v>
      </c>
      <c r="N109" s="3" t="s">
        <v>35</v>
      </c>
    </row>
    <row r="110" spans="1:14" x14ac:dyDescent="0.3">
      <c r="A110" s="3" t="s">
        <v>190</v>
      </c>
      <c r="B110" s="2">
        <v>45517</v>
      </c>
      <c r="C110" s="3" t="s">
        <v>15</v>
      </c>
      <c r="D110" s="3" t="s">
        <v>38</v>
      </c>
      <c r="E110" s="3" t="s">
        <v>53</v>
      </c>
      <c r="F110" s="3" t="s">
        <v>18</v>
      </c>
      <c r="G110" s="3" t="s">
        <v>76</v>
      </c>
      <c r="H110" s="3" t="s">
        <v>77</v>
      </c>
      <c r="I110" s="5">
        <v>1823.95</v>
      </c>
      <c r="J110" s="4">
        <v>5</v>
      </c>
      <c r="K110" s="1">
        <v>8</v>
      </c>
      <c r="L110" s="4">
        <v>372.97</v>
      </c>
      <c r="M110" s="3" t="s">
        <v>21</v>
      </c>
      <c r="N110" s="3" t="s">
        <v>35</v>
      </c>
    </row>
    <row r="111" spans="1:14" x14ac:dyDescent="0.3">
      <c r="A111" s="3" t="s">
        <v>191</v>
      </c>
      <c r="B111" s="2">
        <v>45548</v>
      </c>
      <c r="C111" s="3" t="s">
        <v>86</v>
      </c>
      <c r="D111" s="3" t="s">
        <v>56</v>
      </c>
      <c r="E111" s="3" t="s">
        <v>108</v>
      </c>
      <c r="F111" s="3" t="s">
        <v>18</v>
      </c>
      <c r="G111" s="3" t="s">
        <v>26</v>
      </c>
      <c r="H111" s="3" t="s">
        <v>27</v>
      </c>
      <c r="I111" s="5">
        <v>6669.96</v>
      </c>
      <c r="J111" s="4">
        <v>6</v>
      </c>
      <c r="K111" s="1">
        <v>7.0000000000000009</v>
      </c>
      <c r="L111" s="4">
        <v>1226.27</v>
      </c>
      <c r="M111" s="3" t="s">
        <v>51</v>
      </c>
      <c r="N111" s="3" t="s">
        <v>35</v>
      </c>
    </row>
    <row r="112" spans="1:14" x14ac:dyDescent="0.3">
      <c r="A112" s="3" t="s">
        <v>192</v>
      </c>
      <c r="B112" s="2">
        <v>45693</v>
      </c>
      <c r="C112" s="3" t="s">
        <v>99</v>
      </c>
      <c r="D112" s="3" t="s">
        <v>89</v>
      </c>
      <c r="E112" s="3" t="s">
        <v>140</v>
      </c>
      <c r="F112" s="3" t="s">
        <v>62</v>
      </c>
      <c r="G112" s="3" t="s">
        <v>63</v>
      </c>
      <c r="H112" s="3" t="s">
        <v>64</v>
      </c>
      <c r="I112" s="5">
        <v>9728.82</v>
      </c>
      <c r="J112" s="4">
        <v>6</v>
      </c>
      <c r="K112" s="1">
        <v>2</v>
      </c>
      <c r="L112" s="4">
        <v>1193.55</v>
      </c>
      <c r="M112" s="3" t="s">
        <v>51</v>
      </c>
      <c r="N112" s="3" t="s">
        <v>44</v>
      </c>
    </row>
    <row r="113" spans="1:14" x14ac:dyDescent="0.3">
      <c r="A113" s="3" t="s">
        <v>193</v>
      </c>
      <c r="B113" s="2">
        <v>45468</v>
      </c>
      <c r="C113" s="3" t="s">
        <v>101</v>
      </c>
      <c r="D113" s="3" t="s">
        <v>89</v>
      </c>
      <c r="E113" s="3" t="s">
        <v>102</v>
      </c>
      <c r="F113" s="3" t="s">
        <v>32</v>
      </c>
      <c r="G113" s="3" t="s">
        <v>112</v>
      </c>
      <c r="H113" s="3" t="s">
        <v>113</v>
      </c>
      <c r="I113" s="5">
        <v>1967.21</v>
      </c>
      <c r="J113" s="4">
        <v>7</v>
      </c>
      <c r="K113" s="1">
        <v>3</v>
      </c>
      <c r="L113" s="4">
        <v>266.68</v>
      </c>
      <c r="M113" s="3" t="s">
        <v>28</v>
      </c>
      <c r="N113" s="3" t="s">
        <v>40</v>
      </c>
    </row>
    <row r="114" spans="1:14" x14ac:dyDescent="0.3">
      <c r="A114" s="3" t="s">
        <v>194</v>
      </c>
      <c r="B114" s="2">
        <v>45623</v>
      </c>
      <c r="C114" s="3" t="s">
        <v>99</v>
      </c>
      <c r="D114" s="3" t="s">
        <v>16</v>
      </c>
      <c r="E114" s="3" t="s">
        <v>17</v>
      </c>
      <c r="F114" s="3" t="s">
        <v>62</v>
      </c>
      <c r="G114" s="3" t="s">
        <v>63</v>
      </c>
      <c r="H114" s="3" t="s">
        <v>64</v>
      </c>
      <c r="I114" s="5">
        <v>5833.08</v>
      </c>
      <c r="J114" s="4">
        <v>6</v>
      </c>
      <c r="K114" s="1">
        <v>17</v>
      </c>
      <c r="L114" s="4">
        <v>603.82000000000005</v>
      </c>
      <c r="M114" s="3" t="s">
        <v>21</v>
      </c>
      <c r="N114" s="3" t="s">
        <v>40</v>
      </c>
    </row>
    <row r="115" spans="1:14" x14ac:dyDescent="0.3">
      <c r="A115" s="3" t="s">
        <v>195</v>
      </c>
      <c r="B115" s="2">
        <v>45623</v>
      </c>
      <c r="C115" s="3" t="s">
        <v>99</v>
      </c>
      <c r="D115" s="3" t="s">
        <v>16</v>
      </c>
      <c r="E115" s="3" t="s">
        <v>31</v>
      </c>
      <c r="F115" s="3" t="s">
        <v>32</v>
      </c>
      <c r="G115" s="3" t="s">
        <v>58</v>
      </c>
      <c r="H115" s="3" t="s">
        <v>59</v>
      </c>
      <c r="I115" s="5">
        <v>9606.7999999999993</v>
      </c>
      <c r="J115" s="4">
        <v>10</v>
      </c>
      <c r="K115" s="1">
        <v>27</v>
      </c>
      <c r="L115" s="4">
        <v>490.28</v>
      </c>
      <c r="M115" s="3" t="s">
        <v>21</v>
      </c>
      <c r="N115" s="3" t="s">
        <v>40</v>
      </c>
    </row>
    <row r="116" spans="1:14" x14ac:dyDescent="0.3">
      <c r="A116" s="3" t="s">
        <v>196</v>
      </c>
      <c r="B116" s="2">
        <v>45589</v>
      </c>
      <c r="C116" s="3" t="s">
        <v>37</v>
      </c>
      <c r="D116" s="3" t="s">
        <v>16</v>
      </c>
      <c r="E116" s="3" t="s">
        <v>25</v>
      </c>
      <c r="F116" s="3" t="s">
        <v>18</v>
      </c>
      <c r="G116" s="3" t="s">
        <v>26</v>
      </c>
      <c r="H116" s="3" t="s">
        <v>27</v>
      </c>
      <c r="I116" s="5">
        <v>7294.2</v>
      </c>
      <c r="J116" s="4">
        <v>5</v>
      </c>
      <c r="K116" s="1">
        <v>29</v>
      </c>
      <c r="L116" s="4">
        <v>1264.71</v>
      </c>
      <c r="M116" s="3" t="s">
        <v>21</v>
      </c>
      <c r="N116" s="3" t="s">
        <v>22</v>
      </c>
    </row>
    <row r="117" spans="1:14" x14ac:dyDescent="0.3">
      <c r="A117" s="3" t="s">
        <v>197</v>
      </c>
      <c r="B117" s="2">
        <v>45481</v>
      </c>
      <c r="C117" s="3" t="s">
        <v>70</v>
      </c>
      <c r="D117" s="3" t="s">
        <v>89</v>
      </c>
      <c r="E117" s="3" t="s">
        <v>90</v>
      </c>
      <c r="F117" s="3" t="s">
        <v>18</v>
      </c>
      <c r="G117" s="3" t="s">
        <v>94</v>
      </c>
      <c r="H117" s="3" t="s">
        <v>95</v>
      </c>
      <c r="I117" s="5">
        <v>1341.38</v>
      </c>
      <c r="J117" s="4">
        <v>1</v>
      </c>
      <c r="K117" s="1">
        <v>2</v>
      </c>
      <c r="L117" s="4">
        <v>298.27</v>
      </c>
      <c r="M117" s="3" t="s">
        <v>51</v>
      </c>
      <c r="N117" s="3" t="s">
        <v>35</v>
      </c>
    </row>
    <row r="118" spans="1:14" x14ac:dyDescent="0.3">
      <c r="A118" s="3" t="s">
        <v>198</v>
      </c>
      <c r="B118" s="2">
        <v>45718</v>
      </c>
      <c r="C118" s="3" t="s">
        <v>73</v>
      </c>
      <c r="D118" s="3" t="s">
        <v>16</v>
      </c>
      <c r="E118" s="3" t="s">
        <v>25</v>
      </c>
      <c r="F118" s="3" t="s">
        <v>32</v>
      </c>
      <c r="G118" s="3" t="s">
        <v>33</v>
      </c>
      <c r="H118" s="3" t="s">
        <v>34</v>
      </c>
      <c r="I118" s="5">
        <v>1912.92</v>
      </c>
      <c r="J118" s="4">
        <v>6</v>
      </c>
      <c r="K118" s="1">
        <v>11</v>
      </c>
      <c r="L118" s="4">
        <v>334.38</v>
      </c>
      <c r="M118" s="3" t="s">
        <v>28</v>
      </c>
      <c r="N118" s="3" t="s">
        <v>40</v>
      </c>
    </row>
    <row r="119" spans="1:14" x14ac:dyDescent="0.3">
      <c r="A119" s="3" t="s">
        <v>199</v>
      </c>
      <c r="B119" s="2">
        <v>45619</v>
      </c>
      <c r="C119" s="3" t="s">
        <v>42</v>
      </c>
      <c r="D119" s="3" t="s">
        <v>16</v>
      </c>
      <c r="E119" s="3" t="s">
        <v>25</v>
      </c>
      <c r="F119" s="3" t="s">
        <v>62</v>
      </c>
      <c r="G119" s="3" t="s">
        <v>80</v>
      </c>
      <c r="H119" s="3" t="s">
        <v>81</v>
      </c>
      <c r="I119" s="5">
        <v>890.28</v>
      </c>
      <c r="J119" s="4">
        <v>4</v>
      </c>
      <c r="K119" s="1">
        <v>0</v>
      </c>
      <c r="L119" s="4">
        <v>90.24</v>
      </c>
      <c r="M119" s="3" t="s">
        <v>21</v>
      </c>
      <c r="N119" s="3" t="s">
        <v>44</v>
      </c>
    </row>
    <row r="120" spans="1:14" x14ac:dyDescent="0.3">
      <c r="A120" s="3" t="s">
        <v>200</v>
      </c>
      <c r="B120" s="2">
        <v>45726</v>
      </c>
      <c r="C120" s="3" t="s">
        <v>75</v>
      </c>
      <c r="D120" s="3" t="s">
        <v>16</v>
      </c>
      <c r="E120" s="3" t="s">
        <v>17</v>
      </c>
      <c r="F120" s="3" t="s">
        <v>62</v>
      </c>
      <c r="G120" s="3" t="s">
        <v>67</v>
      </c>
      <c r="H120" s="3" t="s">
        <v>68</v>
      </c>
      <c r="I120" s="5">
        <v>1513.36</v>
      </c>
      <c r="J120" s="4">
        <v>4</v>
      </c>
      <c r="K120" s="1">
        <v>10</v>
      </c>
      <c r="L120" s="4">
        <v>90.69</v>
      </c>
      <c r="M120" s="3" t="s">
        <v>51</v>
      </c>
      <c r="N120" s="3" t="s">
        <v>35</v>
      </c>
    </row>
    <row r="121" spans="1:14" x14ac:dyDescent="0.3">
      <c r="A121" s="3" t="s">
        <v>201</v>
      </c>
      <c r="B121" s="2">
        <v>45783</v>
      </c>
      <c r="C121" s="3" t="s">
        <v>84</v>
      </c>
      <c r="D121" s="3" t="s">
        <v>89</v>
      </c>
      <c r="E121" s="3" t="s">
        <v>116</v>
      </c>
      <c r="F121" s="3" t="s">
        <v>18</v>
      </c>
      <c r="G121" s="3" t="s">
        <v>19</v>
      </c>
      <c r="H121" s="3" t="s">
        <v>20</v>
      </c>
      <c r="I121" s="5">
        <v>1000.8</v>
      </c>
      <c r="J121" s="4">
        <v>8</v>
      </c>
      <c r="K121" s="1">
        <v>6</v>
      </c>
      <c r="L121" s="4">
        <v>170.82</v>
      </c>
      <c r="M121" s="3" t="s">
        <v>21</v>
      </c>
      <c r="N121" s="3" t="s">
        <v>35</v>
      </c>
    </row>
    <row r="122" spans="1:14" x14ac:dyDescent="0.3">
      <c r="A122" s="3" t="s">
        <v>202</v>
      </c>
      <c r="B122" s="2">
        <v>45777</v>
      </c>
      <c r="C122" s="3" t="s">
        <v>101</v>
      </c>
      <c r="D122" s="3" t="s">
        <v>89</v>
      </c>
      <c r="E122" s="3" t="s">
        <v>97</v>
      </c>
      <c r="F122" s="3" t="s">
        <v>32</v>
      </c>
      <c r="G122" s="3" t="s">
        <v>112</v>
      </c>
      <c r="H122" s="3" t="s">
        <v>113</v>
      </c>
      <c r="I122" s="5">
        <v>619.34</v>
      </c>
      <c r="J122" s="4">
        <v>2</v>
      </c>
      <c r="K122" s="1">
        <v>28</v>
      </c>
      <c r="L122" s="4">
        <v>42.8</v>
      </c>
      <c r="M122" s="3" t="s">
        <v>21</v>
      </c>
      <c r="N122" s="3" t="s">
        <v>22</v>
      </c>
    </row>
    <row r="123" spans="1:14" x14ac:dyDescent="0.3">
      <c r="A123" s="3" t="s">
        <v>203</v>
      </c>
      <c r="B123" s="2">
        <v>45774</v>
      </c>
      <c r="C123" s="3" t="s">
        <v>73</v>
      </c>
      <c r="D123" s="3" t="s">
        <v>56</v>
      </c>
      <c r="E123" s="3" t="s">
        <v>57</v>
      </c>
      <c r="F123" s="3" t="s">
        <v>18</v>
      </c>
      <c r="G123" s="3" t="s">
        <v>26</v>
      </c>
      <c r="H123" s="3" t="s">
        <v>27</v>
      </c>
      <c r="I123" s="5">
        <v>8766.27</v>
      </c>
      <c r="J123" s="4">
        <v>9</v>
      </c>
      <c r="K123" s="1">
        <v>30</v>
      </c>
      <c r="L123" s="4">
        <v>769.54</v>
      </c>
      <c r="M123" s="3" t="s">
        <v>51</v>
      </c>
      <c r="N123" s="3" t="s">
        <v>40</v>
      </c>
    </row>
    <row r="124" spans="1:14" x14ac:dyDescent="0.3">
      <c r="A124" s="3" t="s">
        <v>204</v>
      </c>
      <c r="B124" s="2">
        <v>45475</v>
      </c>
      <c r="C124" s="3" t="s">
        <v>101</v>
      </c>
      <c r="D124" s="3" t="s">
        <v>89</v>
      </c>
      <c r="E124" s="3" t="s">
        <v>140</v>
      </c>
      <c r="F124" s="3" t="s">
        <v>18</v>
      </c>
      <c r="G124" s="3" t="s">
        <v>94</v>
      </c>
      <c r="H124" s="3" t="s">
        <v>95</v>
      </c>
      <c r="I124" s="5">
        <v>1486.48</v>
      </c>
      <c r="J124" s="4">
        <v>8</v>
      </c>
      <c r="K124" s="1">
        <v>9</v>
      </c>
      <c r="L124" s="4">
        <v>111.09</v>
      </c>
      <c r="M124" s="3" t="s">
        <v>28</v>
      </c>
      <c r="N124" s="3" t="s">
        <v>40</v>
      </c>
    </row>
    <row r="125" spans="1:14" x14ac:dyDescent="0.3">
      <c r="A125" s="3" t="s">
        <v>205</v>
      </c>
      <c r="B125" s="2">
        <v>45546</v>
      </c>
      <c r="C125" s="3" t="s">
        <v>99</v>
      </c>
      <c r="D125" s="3" t="s">
        <v>89</v>
      </c>
      <c r="E125" s="3" t="s">
        <v>97</v>
      </c>
      <c r="F125" s="3" t="s">
        <v>32</v>
      </c>
      <c r="G125" s="3" t="s">
        <v>58</v>
      </c>
      <c r="H125" s="3" t="s">
        <v>59</v>
      </c>
      <c r="I125" s="5">
        <v>6517.32</v>
      </c>
      <c r="J125" s="4">
        <v>4</v>
      </c>
      <c r="K125" s="1">
        <v>4</v>
      </c>
      <c r="L125" s="4">
        <v>1083.0999999999999</v>
      </c>
      <c r="M125" s="3" t="s">
        <v>21</v>
      </c>
      <c r="N125" s="3" t="s">
        <v>35</v>
      </c>
    </row>
    <row r="126" spans="1:14" x14ac:dyDescent="0.3">
      <c r="A126" s="3" t="s">
        <v>206</v>
      </c>
      <c r="B126" s="2">
        <v>45633</v>
      </c>
      <c r="C126" s="3" t="s">
        <v>66</v>
      </c>
      <c r="D126" s="3" t="s">
        <v>16</v>
      </c>
      <c r="E126" s="3" t="s">
        <v>17</v>
      </c>
      <c r="F126" s="3" t="s">
        <v>32</v>
      </c>
      <c r="G126" s="3" t="s">
        <v>33</v>
      </c>
      <c r="H126" s="3" t="s">
        <v>34</v>
      </c>
      <c r="I126" s="5">
        <v>2619.36</v>
      </c>
      <c r="J126" s="4">
        <v>8</v>
      </c>
      <c r="K126" s="1">
        <v>26</v>
      </c>
      <c r="L126" s="4">
        <v>423.72</v>
      </c>
      <c r="M126" s="3" t="s">
        <v>28</v>
      </c>
      <c r="N126" s="3" t="s">
        <v>22</v>
      </c>
    </row>
    <row r="127" spans="1:14" x14ac:dyDescent="0.3">
      <c r="A127" s="3" t="s">
        <v>207</v>
      </c>
      <c r="B127" s="2">
        <v>45455</v>
      </c>
      <c r="C127" s="3" t="s">
        <v>86</v>
      </c>
      <c r="D127" s="3" t="s">
        <v>38</v>
      </c>
      <c r="E127" s="3" t="s">
        <v>71</v>
      </c>
      <c r="F127" s="3" t="s">
        <v>32</v>
      </c>
      <c r="G127" s="3" t="s">
        <v>33</v>
      </c>
      <c r="H127" s="3" t="s">
        <v>34</v>
      </c>
      <c r="I127" s="5">
        <v>1695.55</v>
      </c>
      <c r="J127" s="4">
        <v>1</v>
      </c>
      <c r="K127" s="1">
        <v>26</v>
      </c>
      <c r="L127" s="4">
        <v>114.02</v>
      </c>
      <c r="M127" s="3" t="s">
        <v>51</v>
      </c>
      <c r="N127" s="3" t="s">
        <v>35</v>
      </c>
    </row>
    <row r="128" spans="1:14" x14ac:dyDescent="0.3">
      <c r="A128" s="3" t="s">
        <v>208</v>
      </c>
      <c r="B128" s="2">
        <v>45714</v>
      </c>
      <c r="C128" s="3" t="s">
        <v>42</v>
      </c>
      <c r="D128" s="3" t="s">
        <v>89</v>
      </c>
      <c r="E128" s="3" t="s">
        <v>90</v>
      </c>
      <c r="F128" s="3" t="s">
        <v>32</v>
      </c>
      <c r="G128" s="3" t="s">
        <v>47</v>
      </c>
      <c r="H128" s="3" t="s">
        <v>48</v>
      </c>
      <c r="I128" s="5">
        <v>6987.68</v>
      </c>
      <c r="J128" s="4">
        <v>4</v>
      </c>
      <c r="K128" s="1">
        <v>25</v>
      </c>
      <c r="L128" s="4">
        <v>854.53</v>
      </c>
      <c r="M128" s="3" t="s">
        <v>28</v>
      </c>
      <c r="N128" s="3" t="s">
        <v>22</v>
      </c>
    </row>
    <row r="129" spans="1:14" x14ac:dyDescent="0.3">
      <c r="A129" s="3" t="s">
        <v>209</v>
      </c>
      <c r="B129" s="2">
        <v>45495</v>
      </c>
      <c r="C129" s="3" t="s">
        <v>24</v>
      </c>
      <c r="D129" s="3" t="s">
        <v>56</v>
      </c>
      <c r="E129" s="3" t="s">
        <v>61</v>
      </c>
      <c r="F129" s="3" t="s">
        <v>32</v>
      </c>
      <c r="G129" s="3" t="s">
        <v>112</v>
      </c>
      <c r="H129" s="3" t="s">
        <v>113</v>
      </c>
      <c r="I129" s="5">
        <v>17292.7</v>
      </c>
      <c r="J129" s="4">
        <v>10</v>
      </c>
      <c r="K129" s="1">
        <v>14</v>
      </c>
      <c r="L129" s="4">
        <v>2378.5100000000002</v>
      </c>
      <c r="M129" s="3" t="s">
        <v>28</v>
      </c>
      <c r="N129" s="3" t="s">
        <v>22</v>
      </c>
    </row>
    <row r="130" spans="1:14" x14ac:dyDescent="0.3">
      <c r="A130" s="3" t="s">
        <v>210</v>
      </c>
      <c r="B130" s="2">
        <v>45666</v>
      </c>
      <c r="C130" s="3" t="s">
        <v>101</v>
      </c>
      <c r="D130" s="3" t="s">
        <v>38</v>
      </c>
      <c r="E130" s="3" t="s">
        <v>39</v>
      </c>
      <c r="F130" s="3" t="s">
        <v>32</v>
      </c>
      <c r="G130" s="3" t="s">
        <v>33</v>
      </c>
      <c r="H130" s="3" t="s">
        <v>34</v>
      </c>
      <c r="I130" s="5">
        <v>10338.780000000001</v>
      </c>
      <c r="J130" s="4">
        <v>6</v>
      </c>
      <c r="K130" s="1">
        <v>21</v>
      </c>
      <c r="L130" s="4">
        <v>758.29</v>
      </c>
      <c r="M130" s="3" t="s">
        <v>21</v>
      </c>
      <c r="N130" s="3" t="s">
        <v>44</v>
      </c>
    </row>
    <row r="131" spans="1:14" x14ac:dyDescent="0.3">
      <c r="A131" s="3" t="s">
        <v>211</v>
      </c>
      <c r="B131" s="2">
        <v>45648</v>
      </c>
      <c r="C131" s="3" t="s">
        <v>84</v>
      </c>
      <c r="D131" s="3" t="s">
        <v>16</v>
      </c>
      <c r="E131" s="3" t="s">
        <v>31</v>
      </c>
      <c r="F131" s="3" t="s">
        <v>18</v>
      </c>
      <c r="G131" s="3" t="s">
        <v>19</v>
      </c>
      <c r="H131" s="3" t="s">
        <v>20</v>
      </c>
      <c r="I131" s="5">
        <v>14036.8</v>
      </c>
      <c r="J131" s="4">
        <v>8</v>
      </c>
      <c r="K131" s="1">
        <v>12</v>
      </c>
      <c r="L131" s="4">
        <v>2716.89</v>
      </c>
      <c r="M131" s="3" t="s">
        <v>21</v>
      </c>
      <c r="N131" s="3" t="s">
        <v>35</v>
      </c>
    </row>
    <row r="132" spans="1:14" x14ac:dyDescent="0.3">
      <c r="A132" s="3" t="s">
        <v>212</v>
      </c>
      <c r="B132" s="2">
        <v>45634</v>
      </c>
      <c r="C132" s="3" t="s">
        <v>86</v>
      </c>
      <c r="D132" s="3" t="s">
        <v>38</v>
      </c>
      <c r="E132" s="3" t="s">
        <v>53</v>
      </c>
      <c r="F132" s="3" t="s">
        <v>32</v>
      </c>
      <c r="G132" s="3" t="s">
        <v>112</v>
      </c>
      <c r="H132" s="3" t="s">
        <v>113</v>
      </c>
      <c r="I132" s="5">
        <v>2229.44</v>
      </c>
      <c r="J132" s="4">
        <v>2</v>
      </c>
      <c r="K132" s="1">
        <v>25</v>
      </c>
      <c r="L132" s="4">
        <v>365.63</v>
      </c>
      <c r="M132" s="3" t="s">
        <v>51</v>
      </c>
      <c r="N132" s="3" t="s">
        <v>40</v>
      </c>
    </row>
    <row r="133" spans="1:14" x14ac:dyDescent="0.3">
      <c r="A133" s="3" t="s">
        <v>213</v>
      </c>
      <c r="B133" s="2">
        <v>45564</v>
      </c>
      <c r="C133" s="3" t="s">
        <v>37</v>
      </c>
      <c r="D133" s="3" t="s">
        <v>89</v>
      </c>
      <c r="E133" s="3" t="s">
        <v>140</v>
      </c>
      <c r="F133" s="3" t="s">
        <v>62</v>
      </c>
      <c r="G133" s="3" t="s">
        <v>67</v>
      </c>
      <c r="H133" s="3" t="s">
        <v>68</v>
      </c>
      <c r="I133" s="5">
        <v>19121.8</v>
      </c>
      <c r="J133" s="4">
        <v>10</v>
      </c>
      <c r="K133" s="1">
        <v>24</v>
      </c>
      <c r="L133" s="4">
        <v>1486.94</v>
      </c>
      <c r="M133" s="3" t="s">
        <v>28</v>
      </c>
      <c r="N133" s="3" t="s">
        <v>35</v>
      </c>
    </row>
    <row r="134" spans="1:14" x14ac:dyDescent="0.3">
      <c r="A134" s="3" t="s">
        <v>214</v>
      </c>
      <c r="B134" s="2">
        <v>45751</v>
      </c>
      <c r="C134" s="3" t="s">
        <v>133</v>
      </c>
      <c r="D134" s="3" t="s">
        <v>89</v>
      </c>
      <c r="E134" s="3" t="s">
        <v>102</v>
      </c>
      <c r="F134" s="3" t="s">
        <v>62</v>
      </c>
      <c r="G134" s="3" t="s">
        <v>67</v>
      </c>
      <c r="H134" s="3" t="s">
        <v>68</v>
      </c>
      <c r="I134" s="5">
        <v>10600.5</v>
      </c>
      <c r="J134" s="4">
        <v>6</v>
      </c>
      <c r="K134" s="1">
        <v>6</v>
      </c>
      <c r="L134" s="4">
        <v>1499.91</v>
      </c>
      <c r="M134" s="3" t="s">
        <v>28</v>
      </c>
      <c r="N134" s="3" t="s">
        <v>35</v>
      </c>
    </row>
    <row r="135" spans="1:14" x14ac:dyDescent="0.3">
      <c r="A135" s="3" t="s">
        <v>215</v>
      </c>
      <c r="B135" s="2">
        <v>45551</v>
      </c>
      <c r="C135" s="3" t="s">
        <v>37</v>
      </c>
      <c r="D135" s="3" t="s">
        <v>89</v>
      </c>
      <c r="E135" s="3" t="s">
        <v>116</v>
      </c>
      <c r="F135" s="3" t="s">
        <v>18</v>
      </c>
      <c r="G135" s="3" t="s">
        <v>26</v>
      </c>
      <c r="H135" s="3" t="s">
        <v>27</v>
      </c>
      <c r="I135" s="5">
        <v>10089.73</v>
      </c>
      <c r="J135" s="4">
        <v>7</v>
      </c>
      <c r="K135" s="1">
        <v>5</v>
      </c>
      <c r="L135" s="4">
        <v>961.58</v>
      </c>
      <c r="M135" s="3" t="s">
        <v>51</v>
      </c>
      <c r="N135" s="3" t="s">
        <v>40</v>
      </c>
    </row>
    <row r="136" spans="1:14" x14ac:dyDescent="0.3">
      <c r="A136" s="3" t="s">
        <v>216</v>
      </c>
      <c r="B136" s="2">
        <v>45514</v>
      </c>
      <c r="C136" s="3" t="s">
        <v>66</v>
      </c>
      <c r="D136" s="3" t="s">
        <v>89</v>
      </c>
      <c r="E136" s="3" t="s">
        <v>102</v>
      </c>
      <c r="F136" s="3" t="s">
        <v>18</v>
      </c>
      <c r="G136" s="3" t="s">
        <v>19</v>
      </c>
      <c r="H136" s="3" t="s">
        <v>20</v>
      </c>
      <c r="I136" s="5">
        <v>1979.31</v>
      </c>
      <c r="J136" s="4">
        <v>3</v>
      </c>
      <c r="K136" s="1">
        <v>2</v>
      </c>
      <c r="L136" s="4">
        <v>261.05</v>
      </c>
      <c r="M136" s="3" t="s">
        <v>28</v>
      </c>
      <c r="N136" s="3" t="s">
        <v>44</v>
      </c>
    </row>
    <row r="137" spans="1:14" x14ac:dyDescent="0.3">
      <c r="A137" s="3" t="s">
        <v>217</v>
      </c>
      <c r="B137" s="2">
        <v>45536</v>
      </c>
      <c r="C137" s="3" t="s">
        <v>15</v>
      </c>
      <c r="D137" s="3" t="s">
        <v>16</v>
      </c>
      <c r="E137" s="3" t="s">
        <v>17</v>
      </c>
      <c r="F137" s="3" t="s">
        <v>18</v>
      </c>
      <c r="G137" s="3" t="s">
        <v>94</v>
      </c>
      <c r="H137" s="3" t="s">
        <v>95</v>
      </c>
      <c r="I137" s="5">
        <v>1115.3399999999999</v>
      </c>
      <c r="J137" s="4">
        <v>3</v>
      </c>
      <c r="K137" s="1">
        <v>20</v>
      </c>
      <c r="L137" s="4">
        <v>198.33</v>
      </c>
      <c r="M137" s="3" t="s">
        <v>21</v>
      </c>
      <c r="N137" s="3" t="s">
        <v>40</v>
      </c>
    </row>
    <row r="138" spans="1:14" x14ac:dyDescent="0.3">
      <c r="A138" s="3" t="s">
        <v>218</v>
      </c>
      <c r="B138" s="2">
        <v>45646</v>
      </c>
      <c r="C138" s="3" t="s">
        <v>70</v>
      </c>
      <c r="D138" s="3" t="s">
        <v>38</v>
      </c>
      <c r="E138" s="3" t="s">
        <v>71</v>
      </c>
      <c r="F138" s="3" t="s">
        <v>62</v>
      </c>
      <c r="G138" s="3" t="s">
        <v>103</v>
      </c>
      <c r="H138" s="3" t="s">
        <v>104</v>
      </c>
      <c r="I138" s="5">
        <v>4203.96</v>
      </c>
      <c r="J138" s="4">
        <v>6</v>
      </c>
      <c r="K138" s="1">
        <v>8</v>
      </c>
      <c r="L138" s="4">
        <v>435.13</v>
      </c>
      <c r="M138" s="3" t="s">
        <v>51</v>
      </c>
      <c r="N138" s="3" t="s">
        <v>22</v>
      </c>
    </row>
    <row r="139" spans="1:14" x14ac:dyDescent="0.3">
      <c r="A139" s="3" t="s">
        <v>219</v>
      </c>
      <c r="B139" s="2">
        <v>45580</v>
      </c>
      <c r="C139" s="3" t="s">
        <v>86</v>
      </c>
      <c r="D139" s="3" t="s">
        <v>38</v>
      </c>
      <c r="E139" s="3" t="s">
        <v>53</v>
      </c>
      <c r="F139" s="3" t="s">
        <v>32</v>
      </c>
      <c r="G139" s="3" t="s">
        <v>58</v>
      </c>
      <c r="H139" s="3" t="s">
        <v>59</v>
      </c>
      <c r="I139" s="5">
        <v>6056.12</v>
      </c>
      <c r="J139" s="4">
        <v>4</v>
      </c>
      <c r="K139" s="1">
        <v>30</v>
      </c>
      <c r="L139" s="4">
        <v>548.38</v>
      </c>
      <c r="M139" s="3" t="s">
        <v>21</v>
      </c>
      <c r="N139" s="3" t="s">
        <v>35</v>
      </c>
    </row>
    <row r="140" spans="1:14" x14ac:dyDescent="0.3">
      <c r="A140" s="3" t="s">
        <v>220</v>
      </c>
      <c r="B140" s="2">
        <v>45622</v>
      </c>
      <c r="C140" s="3" t="s">
        <v>86</v>
      </c>
      <c r="D140" s="3" t="s">
        <v>16</v>
      </c>
      <c r="E140" s="3" t="s">
        <v>25</v>
      </c>
      <c r="F140" s="3" t="s">
        <v>18</v>
      </c>
      <c r="G140" s="3" t="s">
        <v>19</v>
      </c>
      <c r="H140" s="3" t="s">
        <v>20</v>
      </c>
      <c r="I140" s="5">
        <v>492.6</v>
      </c>
      <c r="J140" s="4">
        <v>3</v>
      </c>
      <c r="K140" s="1">
        <v>29</v>
      </c>
      <c r="L140" s="4">
        <v>26.51</v>
      </c>
      <c r="M140" s="3" t="s">
        <v>28</v>
      </c>
      <c r="N140" s="3" t="s">
        <v>35</v>
      </c>
    </row>
    <row r="141" spans="1:14" x14ac:dyDescent="0.3">
      <c r="A141" s="3" t="s">
        <v>221</v>
      </c>
      <c r="B141" s="2">
        <v>45685</v>
      </c>
      <c r="C141" s="3" t="s">
        <v>42</v>
      </c>
      <c r="D141" s="3" t="s">
        <v>89</v>
      </c>
      <c r="E141" s="3" t="s">
        <v>97</v>
      </c>
      <c r="F141" s="3" t="s">
        <v>18</v>
      </c>
      <c r="G141" s="3" t="s">
        <v>76</v>
      </c>
      <c r="H141" s="3" t="s">
        <v>77</v>
      </c>
      <c r="I141" s="5">
        <v>919.57</v>
      </c>
      <c r="J141" s="4">
        <v>1</v>
      </c>
      <c r="K141" s="1">
        <v>28</v>
      </c>
      <c r="L141" s="4">
        <v>124.44</v>
      </c>
      <c r="M141" s="3" t="s">
        <v>28</v>
      </c>
      <c r="N141" s="3" t="s">
        <v>35</v>
      </c>
    </row>
    <row r="142" spans="1:14" x14ac:dyDescent="0.3">
      <c r="A142" s="3" t="s">
        <v>222</v>
      </c>
      <c r="B142" s="2">
        <v>45596</v>
      </c>
      <c r="C142" s="3" t="s">
        <v>73</v>
      </c>
      <c r="D142" s="3" t="s">
        <v>56</v>
      </c>
      <c r="E142" s="3" t="s">
        <v>61</v>
      </c>
      <c r="F142" s="3" t="s">
        <v>18</v>
      </c>
      <c r="G142" s="3" t="s">
        <v>26</v>
      </c>
      <c r="H142" s="3" t="s">
        <v>27</v>
      </c>
      <c r="I142" s="5">
        <v>442.16</v>
      </c>
      <c r="J142" s="4">
        <v>2</v>
      </c>
      <c r="K142" s="1">
        <v>30</v>
      </c>
      <c r="L142" s="4">
        <v>64.290000000000006</v>
      </c>
      <c r="M142" s="3" t="s">
        <v>51</v>
      </c>
      <c r="N142" s="3" t="s">
        <v>22</v>
      </c>
    </row>
    <row r="143" spans="1:14" x14ac:dyDescent="0.3">
      <c r="A143" s="3" t="s">
        <v>223</v>
      </c>
      <c r="B143" s="2">
        <v>45664</v>
      </c>
      <c r="C143" s="3" t="s">
        <v>133</v>
      </c>
      <c r="D143" s="3" t="s">
        <v>56</v>
      </c>
      <c r="E143" s="3" t="s">
        <v>61</v>
      </c>
      <c r="F143" s="3" t="s">
        <v>32</v>
      </c>
      <c r="G143" s="3" t="s">
        <v>58</v>
      </c>
      <c r="H143" s="3" t="s">
        <v>59</v>
      </c>
      <c r="I143" s="5">
        <v>9037.7999999999993</v>
      </c>
      <c r="J143" s="4">
        <v>9</v>
      </c>
      <c r="K143" s="1">
        <v>22</v>
      </c>
      <c r="L143" s="4">
        <v>508.45</v>
      </c>
      <c r="M143" s="3" t="s">
        <v>21</v>
      </c>
      <c r="N143" s="3" t="s">
        <v>22</v>
      </c>
    </row>
    <row r="144" spans="1:14" x14ac:dyDescent="0.3">
      <c r="A144" s="3" t="s">
        <v>224</v>
      </c>
      <c r="B144" s="2">
        <v>45682</v>
      </c>
      <c r="C144" s="3" t="s">
        <v>75</v>
      </c>
      <c r="D144" s="3" t="s">
        <v>56</v>
      </c>
      <c r="E144" s="3" t="s">
        <v>61</v>
      </c>
      <c r="F144" s="3" t="s">
        <v>18</v>
      </c>
      <c r="G144" s="3" t="s">
        <v>94</v>
      </c>
      <c r="H144" s="3" t="s">
        <v>95</v>
      </c>
      <c r="I144" s="5">
        <v>7139.36</v>
      </c>
      <c r="J144" s="4">
        <v>8</v>
      </c>
      <c r="K144" s="1">
        <v>21</v>
      </c>
      <c r="L144" s="4">
        <v>415.54</v>
      </c>
      <c r="M144" s="3" t="s">
        <v>51</v>
      </c>
      <c r="N144" s="3" t="s">
        <v>22</v>
      </c>
    </row>
    <row r="145" spans="1:14" x14ac:dyDescent="0.3">
      <c r="A145" s="3" t="s">
        <v>225</v>
      </c>
      <c r="B145" s="2">
        <v>45520</v>
      </c>
      <c r="C145" s="3" t="s">
        <v>75</v>
      </c>
      <c r="D145" s="3" t="s">
        <v>56</v>
      </c>
      <c r="E145" s="3" t="s">
        <v>108</v>
      </c>
      <c r="F145" s="3" t="s">
        <v>18</v>
      </c>
      <c r="G145" s="3" t="s">
        <v>19</v>
      </c>
      <c r="H145" s="3" t="s">
        <v>20</v>
      </c>
      <c r="I145" s="5">
        <v>4531.2299999999996</v>
      </c>
      <c r="J145" s="4">
        <v>3</v>
      </c>
      <c r="K145" s="1">
        <v>9</v>
      </c>
      <c r="L145" s="4">
        <v>427.21</v>
      </c>
      <c r="M145" s="3" t="s">
        <v>28</v>
      </c>
      <c r="N145" s="3" t="s">
        <v>44</v>
      </c>
    </row>
    <row r="146" spans="1:14" x14ac:dyDescent="0.3">
      <c r="A146" s="3" t="s">
        <v>226</v>
      </c>
      <c r="B146" s="2">
        <v>45597</v>
      </c>
      <c r="C146" s="3" t="s">
        <v>101</v>
      </c>
      <c r="D146" s="3" t="s">
        <v>56</v>
      </c>
      <c r="E146" s="3" t="s">
        <v>61</v>
      </c>
      <c r="F146" s="3" t="s">
        <v>32</v>
      </c>
      <c r="G146" s="3" t="s">
        <v>58</v>
      </c>
      <c r="H146" s="3" t="s">
        <v>59</v>
      </c>
      <c r="I146" s="5">
        <v>3483.96</v>
      </c>
      <c r="J146" s="4">
        <v>4</v>
      </c>
      <c r="K146" s="1">
        <v>8</v>
      </c>
      <c r="L146" s="4">
        <v>712.61</v>
      </c>
      <c r="M146" s="3" t="s">
        <v>28</v>
      </c>
      <c r="N146" s="3" t="s">
        <v>44</v>
      </c>
    </row>
    <row r="147" spans="1:14" x14ac:dyDescent="0.3">
      <c r="A147" s="3" t="s">
        <v>227</v>
      </c>
      <c r="B147" s="2">
        <v>45690</v>
      </c>
      <c r="C147" s="3" t="s">
        <v>66</v>
      </c>
      <c r="D147" s="3" t="s">
        <v>16</v>
      </c>
      <c r="E147" s="3" t="s">
        <v>17</v>
      </c>
      <c r="F147" s="3" t="s">
        <v>32</v>
      </c>
      <c r="G147" s="3" t="s">
        <v>33</v>
      </c>
      <c r="H147" s="3" t="s">
        <v>34</v>
      </c>
      <c r="I147" s="5">
        <v>6450.84</v>
      </c>
      <c r="J147" s="4">
        <v>6</v>
      </c>
      <c r="K147" s="1">
        <v>18</v>
      </c>
      <c r="L147" s="4">
        <v>1088.03</v>
      </c>
      <c r="M147" s="3" t="s">
        <v>51</v>
      </c>
      <c r="N147" s="3" t="s">
        <v>44</v>
      </c>
    </row>
    <row r="148" spans="1:14" x14ac:dyDescent="0.3">
      <c r="A148" s="3" t="s">
        <v>228</v>
      </c>
      <c r="B148" s="2">
        <v>45464</v>
      </c>
      <c r="C148" s="3" t="s">
        <v>70</v>
      </c>
      <c r="D148" s="3" t="s">
        <v>16</v>
      </c>
      <c r="E148" s="3" t="s">
        <v>25</v>
      </c>
      <c r="F148" s="3" t="s">
        <v>32</v>
      </c>
      <c r="G148" s="3" t="s">
        <v>58</v>
      </c>
      <c r="H148" s="3" t="s">
        <v>59</v>
      </c>
      <c r="I148" s="5">
        <v>4442</v>
      </c>
      <c r="J148" s="4">
        <v>8</v>
      </c>
      <c r="K148" s="1">
        <v>4</v>
      </c>
      <c r="L148" s="4">
        <v>426.32</v>
      </c>
      <c r="M148" s="3" t="s">
        <v>51</v>
      </c>
      <c r="N148" s="3" t="s">
        <v>35</v>
      </c>
    </row>
    <row r="149" spans="1:14" x14ac:dyDescent="0.3">
      <c r="A149" s="3" t="s">
        <v>229</v>
      </c>
      <c r="B149" s="2">
        <v>45704</v>
      </c>
      <c r="C149" s="3" t="s">
        <v>30</v>
      </c>
      <c r="D149" s="3" t="s">
        <v>16</v>
      </c>
      <c r="E149" s="3" t="s">
        <v>25</v>
      </c>
      <c r="F149" s="3" t="s">
        <v>18</v>
      </c>
      <c r="G149" s="3" t="s">
        <v>94</v>
      </c>
      <c r="H149" s="3" t="s">
        <v>95</v>
      </c>
      <c r="I149" s="5">
        <v>12996.06</v>
      </c>
      <c r="J149" s="4">
        <v>7</v>
      </c>
      <c r="K149" s="1">
        <v>18</v>
      </c>
      <c r="L149" s="4">
        <v>1717.82</v>
      </c>
      <c r="M149" s="3" t="s">
        <v>28</v>
      </c>
      <c r="N149" s="3" t="s">
        <v>22</v>
      </c>
    </row>
    <row r="150" spans="1:14" x14ac:dyDescent="0.3">
      <c r="A150" s="3" t="s">
        <v>230</v>
      </c>
      <c r="B150" s="2">
        <v>45756</v>
      </c>
      <c r="C150" s="3" t="s">
        <v>42</v>
      </c>
      <c r="D150" s="3" t="s">
        <v>38</v>
      </c>
      <c r="E150" s="3" t="s">
        <v>71</v>
      </c>
      <c r="F150" s="3" t="s">
        <v>62</v>
      </c>
      <c r="G150" s="3" t="s">
        <v>80</v>
      </c>
      <c r="H150" s="3" t="s">
        <v>81</v>
      </c>
      <c r="I150" s="5">
        <v>4391.1000000000004</v>
      </c>
      <c r="J150" s="4">
        <v>6</v>
      </c>
      <c r="K150" s="1">
        <v>16</v>
      </c>
      <c r="L150" s="4">
        <v>221.69</v>
      </c>
      <c r="M150" s="3" t="s">
        <v>51</v>
      </c>
      <c r="N150" s="3" t="s">
        <v>40</v>
      </c>
    </row>
    <row r="151" spans="1:14" x14ac:dyDescent="0.3">
      <c r="A151" s="3" t="s">
        <v>231</v>
      </c>
      <c r="B151" s="2">
        <v>45602</v>
      </c>
      <c r="C151" s="3" t="s">
        <v>75</v>
      </c>
      <c r="D151" s="3" t="s">
        <v>16</v>
      </c>
      <c r="E151" s="3" t="s">
        <v>17</v>
      </c>
      <c r="F151" s="3" t="s">
        <v>62</v>
      </c>
      <c r="G151" s="3" t="s">
        <v>67</v>
      </c>
      <c r="H151" s="3" t="s">
        <v>68</v>
      </c>
      <c r="I151" s="5">
        <v>3591.69</v>
      </c>
      <c r="J151" s="4">
        <v>3</v>
      </c>
      <c r="K151" s="1">
        <v>25</v>
      </c>
      <c r="L151" s="4">
        <v>486.14</v>
      </c>
      <c r="M151" s="3" t="s">
        <v>51</v>
      </c>
      <c r="N151" s="3" t="s">
        <v>22</v>
      </c>
    </row>
    <row r="152" spans="1:14" x14ac:dyDescent="0.3">
      <c r="A152" s="3" t="s">
        <v>232</v>
      </c>
      <c r="B152" s="2">
        <v>45561</v>
      </c>
      <c r="C152" s="3" t="s">
        <v>42</v>
      </c>
      <c r="D152" s="3" t="s">
        <v>89</v>
      </c>
      <c r="E152" s="3" t="s">
        <v>90</v>
      </c>
      <c r="F152" s="3" t="s">
        <v>32</v>
      </c>
      <c r="G152" s="3" t="s">
        <v>112</v>
      </c>
      <c r="H152" s="3" t="s">
        <v>113</v>
      </c>
      <c r="I152" s="5">
        <v>6595.83</v>
      </c>
      <c r="J152" s="4">
        <v>9</v>
      </c>
      <c r="K152" s="1">
        <v>5</v>
      </c>
      <c r="L152" s="4">
        <v>406.17</v>
      </c>
      <c r="M152" s="3" t="s">
        <v>51</v>
      </c>
      <c r="N152" s="3" t="s">
        <v>35</v>
      </c>
    </row>
    <row r="153" spans="1:14" x14ac:dyDescent="0.3">
      <c r="A153" s="3" t="s">
        <v>233</v>
      </c>
      <c r="B153" s="2">
        <v>45472</v>
      </c>
      <c r="C153" s="3" t="s">
        <v>99</v>
      </c>
      <c r="D153" s="3" t="s">
        <v>38</v>
      </c>
      <c r="E153" s="3" t="s">
        <v>53</v>
      </c>
      <c r="F153" s="3" t="s">
        <v>18</v>
      </c>
      <c r="G153" s="3" t="s">
        <v>94</v>
      </c>
      <c r="H153" s="3" t="s">
        <v>95</v>
      </c>
      <c r="I153" s="5">
        <v>4142.7299999999996</v>
      </c>
      <c r="J153" s="4">
        <v>3</v>
      </c>
      <c r="K153" s="1">
        <v>29</v>
      </c>
      <c r="L153" s="4">
        <v>464.48</v>
      </c>
      <c r="M153" s="3" t="s">
        <v>51</v>
      </c>
      <c r="N153" s="3" t="s">
        <v>44</v>
      </c>
    </row>
    <row r="154" spans="1:14" x14ac:dyDescent="0.3">
      <c r="A154" s="3" t="s">
        <v>234</v>
      </c>
      <c r="B154" s="2">
        <v>45733</v>
      </c>
      <c r="C154" s="3" t="s">
        <v>24</v>
      </c>
      <c r="D154" s="3" t="s">
        <v>89</v>
      </c>
      <c r="E154" s="3" t="s">
        <v>116</v>
      </c>
      <c r="F154" s="3" t="s">
        <v>18</v>
      </c>
      <c r="G154" s="3" t="s">
        <v>94</v>
      </c>
      <c r="H154" s="3" t="s">
        <v>95</v>
      </c>
      <c r="I154" s="5">
        <v>3859.52</v>
      </c>
      <c r="J154" s="4">
        <v>7</v>
      </c>
      <c r="K154" s="1">
        <v>9</v>
      </c>
      <c r="L154" s="4">
        <v>479.18</v>
      </c>
      <c r="M154" s="3" t="s">
        <v>28</v>
      </c>
      <c r="N154" s="3" t="s">
        <v>22</v>
      </c>
    </row>
    <row r="155" spans="1:14" x14ac:dyDescent="0.3">
      <c r="A155" s="3" t="s">
        <v>235</v>
      </c>
      <c r="B155" s="2">
        <v>45670</v>
      </c>
      <c r="C155" s="3" t="s">
        <v>66</v>
      </c>
      <c r="D155" s="3" t="s">
        <v>16</v>
      </c>
      <c r="E155" s="3" t="s">
        <v>31</v>
      </c>
      <c r="F155" s="3" t="s">
        <v>18</v>
      </c>
      <c r="G155" s="3" t="s">
        <v>19</v>
      </c>
      <c r="H155" s="3" t="s">
        <v>20</v>
      </c>
      <c r="I155" s="5">
        <v>10372.24</v>
      </c>
      <c r="J155" s="4">
        <v>8</v>
      </c>
      <c r="K155" s="1">
        <v>2</v>
      </c>
      <c r="L155" s="4">
        <v>2174.37</v>
      </c>
      <c r="M155" s="3" t="s">
        <v>21</v>
      </c>
      <c r="N155" s="3" t="s">
        <v>40</v>
      </c>
    </row>
    <row r="156" spans="1:14" x14ac:dyDescent="0.3">
      <c r="A156" s="3" t="s">
        <v>236</v>
      </c>
      <c r="B156" s="2">
        <v>45785</v>
      </c>
      <c r="C156" s="3" t="s">
        <v>86</v>
      </c>
      <c r="D156" s="3" t="s">
        <v>56</v>
      </c>
      <c r="E156" s="3" t="s">
        <v>57</v>
      </c>
      <c r="F156" s="3" t="s">
        <v>62</v>
      </c>
      <c r="G156" s="3" t="s">
        <v>67</v>
      </c>
      <c r="H156" s="3" t="s">
        <v>68</v>
      </c>
      <c r="I156" s="5">
        <v>11876.5</v>
      </c>
      <c r="J156" s="4">
        <v>10</v>
      </c>
      <c r="K156" s="1">
        <v>18</v>
      </c>
      <c r="L156" s="4">
        <v>1489.68</v>
      </c>
      <c r="M156" s="3" t="s">
        <v>28</v>
      </c>
      <c r="N156" s="3" t="s">
        <v>35</v>
      </c>
    </row>
    <row r="157" spans="1:14" x14ac:dyDescent="0.3">
      <c r="A157" s="3" t="s">
        <v>237</v>
      </c>
      <c r="B157" s="2">
        <v>45613</v>
      </c>
      <c r="C157" s="3" t="s">
        <v>70</v>
      </c>
      <c r="D157" s="3" t="s">
        <v>16</v>
      </c>
      <c r="E157" s="3" t="s">
        <v>31</v>
      </c>
      <c r="F157" s="3" t="s">
        <v>32</v>
      </c>
      <c r="G157" s="3" t="s">
        <v>112</v>
      </c>
      <c r="H157" s="3" t="s">
        <v>113</v>
      </c>
      <c r="I157" s="5">
        <v>14732.55</v>
      </c>
      <c r="J157" s="4">
        <v>9</v>
      </c>
      <c r="K157" s="1">
        <v>24</v>
      </c>
      <c r="L157" s="4">
        <v>911.76</v>
      </c>
      <c r="M157" s="3" t="s">
        <v>28</v>
      </c>
      <c r="N157" s="3" t="s">
        <v>35</v>
      </c>
    </row>
    <row r="158" spans="1:14" x14ac:dyDescent="0.3">
      <c r="A158" s="3" t="s">
        <v>238</v>
      </c>
      <c r="B158" s="2">
        <v>45605</v>
      </c>
      <c r="C158" s="3" t="s">
        <v>37</v>
      </c>
      <c r="D158" s="3" t="s">
        <v>56</v>
      </c>
      <c r="E158" s="3" t="s">
        <v>108</v>
      </c>
      <c r="F158" s="3" t="s">
        <v>32</v>
      </c>
      <c r="G158" s="3" t="s">
        <v>33</v>
      </c>
      <c r="H158" s="3" t="s">
        <v>34</v>
      </c>
      <c r="I158" s="5">
        <v>3590.58</v>
      </c>
      <c r="J158" s="4">
        <v>2</v>
      </c>
      <c r="K158" s="1">
        <v>1</v>
      </c>
      <c r="L158" s="4">
        <v>849</v>
      </c>
      <c r="M158" s="3" t="s">
        <v>28</v>
      </c>
      <c r="N158" s="3" t="s">
        <v>40</v>
      </c>
    </row>
    <row r="159" spans="1:14" x14ac:dyDescent="0.3">
      <c r="A159" s="3" t="s">
        <v>239</v>
      </c>
      <c r="B159" s="2">
        <v>45704</v>
      </c>
      <c r="C159" s="3" t="s">
        <v>15</v>
      </c>
      <c r="D159" s="3" t="s">
        <v>56</v>
      </c>
      <c r="E159" s="3" t="s">
        <v>57</v>
      </c>
      <c r="F159" s="3" t="s">
        <v>18</v>
      </c>
      <c r="G159" s="3" t="s">
        <v>26</v>
      </c>
      <c r="H159" s="3" t="s">
        <v>27</v>
      </c>
      <c r="I159" s="5">
        <v>4343.99</v>
      </c>
      <c r="J159" s="4">
        <v>7</v>
      </c>
      <c r="K159" s="1">
        <v>9</v>
      </c>
      <c r="L159" s="4">
        <v>477.35</v>
      </c>
      <c r="M159" s="3" t="s">
        <v>21</v>
      </c>
      <c r="N159" s="3" t="s">
        <v>22</v>
      </c>
    </row>
    <row r="160" spans="1:14" x14ac:dyDescent="0.3">
      <c r="A160" s="3" t="s">
        <v>240</v>
      </c>
      <c r="B160" s="2">
        <v>45660</v>
      </c>
      <c r="C160" s="3" t="s">
        <v>84</v>
      </c>
      <c r="D160" s="3" t="s">
        <v>38</v>
      </c>
      <c r="E160" s="3" t="s">
        <v>53</v>
      </c>
      <c r="F160" s="3" t="s">
        <v>32</v>
      </c>
      <c r="G160" s="3" t="s">
        <v>33</v>
      </c>
      <c r="H160" s="3" t="s">
        <v>34</v>
      </c>
      <c r="I160" s="5">
        <v>15587.19</v>
      </c>
      <c r="J160" s="4">
        <v>9</v>
      </c>
      <c r="K160" s="1">
        <v>0</v>
      </c>
      <c r="L160" s="4">
        <v>1698.78</v>
      </c>
      <c r="M160" s="3" t="s">
        <v>51</v>
      </c>
      <c r="N160" s="3" t="s">
        <v>40</v>
      </c>
    </row>
    <row r="161" spans="1:14" x14ac:dyDescent="0.3">
      <c r="A161" s="3" t="s">
        <v>241</v>
      </c>
      <c r="B161" s="2">
        <v>45591</v>
      </c>
      <c r="C161" s="3" t="s">
        <v>133</v>
      </c>
      <c r="D161" s="3" t="s">
        <v>38</v>
      </c>
      <c r="E161" s="3" t="s">
        <v>39</v>
      </c>
      <c r="F161" s="3" t="s">
        <v>18</v>
      </c>
      <c r="G161" s="3" t="s">
        <v>26</v>
      </c>
      <c r="H161" s="3" t="s">
        <v>27</v>
      </c>
      <c r="I161" s="5">
        <v>4379.3999999999996</v>
      </c>
      <c r="J161" s="4">
        <v>10</v>
      </c>
      <c r="K161" s="1">
        <v>1</v>
      </c>
      <c r="L161" s="4">
        <v>393.79</v>
      </c>
      <c r="M161" s="3" t="s">
        <v>28</v>
      </c>
      <c r="N161" s="3" t="s">
        <v>35</v>
      </c>
    </row>
    <row r="162" spans="1:14" x14ac:dyDescent="0.3">
      <c r="A162" s="3" t="s">
        <v>242</v>
      </c>
      <c r="B162" s="2">
        <v>45788</v>
      </c>
      <c r="C162" s="3" t="s">
        <v>42</v>
      </c>
      <c r="D162" s="3" t="s">
        <v>56</v>
      </c>
      <c r="E162" s="3" t="s">
        <v>61</v>
      </c>
      <c r="F162" s="3" t="s">
        <v>32</v>
      </c>
      <c r="G162" s="3" t="s">
        <v>33</v>
      </c>
      <c r="H162" s="3" t="s">
        <v>34</v>
      </c>
      <c r="I162" s="5">
        <v>2772.1</v>
      </c>
      <c r="J162" s="4">
        <v>10</v>
      </c>
      <c r="K162" s="1">
        <v>28</v>
      </c>
      <c r="L162" s="4">
        <v>183.66</v>
      </c>
      <c r="M162" s="3" t="s">
        <v>51</v>
      </c>
      <c r="N162" s="3" t="s">
        <v>40</v>
      </c>
    </row>
    <row r="163" spans="1:14" x14ac:dyDescent="0.3">
      <c r="A163" s="3" t="s">
        <v>243</v>
      </c>
      <c r="B163" s="2">
        <v>45547</v>
      </c>
      <c r="C163" s="3" t="s">
        <v>101</v>
      </c>
      <c r="D163" s="3" t="s">
        <v>16</v>
      </c>
      <c r="E163" s="3" t="s">
        <v>25</v>
      </c>
      <c r="F163" s="3" t="s">
        <v>32</v>
      </c>
      <c r="G163" s="3" t="s">
        <v>58</v>
      </c>
      <c r="H163" s="3" t="s">
        <v>59</v>
      </c>
      <c r="I163" s="5">
        <v>11917.2</v>
      </c>
      <c r="J163" s="4">
        <v>8</v>
      </c>
      <c r="K163" s="1">
        <v>29</v>
      </c>
      <c r="L163" s="4">
        <v>1195.47</v>
      </c>
      <c r="M163" s="3" t="s">
        <v>28</v>
      </c>
      <c r="N163" s="3" t="s">
        <v>40</v>
      </c>
    </row>
    <row r="164" spans="1:14" x14ac:dyDescent="0.3">
      <c r="A164" s="3" t="s">
        <v>244</v>
      </c>
      <c r="B164" s="2">
        <v>45591</v>
      </c>
      <c r="C164" s="3" t="s">
        <v>84</v>
      </c>
      <c r="D164" s="3" t="s">
        <v>56</v>
      </c>
      <c r="E164" s="3" t="s">
        <v>57</v>
      </c>
      <c r="F164" s="3" t="s">
        <v>32</v>
      </c>
      <c r="G164" s="3" t="s">
        <v>58</v>
      </c>
      <c r="H164" s="3" t="s">
        <v>59</v>
      </c>
      <c r="I164" s="5">
        <v>9498.6</v>
      </c>
      <c r="J164" s="4">
        <v>6</v>
      </c>
      <c r="K164" s="1">
        <v>15</v>
      </c>
      <c r="L164" s="4">
        <v>433.48</v>
      </c>
      <c r="M164" s="3" t="s">
        <v>21</v>
      </c>
      <c r="N164" s="3" t="s">
        <v>35</v>
      </c>
    </row>
    <row r="165" spans="1:14" x14ac:dyDescent="0.3">
      <c r="A165" s="3" t="s">
        <v>245</v>
      </c>
      <c r="B165" s="2">
        <v>45494</v>
      </c>
      <c r="C165" s="3" t="s">
        <v>86</v>
      </c>
      <c r="D165" s="3" t="s">
        <v>56</v>
      </c>
      <c r="E165" s="3" t="s">
        <v>57</v>
      </c>
      <c r="F165" s="3" t="s">
        <v>32</v>
      </c>
      <c r="G165" s="3" t="s">
        <v>47</v>
      </c>
      <c r="H165" s="3" t="s">
        <v>48</v>
      </c>
      <c r="I165" s="5">
        <v>8882.65</v>
      </c>
      <c r="J165" s="4">
        <v>7</v>
      </c>
      <c r="K165" s="1">
        <v>29</v>
      </c>
      <c r="L165" s="4">
        <v>644.29</v>
      </c>
      <c r="M165" s="3" t="s">
        <v>21</v>
      </c>
      <c r="N165" s="3" t="s">
        <v>44</v>
      </c>
    </row>
    <row r="166" spans="1:14" x14ac:dyDescent="0.3">
      <c r="A166" s="3" t="s">
        <v>246</v>
      </c>
      <c r="B166" s="2">
        <v>45719</v>
      </c>
      <c r="C166" s="3" t="s">
        <v>42</v>
      </c>
      <c r="D166" s="3" t="s">
        <v>89</v>
      </c>
      <c r="E166" s="3" t="s">
        <v>140</v>
      </c>
      <c r="F166" s="3" t="s">
        <v>32</v>
      </c>
      <c r="G166" s="3" t="s">
        <v>58</v>
      </c>
      <c r="H166" s="3" t="s">
        <v>59</v>
      </c>
      <c r="I166" s="5">
        <v>1852.25</v>
      </c>
      <c r="J166" s="4">
        <v>1</v>
      </c>
      <c r="K166" s="1">
        <v>3</v>
      </c>
      <c r="L166" s="4">
        <v>345.86</v>
      </c>
      <c r="M166" s="3" t="s">
        <v>28</v>
      </c>
      <c r="N166" s="3" t="s">
        <v>35</v>
      </c>
    </row>
    <row r="167" spans="1:14" x14ac:dyDescent="0.3">
      <c r="A167" s="3" t="s">
        <v>247</v>
      </c>
      <c r="B167" s="2">
        <v>45707</v>
      </c>
      <c r="C167" s="3" t="s">
        <v>70</v>
      </c>
      <c r="D167" s="3" t="s">
        <v>38</v>
      </c>
      <c r="E167" s="3" t="s">
        <v>39</v>
      </c>
      <c r="F167" s="3" t="s">
        <v>18</v>
      </c>
      <c r="G167" s="3" t="s">
        <v>19</v>
      </c>
      <c r="H167" s="3" t="s">
        <v>20</v>
      </c>
      <c r="I167" s="5">
        <v>10395.5</v>
      </c>
      <c r="J167" s="4">
        <v>10</v>
      </c>
      <c r="K167" s="1">
        <v>8</v>
      </c>
      <c r="L167" s="4">
        <v>1678.52</v>
      </c>
      <c r="M167" s="3" t="s">
        <v>51</v>
      </c>
      <c r="N167" s="3" t="s">
        <v>40</v>
      </c>
    </row>
    <row r="168" spans="1:14" x14ac:dyDescent="0.3">
      <c r="A168" s="3" t="s">
        <v>248</v>
      </c>
      <c r="B168" s="2">
        <v>45657</v>
      </c>
      <c r="C168" s="3" t="s">
        <v>99</v>
      </c>
      <c r="D168" s="3" t="s">
        <v>56</v>
      </c>
      <c r="E168" s="3" t="s">
        <v>57</v>
      </c>
      <c r="F168" s="3" t="s">
        <v>18</v>
      </c>
      <c r="G168" s="3" t="s">
        <v>19</v>
      </c>
      <c r="H168" s="3" t="s">
        <v>20</v>
      </c>
      <c r="I168" s="5">
        <v>7116.42</v>
      </c>
      <c r="J168" s="4">
        <v>6</v>
      </c>
      <c r="K168" s="1">
        <v>30</v>
      </c>
      <c r="L168" s="4">
        <v>526</v>
      </c>
      <c r="M168" s="3" t="s">
        <v>28</v>
      </c>
      <c r="N168" s="3" t="s">
        <v>40</v>
      </c>
    </row>
    <row r="169" spans="1:14" x14ac:dyDescent="0.3">
      <c r="A169" s="3" t="s">
        <v>249</v>
      </c>
      <c r="B169" s="2">
        <v>45482</v>
      </c>
      <c r="C169" s="3" t="s">
        <v>73</v>
      </c>
      <c r="D169" s="3" t="s">
        <v>38</v>
      </c>
      <c r="E169" s="3" t="s">
        <v>53</v>
      </c>
      <c r="F169" s="3" t="s">
        <v>62</v>
      </c>
      <c r="G169" s="3" t="s">
        <v>103</v>
      </c>
      <c r="H169" s="3" t="s">
        <v>104</v>
      </c>
      <c r="I169" s="5">
        <v>3946.5</v>
      </c>
      <c r="J169" s="4">
        <v>3</v>
      </c>
      <c r="K169" s="1">
        <v>2</v>
      </c>
      <c r="L169" s="4">
        <v>748.19</v>
      </c>
      <c r="M169" s="3" t="s">
        <v>51</v>
      </c>
      <c r="N169" s="3" t="s">
        <v>40</v>
      </c>
    </row>
    <row r="170" spans="1:14" x14ac:dyDescent="0.3">
      <c r="A170" s="3" t="s">
        <v>250</v>
      </c>
      <c r="B170" s="2">
        <v>45674</v>
      </c>
      <c r="C170" s="3" t="s">
        <v>15</v>
      </c>
      <c r="D170" s="3" t="s">
        <v>38</v>
      </c>
      <c r="E170" s="3" t="s">
        <v>71</v>
      </c>
      <c r="F170" s="3" t="s">
        <v>62</v>
      </c>
      <c r="G170" s="3" t="s">
        <v>103</v>
      </c>
      <c r="H170" s="3" t="s">
        <v>104</v>
      </c>
      <c r="I170" s="5">
        <v>2214.9299999999998</v>
      </c>
      <c r="J170" s="4">
        <v>3</v>
      </c>
      <c r="K170" s="1">
        <v>13</v>
      </c>
      <c r="L170" s="4">
        <v>231.26</v>
      </c>
      <c r="M170" s="3" t="s">
        <v>28</v>
      </c>
      <c r="N170" s="3" t="s">
        <v>40</v>
      </c>
    </row>
    <row r="171" spans="1:14" x14ac:dyDescent="0.3">
      <c r="A171" s="3" t="s">
        <v>251</v>
      </c>
      <c r="B171" s="2">
        <v>45656</v>
      </c>
      <c r="C171" s="3" t="s">
        <v>101</v>
      </c>
      <c r="D171" s="3" t="s">
        <v>16</v>
      </c>
      <c r="E171" s="3" t="s">
        <v>25</v>
      </c>
      <c r="F171" s="3" t="s">
        <v>62</v>
      </c>
      <c r="G171" s="3" t="s">
        <v>80</v>
      </c>
      <c r="H171" s="3" t="s">
        <v>81</v>
      </c>
      <c r="I171" s="5">
        <v>9732.1</v>
      </c>
      <c r="J171" s="4">
        <v>7</v>
      </c>
      <c r="K171" s="1">
        <v>4</v>
      </c>
      <c r="L171" s="4">
        <v>494.42</v>
      </c>
      <c r="M171" s="3" t="s">
        <v>21</v>
      </c>
      <c r="N171" s="3" t="s">
        <v>44</v>
      </c>
    </row>
    <row r="172" spans="1:14" x14ac:dyDescent="0.3">
      <c r="A172" s="3" t="s">
        <v>252</v>
      </c>
      <c r="B172" s="2">
        <v>45522</v>
      </c>
      <c r="C172" s="3" t="s">
        <v>37</v>
      </c>
      <c r="D172" s="3" t="s">
        <v>16</v>
      </c>
      <c r="E172" s="3" t="s">
        <v>25</v>
      </c>
      <c r="F172" s="3" t="s">
        <v>32</v>
      </c>
      <c r="G172" s="3" t="s">
        <v>33</v>
      </c>
      <c r="H172" s="3" t="s">
        <v>34</v>
      </c>
      <c r="I172" s="5">
        <v>17231.13</v>
      </c>
      <c r="J172" s="4">
        <v>9</v>
      </c>
      <c r="K172" s="1">
        <v>19</v>
      </c>
      <c r="L172" s="4">
        <v>2441.5</v>
      </c>
      <c r="M172" s="3" t="s">
        <v>28</v>
      </c>
      <c r="N172" s="3" t="s">
        <v>44</v>
      </c>
    </row>
    <row r="173" spans="1:14" x14ac:dyDescent="0.3">
      <c r="A173" s="3" t="s">
        <v>253</v>
      </c>
      <c r="B173" s="2">
        <v>45717</v>
      </c>
      <c r="C173" s="3" t="s">
        <v>75</v>
      </c>
      <c r="D173" s="3" t="s">
        <v>38</v>
      </c>
      <c r="E173" s="3" t="s">
        <v>39</v>
      </c>
      <c r="F173" s="3" t="s">
        <v>18</v>
      </c>
      <c r="G173" s="3" t="s">
        <v>26</v>
      </c>
      <c r="H173" s="3" t="s">
        <v>27</v>
      </c>
      <c r="I173" s="5">
        <v>9196.14</v>
      </c>
      <c r="J173" s="4">
        <v>6</v>
      </c>
      <c r="K173" s="1">
        <v>11</v>
      </c>
      <c r="L173" s="4">
        <v>1180.01</v>
      </c>
      <c r="M173" s="3" t="s">
        <v>51</v>
      </c>
      <c r="N173" s="3" t="s">
        <v>35</v>
      </c>
    </row>
    <row r="174" spans="1:14" x14ac:dyDescent="0.3">
      <c r="A174" s="3" t="s">
        <v>254</v>
      </c>
      <c r="B174" s="2">
        <v>45476</v>
      </c>
      <c r="C174" s="3" t="s">
        <v>133</v>
      </c>
      <c r="D174" s="3" t="s">
        <v>16</v>
      </c>
      <c r="E174" s="3" t="s">
        <v>25</v>
      </c>
      <c r="F174" s="3" t="s">
        <v>62</v>
      </c>
      <c r="G174" s="3" t="s">
        <v>63</v>
      </c>
      <c r="H174" s="3" t="s">
        <v>64</v>
      </c>
      <c r="I174" s="5">
        <v>4732.3</v>
      </c>
      <c r="J174" s="4">
        <v>5</v>
      </c>
      <c r="K174" s="1">
        <v>23</v>
      </c>
      <c r="L174" s="4">
        <v>660.9</v>
      </c>
      <c r="M174" s="3" t="s">
        <v>51</v>
      </c>
      <c r="N174" s="3" t="s">
        <v>22</v>
      </c>
    </row>
    <row r="175" spans="1:14" x14ac:dyDescent="0.3">
      <c r="A175" s="3" t="s">
        <v>255</v>
      </c>
      <c r="B175" s="2">
        <v>45742</v>
      </c>
      <c r="C175" s="3" t="s">
        <v>75</v>
      </c>
      <c r="D175" s="3" t="s">
        <v>89</v>
      </c>
      <c r="E175" s="3" t="s">
        <v>140</v>
      </c>
      <c r="F175" s="3" t="s">
        <v>32</v>
      </c>
      <c r="G175" s="3" t="s">
        <v>47</v>
      </c>
      <c r="H175" s="3" t="s">
        <v>48</v>
      </c>
      <c r="I175" s="5">
        <v>6921.88</v>
      </c>
      <c r="J175" s="4">
        <v>7</v>
      </c>
      <c r="K175" s="1">
        <v>14</v>
      </c>
      <c r="L175" s="4">
        <v>975.88</v>
      </c>
      <c r="M175" s="3" t="s">
        <v>51</v>
      </c>
      <c r="N175" s="3" t="s">
        <v>35</v>
      </c>
    </row>
    <row r="176" spans="1:14" x14ac:dyDescent="0.3">
      <c r="A176" s="3" t="s">
        <v>256</v>
      </c>
      <c r="B176" s="2">
        <v>45645</v>
      </c>
      <c r="C176" s="3" t="s">
        <v>30</v>
      </c>
      <c r="D176" s="3" t="s">
        <v>89</v>
      </c>
      <c r="E176" s="3" t="s">
        <v>116</v>
      </c>
      <c r="F176" s="3" t="s">
        <v>62</v>
      </c>
      <c r="G176" s="3" t="s">
        <v>67</v>
      </c>
      <c r="H176" s="3" t="s">
        <v>68</v>
      </c>
      <c r="I176" s="5">
        <v>2244.7800000000002</v>
      </c>
      <c r="J176" s="4">
        <v>2</v>
      </c>
      <c r="K176" s="1">
        <v>7.0000000000000009</v>
      </c>
      <c r="L176" s="4">
        <v>282.76</v>
      </c>
      <c r="M176" s="3" t="s">
        <v>51</v>
      </c>
      <c r="N176" s="3" t="s">
        <v>35</v>
      </c>
    </row>
    <row r="177" spans="1:14" x14ac:dyDescent="0.3">
      <c r="A177" s="3" t="s">
        <v>257</v>
      </c>
      <c r="B177" s="2">
        <v>45464</v>
      </c>
      <c r="C177" s="3" t="s">
        <v>15</v>
      </c>
      <c r="D177" s="3" t="s">
        <v>38</v>
      </c>
      <c r="E177" s="3" t="s">
        <v>43</v>
      </c>
      <c r="F177" s="3" t="s">
        <v>32</v>
      </c>
      <c r="G177" s="3" t="s">
        <v>47</v>
      </c>
      <c r="H177" s="3" t="s">
        <v>48</v>
      </c>
      <c r="I177" s="5">
        <v>8847.27</v>
      </c>
      <c r="J177" s="4">
        <v>9</v>
      </c>
      <c r="K177" s="1">
        <v>5</v>
      </c>
      <c r="L177" s="4">
        <v>581.4</v>
      </c>
      <c r="M177" s="3" t="s">
        <v>28</v>
      </c>
      <c r="N177" s="3" t="s">
        <v>22</v>
      </c>
    </row>
    <row r="178" spans="1:14" x14ac:dyDescent="0.3">
      <c r="A178" s="3" t="s">
        <v>258</v>
      </c>
      <c r="B178" s="2">
        <v>45665</v>
      </c>
      <c r="C178" s="3" t="s">
        <v>15</v>
      </c>
      <c r="D178" s="3" t="s">
        <v>38</v>
      </c>
      <c r="E178" s="3" t="s">
        <v>71</v>
      </c>
      <c r="F178" s="3" t="s">
        <v>62</v>
      </c>
      <c r="G178" s="3" t="s">
        <v>103</v>
      </c>
      <c r="H178" s="3" t="s">
        <v>104</v>
      </c>
      <c r="I178" s="5">
        <v>2469.96</v>
      </c>
      <c r="J178" s="4">
        <v>3</v>
      </c>
      <c r="K178" s="1">
        <v>10</v>
      </c>
      <c r="L178" s="4">
        <v>531.04</v>
      </c>
      <c r="M178" s="3" t="s">
        <v>28</v>
      </c>
      <c r="N178" s="3" t="s">
        <v>22</v>
      </c>
    </row>
    <row r="179" spans="1:14" x14ac:dyDescent="0.3">
      <c r="A179" s="3" t="s">
        <v>259</v>
      </c>
      <c r="B179" s="2">
        <v>45573</v>
      </c>
      <c r="C179" s="3" t="s">
        <v>99</v>
      </c>
      <c r="D179" s="3" t="s">
        <v>38</v>
      </c>
      <c r="E179" s="3" t="s">
        <v>71</v>
      </c>
      <c r="F179" s="3" t="s">
        <v>32</v>
      </c>
      <c r="G179" s="3" t="s">
        <v>33</v>
      </c>
      <c r="H179" s="3" t="s">
        <v>34</v>
      </c>
      <c r="I179" s="5">
        <v>10313.73</v>
      </c>
      <c r="J179" s="4">
        <v>7</v>
      </c>
      <c r="K179" s="1">
        <v>3</v>
      </c>
      <c r="L179" s="4">
        <v>597.27</v>
      </c>
      <c r="M179" s="3" t="s">
        <v>21</v>
      </c>
      <c r="N179" s="3" t="s">
        <v>22</v>
      </c>
    </row>
    <row r="180" spans="1:14" x14ac:dyDescent="0.3">
      <c r="A180" s="3" t="s">
        <v>260</v>
      </c>
      <c r="B180" s="2">
        <v>45453</v>
      </c>
      <c r="C180" s="3" t="s">
        <v>101</v>
      </c>
      <c r="D180" s="3" t="s">
        <v>56</v>
      </c>
      <c r="E180" s="3" t="s">
        <v>57</v>
      </c>
      <c r="F180" s="3" t="s">
        <v>32</v>
      </c>
      <c r="G180" s="3" t="s">
        <v>112</v>
      </c>
      <c r="H180" s="3" t="s">
        <v>113</v>
      </c>
      <c r="I180" s="5">
        <v>101.77</v>
      </c>
      <c r="J180" s="4">
        <v>1</v>
      </c>
      <c r="K180" s="1">
        <v>6</v>
      </c>
      <c r="L180" s="4">
        <v>8.2899999999999991</v>
      </c>
      <c r="M180" s="3" t="s">
        <v>28</v>
      </c>
      <c r="N180" s="3" t="s">
        <v>35</v>
      </c>
    </row>
    <row r="181" spans="1:14" x14ac:dyDescent="0.3">
      <c r="A181" s="3" t="s">
        <v>261</v>
      </c>
      <c r="B181" s="2">
        <v>45735</v>
      </c>
      <c r="C181" s="3" t="s">
        <v>86</v>
      </c>
      <c r="D181" s="3" t="s">
        <v>16</v>
      </c>
      <c r="E181" s="3" t="s">
        <v>17</v>
      </c>
      <c r="F181" s="3" t="s">
        <v>18</v>
      </c>
      <c r="G181" s="3" t="s">
        <v>26</v>
      </c>
      <c r="H181" s="3" t="s">
        <v>27</v>
      </c>
      <c r="I181" s="5">
        <v>3335.01</v>
      </c>
      <c r="J181" s="4">
        <v>7</v>
      </c>
      <c r="K181" s="1">
        <v>14</v>
      </c>
      <c r="L181" s="4">
        <v>259.43</v>
      </c>
      <c r="M181" s="3" t="s">
        <v>21</v>
      </c>
      <c r="N181" s="3" t="s">
        <v>35</v>
      </c>
    </row>
    <row r="182" spans="1:14" x14ac:dyDescent="0.3">
      <c r="A182" s="3" t="s">
        <v>262</v>
      </c>
      <c r="B182" s="2">
        <v>45453</v>
      </c>
      <c r="C182" s="3" t="s">
        <v>70</v>
      </c>
      <c r="D182" s="3" t="s">
        <v>89</v>
      </c>
      <c r="E182" s="3" t="s">
        <v>116</v>
      </c>
      <c r="F182" s="3" t="s">
        <v>18</v>
      </c>
      <c r="G182" s="3" t="s">
        <v>26</v>
      </c>
      <c r="H182" s="3" t="s">
        <v>27</v>
      </c>
      <c r="I182" s="5">
        <v>13470.31</v>
      </c>
      <c r="J182" s="4">
        <v>7</v>
      </c>
      <c r="K182" s="1">
        <v>12</v>
      </c>
      <c r="L182" s="4">
        <v>1078.8900000000001</v>
      </c>
      <c r="M182" s="3" t="s">
        <v>51</v>
      </c>
      <c r="N182" s="3" t="s">
        <v>44</v>
      </c>
    </row>
    <row r="183" spans="1:14" x14ac:dyDescent="0.3">
      <c r="A183" s="3" t="s">
        <v>263</v>
      </c>
      <c r="B183" s="2">
        <v>45517</v>
      </c>
      <c r="C183" s="3" t="s">
        <v>75</v>
      </c>
      <c r="D183" s="3" t="s">
        <v>16</v>
      </c>
      <c r="E183" s="3" t="s">
        <v>17</v>
      </c>
      <c r="F183" s="3" t="s">
        <v>32</v>
      </c>
      <c r="G183" s="3" t="s">
        <v>112</v>
      </c>
      <c r="H183" s="3" t="s">
        <v>113</v>
      </c>
      <c r="I183" s="5">
        <v>2413.6799999999998</v>
      </c>
      <c r="J183" s="4">
        <v>2</v>
      </c>
      <c r="K183" s="1">
        <v>16</v>
      </c>
      <c r="L183" s="4">
        <v>223.22</v>
      </c>
      <c r="M183" s="3" t="s">
        <v>28</v>
      </c>
      <c r="N183" s="3" t="s">
        <v>44</v>
      </c>
    </row>
    <row r="184" spans="1:14" x14ac:dyDescent="0.3">
      <c r="A184" s="3" t="s">
        <v>264</v>
      </c>
      <c r="B184" s="2">
        <v>45748</v>
      </c>
      <c r="C184" s="3" t="s">
        <v>24</v>
      </c>
      <c r="D184" s="3" t="s">
        <v>89</v>
      </c>
      <c r="E184" s="3" t="s">
        <v>102</v>
      </c>
      <c r="F184" s="3" t="s">
        <v>32</v>
      </c>
      <c r="G184" s="3" t="s">
        <v>58</v>
      </c>
      <c r="H184" s="3" t="s">
        <v>59</v>
      </c>
      <c r="I184" s="5">
        <v>7224.75</v>
      </c>
      <c r="J184" s="4">
        <v>5</v>
      </c>
      <c r="K184" s="1">
        <v>7.0000000000000009</v>
      </c>
      <c r="L184" s="4">
        <v>896.59</v>
      </c>
      <c r="M184" s="3" t="s">
        <v>51</v>
      </c>
      <c r="N184" s="3" t="s">
        <v>40</v>
      </c>
    </row>
    <row r="185" spans="1:14" x14ac:dyDescent="0.3">
      <c r="A185" s="3" t="s">
        <v>265</v>
      </c>
      <c r="B185" s="2">
        <v>45475</v>
      </c>
      <c r="C185" s="3" t="s">
        <v>24</v>
      </c>
      <c r="D185" s="3" t="s">
        <v>56</v>
      </c>
      <c r="E185" s="3" t="s">
        <v>61</v>
      </c>
      <c r="F185" s="3" t="s">
        <v>18</v>
      </c>
      <c r="G185" s="3" t="s">
        <v>26</v>
      </c>
      <c r="H185" s="3" t="s">
        <v>27</v>
      </c>
      <c r="I185" s="5">
        <v>2271.2800000000002</v>
      </c>
      <c r="J185" s="4">
        <v>2</v>
      </c>
      <c r="K185" s="1">
        <v>13</v>
      </c>
      <c r="L185" s="4">
        <v>376.88</v>
      </c>
      <c r="M185" s="3" t="s">
        <v>21</v>
      </c>
      <c r="N185" s="3" t="s">
        <v>35</v>
      </c>
    </row>
    <row r="186" spans="1:14" x14ac:dyDescent="0.3">
      <c r="A186" s="3" t="s">
        <v>266</v>
      </c>
      <c r="B186" s="2">
        <v>45570</v>
      </c>
      <c r="C186" s="3" t="s">
        <v>37</v>
      </c>
      <c r="D186" s="3" t="s">
        <v>89</v>
      </c>
      <c r="E186" s="3" t="s">
        <v>102</v>
      </c>
      <c r="F186" s="3" t="s">
        <v>62</v>
      </c>
      <c r="G186" s="3" t="s">
        <v>67</v>
      </c>
      <c r="H186" s="3" t="s">
        <v>68</v>
      </c>
      <c r="I186" s="5">
        <v>3736.77</v>
      </c>
      <c r="J186" s="4">
        <v>3</v>
      </c>
      <c r="K186" s="1">
        <v>3</v>
      </c>
      <c r="L186" s="4">
        <v>520.99</v>
      </c>
      <c r="M186" s="3" t="s">
        <v>21</v>
      </c>
      <c r="N186" s="3" t="s">
        <v>44</v>
      </c>
    </row>
    <row r="187" spans="1:14" x14ac:dyDescent="0.3">
      <c r="A187" s="3" t="s">
        <v>267</v>
      </c>
      <c r="B187" s="2">
        <v>45644</v>
      </c>
      <c r="C187" s="3" t="s">
        <v>66</v>
      </c>
      <c r="D187" s="3" t="s">
        <v>16</v>
      </c>
      <c r="E187" s="3" t="s">
        <v>25</v>
      </c>
      <c r="F187" s="3" t="s">
        <v>62</v>
      </c>
      <c r="G187" s="3" t="s">
        <v>103</v>
      </c>
      <c r="H187" s="3" t="s">
        <v>104</v>
      </c>
      <c r="I187" s="5">
        <v>1517</v>
      </c>
      <c r="J187" s="4">
        <v>5</v>
      </c>
      <c r="K187" s="1">
        <v>19</v>
      </c>
      <c r="L187" s="4">
        <v>124.92</v>
      </c>
      <c r="M187" s="3" t="s">
        <v>51</v>
      </c>
      <c r="N187" s="3" t="s">
        <v>35</v>
      </c>
    </row>
    <row r="188" spans="1:14" x14ac:dyDescent="0.3">
      <c r="A188" s="3" t="s">
        <v>268</v>
      </c>
      <c r="B188" s="2">
        <v>45494</v>
      </c>
      <c r="C188" s="3" t="s">
        <v>73</v>
      </c>
      <c r="D188" s="3" t="s">
        <v>16</v>
      </c>
      <c r="E188" s="3" t="s">
        <v>17</v>
      </c>
      <c r="F188" s="3" t="s">
        <v>32</v>
      </c>
      <c r="G188" s="3" t="s">
        <v>58</v>
      </c>
      <c r="H188" s="3" t="s">
        <v>59</v>
      </c>
      <c r="I188" s="5">
        <v>17223.3</v>
      </c>
      <c r="J188" s="4">
        <v>9</v>
      </c>
      <c r="K188" s="1">
        <v>6</v>
      </c>
      <c r="L188" s="4">
        <v>2658.31</v>
      </c>
      <c r="M188" s="3" t="s">
        <v>28</v>
      </c>
      <c r="N188" s="3" t="s">
        <v>35</v>
      </c>
    </row>
    <row r="189" spans="1:14" x14ac:dyDescent="0.3">
      <c r="A189" s="3" t="s">
        <v>269</v>
      </c>
      <c r="B189" s="2">
        <v>45540</v>
      </c>
      <c r="C189" s="3" t="s">
        <v>73</v>
      </c>
      <c r="D189" s="3" t="s">
        <v>16</v>
      </c>
      <c r="E189" s="3" t="s">
        <v>25</v>
      </c>
      <c r="F189" s="3" t="s">
        <v>62</v>
      </c>
      <c r="G189" s="3" t="s">
        <v>63</v>
      </c>
      <c r="H189" s="3" t="s">
        <v>64</v>
      </c>
      <c r="I189" s="5">
        <v>10844.9</v>
      </c>
      <c r="J189" s="4">
        <v>10</v>
      </c>
      <c r="K189" s="1">
        <v>2</v>
      </c>
      <c r="L189" s="4">
        <v>2260.62</v>
      </c>
      <c r="M189" s="3" t="s">
        <v>21</v>
      </c>
      <c r="N189" s="3" t="s">
        <v>35</v>
      </c>
    </row>
    <row r="190" spans="1:14" x14ac:dyDescent="0.3">
      <c r="A190" s="3" t="s">
        <v>270</v>
      </c>
      <c r="B190" s="2">
        <v>45645</v>
      </c>
      <c r="C190" s="3" t="s">
        <v>101</v>
      </c>
      <c r="D190" s="3" t="s">
        <v>38</v>
      </c>
      <c r="E190" s="3" t="s">
        <v>53</v>
      </c>
      <c r="F190" s="3" t="s">
        <v>62</v>
      </c>
      <c r="G190" s="3" t="s">
        <v>103</v>
      </c>
      <c r="H190" s="3" t="s">
        <v>104</v>
      </c>
      <c r="I190" s="5">
        <v>9623.16</v>
      </c>
      <c r="J190" s="4">
        <v>9</v>
      </c>
      <c r="K190" s="1">
        <v>12</v>
      </c>
      <c r="L190" s="4">
        <v>1197.52</v>
      </c>
      <c r="M190" s="3" t="s">
        <v>51</v>
      </c>
      <c r="N190" s="3" t="s">
        <v>40</v>
      </c>
    </row>
    <row r="191" spans="1:14" x14ac:dyDescent="0.3">
      <c r="A191" s="3" t="s">
        <v>271</v>
      </c>
      <c r="B191" s="2">
        <v>45738</v>
      </c>
      <c r="C191" s="3" t="s">
        <v>99</v>
      </c>
      <c r="D191" s="3" t="s">
        <v>56</v>
      </c>
      <c r="E191" s="3" t="s">
        <v>108</v>
      </c>
      <c r="F191" s="3" t="s">
        <v>32</v>
      </c>
      <c r="G191" s="3" t="s">
        <v>58</v>
      </c>
      <c r="H191" s="3" t="s">
        <v>59</v>
      </c>
      <c r="I191" s="5">
        <v>3266.86</v>
      </c>
      <c r="J191" s="4">
        <v>2</v>
      </c>
      <c r="K191" s="1">
        <v>3</v>
      </c>
      <c r="L191" s="4">
        <v>415.14</v>
      </c>
      <c r="M191" s="3" t="s">
        <v>21</v>
      </c>
      <c r="N191" s="3" t="s">
        <v>22</v>
      </c>
    </row>
    <row r="192" spans="1:14" x14ac:dyDescent="0.3">
      <c r="A192" s="3" t="s">
        <v>272</v>
      </c>
      <c r="B192" s="2">
        <v>45738</v>
      </c>
      <c r="C192" s="3" t="s">
        <v>75</v>
      </c>
      <c r="D192" s="3" t="s">
        <v>16</v>
      </c>
      <c r="E192" s="3" t="s">
        <v>31</v>
      </c>
      <c r="F192" s="3" t="s">
        <v>32</v>
      </c>
      <c r="G192" s="3" t="s">
        <v>58</v>
      </c>
      <c r="H192" s="3" t="s">
        <v>59</v>
      </c>
      <c r="I192" s="5">
        <v>4641.6499999999996</v>
      </c>
      <c r="J192" s="4">
        <v>5</v>
      </c>
      <c r="K192" s="1">
        <v>3</v>
      </c>
      <c r="L192" s="4">
        <v>662.36</v>
      </c>
      <c r="M192" s="3" t="s">
        <v>21</v>
      </c>
      <c r="N192" s="3" t="s">
        <v>22</v>
      </c>
    </row>
    <row r="193" spans="1:14" x14ac:dyDescent="0.3">
      <c r="A193" s="3" t="s">
        <v>273</v>
      </c>
      <c r="B193" s="2">
        <v>45595</v>
      </c>
      <c r="C193" s="3" t="s">
        <v>101</v>
      </c>
      <c r="D193" s="3" t="s">
        <v>38</v>
      </c>
      <c r="E193" s="3" t="s">
        <v>53</v>
      </c>
      <c r="F193" s="3" t="s">
        <v>32</v>
      </c>
      <c r="G193" s="3" t="s">
        <v>47</v>
      </c>
      <c r="H193" s="3" t="s">
        <v>48</v>
      </c>
      <c r="I193" s="5">
        <v>11174.49</v>
      </c>
      <c r="J193" s="4">
        <v>9</v>
      </c>
      <c r="K193" s="1">
        <v>23</v>
      </c>
      <c r="L193" s="4">
        <v>2088.23</v>
      </c>
      <c r="M193" s="3" t="s">
        <v>51</v>
      </c>
      <c r="N193" s="3" t="s">
        <v>44</v>
      </c>
    </row>
    <row r="194" spans="1:14" x14ac:dyDescent="0.3">
      <c r="A194" s="3" t="s">
        <v>274</v>
      </c>
      <c r="B194" s="2">
        <v>45450</v>
      </c>
      <c r="C194" s="3" t="s">
        <v>86</v>
      </c>
      <c r="D194" s="3" t="s">
        <v>56</v>
      </c>
      <c r="E194" s="3" t="s">
        <v>57</v>
      </c>
      <c r="F194" s="3" t="s">
        <v>32</v>
      </c>
      <c r="G194" s="3" t="s">
        <v>58</v>
      </c>
      <c r="H194" s="3" t="s">
        <v>59</v>
      </c>
      <c r="I194" s="5">
        <v>2500.3200000000002</v>
      </c>
      <c r="J194" s="4">
        <v>8</v>
      </c>
      <c r="K194" s="1">
        <v>14</v>
      </c>
      <c r="L194" s="4">
        <v>273.24</v>
      </c>
      <c r="M194" s="3" t="s">
        <v>28</v>
      </c>
      <c r="N194" s="3" t="s">
        <v>35</v>
      </c>
    </row>
    <row r="195" spans="1:14" x14ac:dyDescent="0.3">
      <c r="A195" s="3" t="s">
        <v>275</v>
      </c>
      <c r="B195" s="2">
        <v>45677</v>
      </c>
      <c r="C195" s="3" t="s">
        <v>84</v>
      </c>
      <c r="D195" s="3" t="s">
        <v>89</v>
      </c>
      <c r="E195" s="3" t="s">
        <v>90</v>
      </c>
      <c r="F195" s="3" t="s">
        <v>18</v>
      </c>
      <c r="G195" s="3" t="s">
        <v>19</v>
      </c>
      <c r="H195" s="3" t="s">
        <v>20</v>
      </c>
      <c r="I195" s="5">
        <v>2427.1999999999998</v>
      </c>
      <c r="J195" s="4">
        <v>4</v>
      </c>
      <c r="K195" s="1">
        <v>9</v>
      </c>
      <c r="L195" s="4">
        <v>335.5</v>
      </c>
      <c r="M195" s="3" t="s">
        <v>51</v>
      </c>
      <c r="N195" s="3" t="s">
        <v>44</v>
      </c>
    </row>
    <row r="196" spans="1:14" x14ac:dyDescent="0.3">
      <c r="A196" s="3" t="s">
        <v>276</v>
      </c>
      <c r="B196" s="2">
        <v>45574</v>
      </c>
      <c r="C196" s="3" t="s">
        <v>30</v>
      </c>
      <c r="D196" s="3" t="s">
        <v>89</v>
      </c>
      <c r="E196" s="3" t="s">
        <v>90</v>
      </c>
      <c r="F196" s="3" t="s">
        <v>62</v>
      </c>
      <c r="G196" s="3" t="s">
        <v>63</v>
      </c>
      <c r="H196" s="3" t="s">
        <v>64</v>
      </c>
      <c r="I196" s="5">
        <v>19110</v>
      </c>
      <c r="J196" s="4">
        <v>10</v>
      </c>
      <c r="K196" s="1">
        <v>22</v>
      </c>
      <c r="L196" s="4">
        <v>1844.09</v>
      </c>
      <c r="M196" s="3" t="s">
        <v>21</v>
      </c>
      <c r="N196" s="3" t="s">
        <v>22</v>
      </c>
    </row>
    <row r="197" spans="1:14" x14ac:dyDescent="0.3">
      <c r="A197" s="3" t="s">
        <v>277</v>
      </c>
      <c r="B197" s="2">
        <v>45473</v>
      </c>
      <c r="C197" s="3" t="s">
        <v>84</v>
      </c>
      <c r="D197" s="3" t="s">
        <v>56</v>
      </c>
      <c r="E197" s="3" t="s">
        <v>108</v>
      </c>
      <c r="F197" s="3" t="s">
        <v>18</v>
      </c>
      <c r="G197" s="3" t="s">
        <v>26</v>
      </c>
      <c r="H197" s="3" t="s">
        <v>27</v>
      </c>
      <c r="I197" s="5">
        <v>3605.9</v>
      </c>
      <c r="J197" s="4">
        <v>2</v>
      </c>
      <c r="K197" s="1">
        <v>1</v>
      </c>
      <c r="L197" s="4">
        <v>544.07000000000005</v>
      </c>
      <c r="M197" s="3" t="s">
        <v>21</v>
      </c>
      <c r="N197" s="3" t="s">
        <v>35</v>
      </c>
    </row>
    <row r="198" spans="1:14" x14ac:dyDescent="0.3">
      <c r="A198" s="3" t="s">
        <v>278</v>
      </c>
      <c r="B198" s="2">
        <v>45504</v>
      </c>
      <c r="C198" s="3" t="s">
        <v>66</v>
      </c>
      <c r="D198" s="3" t="s">
        <v>89</v>
      </c>
      <c r="E198" s="3" t="s">
        <v>140</v>
      </c>
      <c r="F198" s="3" t="s">
        <v>32</v>
      </c>
      <c r="G198" s="3" t="s">
        <v>58</v>
      </c>
      <c r="H198" s="3" t="s">
        <v>59</v>
      </c>
      <c r="I198" s="5">
        <v>12837.7</v>
      </c>
      <c r="J198" s="4">
        <v>10</v>
      </c>
      <c r="K198" s="1">
        <v>3</v>
      </c>
      <c r="L198" s="4">
        <v>2477.79</v>
      </c>
      <c r="M198" s="3" t="s">
        <v>51</v>
      </c>
      <c r="N198" s="3" t="s">
        <v>44</v>
      </c>
    </row>
    <row r="199" spans="1:14" x14ac:dyDescent="0.3">
      <c r="A199" s="3" t="s">
        <v>279</v>
      </c>
      <c r="B199" s="2">
        <v>45770</v>
      </c>
      <c r="C199" s="3" t="s">
        <v>133</v>
      </c>
      <c r="D199" s="3" t="s">
        <v>16</v>
      </c>
      <c r="E199" s="3" t="s">
        <v>25</v>
      </c>
      <c r="F199" s="3" t="s">
        <v>18</v>
      </c>
      <c r="G199" s="3" t="s">
        <v>26</v>
      </c>
      <c r="H199" s="3" t="s">
        <v>27</v>
      </c>
      <c r="I199" s="5">
        <v>4183.8999999999996</v>
      </c>
      <c r="J199" s="4">
        <v>7</v>
      </c>
      <c r="K199" s="1">
        <v>16</v>
      </c>
      <c r="L199" s="4">
        <v>700.63</v>
      </c>
      <c r="M199" s="3" t="s">
        <v>28</v>
      </c>
      <c r="N199" s="3" t="s">
        <v>44</v>
      </c>
    </row>
    <row r="200" spans="1:14" x14ac:dyDescent="0.3">
      <c r="A200" s="3" t="s">
        <v>280</v>
      </c>
      <c r="B200" s="2">
        <v>45602</v>
      </c>
      <c r="C200" s="3" t="s">
        <v>73</v>
      </c>
      <c r="D200" s="3" t="s">
        <v>56</v>
      </c>
      <c r="E200" s="3" t="s">
        <v>108</v>
      </c>
      <c r="F200" s="3" t="s">
        <v>32</v>
      </c>
      <c r="G200" s="3" t="s">
        <v>33</v>
      </c>
      <c r="H200" s="3" t="s">
        <v>34</v>
      </c>
      <c r="I200" s="5">
        <v>6681.15</v>
      </c>
      <c r="J200" s="4">
        <v>9</v>
      </c>
      <c r="K200" s="1">
        <v>21</v>
      </c>
      <c r="L200" s="4">
        <v>1222.27</v>
      </c>
      <c r="M200" s="3" t="s">
        <v>21</v>
      </c>
      <c r="N200" s="3" t="s">
        <v>35</v>
      </c>
    </row>
    <row r="201" spans="1:14" x14ac:dyDescent="0.3">
      <c r="A201" s="3" t="s">
        <v>281</v>
      </c>
      <c r="B201" s="2">
        <v>45705</v>
      </c>
      <c r="C201" s="3" t="s">
        <v>50</v>
      </c>
      <c r="D201" s="3" t="s">
        <v>56</v>
      </c>
      <c r="E201" s="3" t="s">
        <v>61</v>
      </c>
      <c r="F201" s="3" t="s">
        <v>32</v>
      </c>
      <c r="G201" s="3" t="s">
        <v>47</v>
      </c>
      <c r="H201" s="3" t="s">
        <v>48</v>
      </c>
      <c r="I201" s="5">
        <v>2800.82</v>
      </c>
      <c r="J201" s="4">
        <v>2</v>
      </c>
      <c r="K201" s="1">
        <v>2</v>
      </c>
      <c r="L201" s="4">
        <v>675.93</v>
      </c>
      <c r="M201" s="3" t="s">
        <v>21</v>
      </c>
      <c r="N201" s="3" t="s">
        <v>35</v>
      </c>
    </row>
    <row r="202" spans="1:14" x14ac:dyDescent="0.3">
      <c r="A202" s="3" t="s">
        <v>282</v>
      </c>
      <c r="B202" s="2">
        <v>45499</v>
      </c>
      <c r="C202" s="3" t="s">
        <v>42</v>
      </c>
      <c r="D202" s="3" t="s">
        <v>38</v>
      </c>
      <c r="E202" s="3" t="s">
        <v>71</v>
      </c>
      <c r="F202" s="3" t="s">
        <v>62</v>
      </c>
      <c r="G202" s="3" t="s">
        <v>103</v>
      </c>
      <c r="H202" s="3" t="s">
        <v>104</v>
      </c>
      <c r="I202" s="5">
        <v>7698.16</v>
      </c>
      <c r="J202" s="4">
        <v>4</v>
      </c>
      <c r="K202" s="1">
        <v>8</v>
      </c>
      <c r="L202" s="4">
        <v>570.99</v>
      </c>
      <c r="M202" s="3" t="s">
        <v>21</v>
      </c>
      <c r="N202" s="3" t="s">
        <v>22</v>
      </c>
    </row>
    <row r="203" spans="1:14" x14ac:dyDescent="0.3">
      <c r="A203" s="3" t="s">
        <v>283</v>
      </c>
      <c r="B203" s="2">
        <v>45584</v>
      </c>
      <c r="C203" s="3" t="s">
        <v>75</v>
      </c>
      <c r="D203" s="3" t="s">
        <v>16</v>
      </c>
      <c r="E203" s="3" t="s">
        <v>17</v>
      </c>
      <c r="F203" s="3" t="s">
        <v>32</v>
      </c>
      <c r="G203" s="3" t="s">
        <v>33</v>
      </c>
      <c r="H203" s="3" t="s">
        <v>34</v>
      </c>
      <c r="I203" s="5">
        <v>10236.299999999999</v>
      </c>
      <c r="J203" s="4">
        <v>10</v>
      </c>
      <c r="K203" s="1">
        <v>11</v>
      </c>
      <c r="L203" s="4">
        <v>1226.0899999999999</v>
      </c>
      <c r="M203" s="3" t="s">
        <v>21</v>
      </c>
      <c r="N203" s="3" t="s">
        <v>35</v>
      </c>
    </row>
    <row r="204" spans="1:14" x14ac:dyDescent="0.3">
      <c r="A204" s="3" t="s">
        <v>284</v>
      </c>
      <c r="B204" s="2">
        <v>45698</v>
      </c>
      <c r="C204" s="3" t="s">
        <v>30</v>
      </c>
      <c r="D204" s="3" t="s">
        <v>89</v>
      </c>
      <c r="E204" s="3" t="s">
        <v>97</v>
      </c>
      <c r="F204" s="3" t="s">
        <v>32</v>
      </c>
      <c r="G204" s="3" t="s">
        <v>58</v>
      </c>
      <c r="H204" s="3" t="s">
        <v>59</v>
      </c>
      <c r="I204" s="5">
        <v>11839.1</v>
      </c>
      <c r="J204" s="4">
        <v>7</v>
      </c>
      <c r="K204" s="1">
        <v>19</v>
      </c>
      <c r="L204" s="4">
        <v>1919.48</v>
      </c>
      <c r="M204" s="3" t="s">
        <v>51</v>
      </c>
      <c r="N204" s="3" t="s">
        <v>40</v>
      </c>
    </row>
    <row r="205" spans="1:14" x14ac:dyDescent="0.3">
      <c r="A205" s="3" t="s">
        <v>285</v>
      </c>
      <c r="B205" s="2">
        <v>45688</v>
      </c>
      <c r="C205" s="3" t="s">
        <v>99</v>
      </c>
      <c r="D205" s="3" t="s">
        <v>56</v>
      </c>
      <c r="E205" s="3" t="s">
        <v>57</v>
      </c>
      <c r="F205" s="3" t="s">
        <v>18</v>
      </c>
      <c r="G205" s="3" t="s">
        <v>94</v>
      </c>
      <c r="H205" s="3" t="s">
        <v>95</v>
      </c>
      <c r="I205" s="5">
        <v>5352.92</v>
      </c>
      <c r="J205" s="4">
        <v>4</v>
      </c>
      <c r="K205" s="1">
        <v>7.0000000000000009</v>
      </c>
      <c r="L205" s="4">
        <v>839.31</v>
      </c>
      <c r="M205" s="3" t="s">
        <v>28</v>
      </c>
      <c r="N205" s="3" t="s">
        <v>44</v>
      </c>
    </row>
    <row r="206" spans="1:14" x14ac:dyDescent="0.3">
      <c r="A206" s="3" t="s">
        <v>286</v>
      </c>
      <c r="B206" s="2">
        <v>45706</v>
      </c>
      <c r="C206" s="3" t="s">
        <v>15</v>
      </c>
      <c r="D206" s="3" t="s">
        <v>16</v>
      </c>
      <c r="E206" s="3" t="s">
        <v>17</v>
      </c>
      <c r="F206" s="3" t="s">
        <v>18</v>
      </c>
      <c r="G206" s="3" t="s">
        <v>26</v>
      </c>
      <c r="H206" s="3" t="s">
        <v>27</v>
      </c>
      <c r="I206" s="5">
        <v>18896.599999999999</v>
      </c>
      <c r="J206" s="4">
        <v>10</v>
      </c>
      <c r="K206" s="1">
        <v>7.0000000000000009</v>
      </c>
      <c r="L206" s="4">
        <v>1483.08</v>
      </c>
      <c r="M206" s="3" t="s">
        <v>28</v>
      </c>
      <c r="N206" s="3" t="s">
        <v>22</v>
      </c>
    </row>
    <row r="207" spans="1:14" x14ac:dyDescent="0.3">
      <c r="A207" s="3" t="s">
        <v>287</v>
      </c>
      <c r="B207" s="2">
        <v>45452</v>
      </c>
      <c r="C207" s="3" t="s">
        <v>66</v>
      </c>
      <c r="D207" s="3" t="s">
        <v>89</v>
      </c>
      <c r="E207" s="3" t="s">
        <v>97</v>
      </c>
      <c r="F207" s="3" t="s">
        <v>62</v>
      </c>
      <c r="G207" s="3" t="s">
        <v>103</v>
      </c>
      <c r="H207" s="3" t="s">
        <v>104</v>
      </c>
      <c r="I207" s="5">
        <v>1281.1500000000001</v>
      </c>
      <c r="J207" s="4">
        <v>1</v>
      </c>
      <c r="K207" s="1">
        <v>13</v>
      </c>
      <c r="L207" s="4">
        <v>269.27</v>
      </c>
      <c r="M207" s="3" t="s">
        <v>21</v>
      </c>
      <c r="N207" s="3" t="s">
        <v>35</v>
      </c>
    </row>
    <row r="208" spans="1:14" x14ac:dyDescent="0.3">
      <c r="A208" s="3" t="s">
        <v>288</v>
      </c>
      <c r="B208" s="2">
        <v>45661</v>
      </c>
      <c r="C208" s="3" t="s">
        <v>75</v>
      </c>
      <c r="D208" s="3" t="s">
        <v>38</v>
      </c>
      <c r="E208" s="3" t="s">
        <v>39</v>
      </c>
      <c r="F208" s="3" t="s">
        <v>32</v>
      </c>
      <c r="G208" s="3" t="s">
        <v>58</v>
      </c>
      <c r="H208" s="3" t="s">
        <v>59</v>
      </c>
      <c r="I208" s="5">
        <v>1060.56</v>
      </c>
      <c r="J208" s="4">
        <v>8</v>
      </c>
      <c r="K208" s="1">
        <v>23</v>
      </c>
      <c r="L208" s="4">
        <v>46.17</v>
      </c>
      <c r="M208" s="3" t="s">
        <v>51</v>
      </c>
      <c r="N208" s="3" t="s">
        <v>40</v>
      </c>
    </row>
    <row r="209" spans="1:14" x14ac:dyDescent="0.3">
      <c r="A209" s="3" t="s">
        <v>289</v>
      </c>
      <c r="B209" s="2">
        <v>45523</v>
      </c>
      <c r="C209" s="3" t="s">
        <v>101</v>
      </c>
      <c r="D209" s="3" t="s">
        <v>16</v>
      </c>
      <c r="E209" s="3" t="s">
        <v>17</v>
      </c>
      <c r="F209" s="3" t="s">
        <v>32</v>
      </c>
      <c r="G209" s="3" t="s">
        <v>58</v>
      </c>
      <c r="H209" s="3" t="s">
        <v>59</v>
      </c>
      <c r="I209" s="5">
        <v>17271.36</v>
      </c>
      <c r="J209" s="4">
        <v>9</v>
      </c>
      <c r="K209" s="1">
        <v>19</v>
      </c>
      <c r="L209" s="4">
        <v>1929.15</v>
      </c>
      <c r="M209" s="3" t="s">
        <v>28</v>
      </c>
      <c r="N209" s="3" t="s">
        <v>22</v>
      </c>
    </row>
    <row r="210" spans="1:14" x14ac:dyDescent="0.3">
      <c r="A210" s="3" t="s">
        <v>290</v>
      </c>
      <c r="B210" s="2">
        <v>45758</v>
      </c>
      <c r="C210" s="3" t="s">
        <v>50</v>
      </c>
      <c r="D210" s="3" t="s">
        <v>56</v>
      </c>
      <c r="E210" s="3" t="s">
        <v>108</v>
      </c>
      <c r="F210" s="3" t="s">
        <v>62</v>
      </c>
      <c r="G210" s="3" t="s">
        <v>80</v>
      </c>
      <c r="H210" s="3" t="s">
        <v>81</v>
      </c>
      <c r="I210" s="5">
        <v>4685.04</v>
      </c>
      <c r="J210" s="4">
        <v>8</v>
      </c>
      <c r="K210" s="1">
        <v>7.0000000000000009</v>
      </c>
      <c r="L210" s="4">
        <v>271.33</v>
      </c>
      <c r="M210" s="3" t="s">
        <v>28</v>
      </c>
      <c r="N210" s="3" t="s">
        <v>35</v>
      </c>
    </row>
    <row r="211" spans="1:14" x14ac:dyDescent="0.3">
      <c r="A211" s="3" t="s">
        <v>291</v>
      </c>
      <c r="B211" s="2">
        <v>45547</v>
      </c>
      <c r="C211" s="3" t="s">
        <v>24</v>
      </c>
      <c r="D211" s="3" t="s">
        <v>16</v>
      </c>
      <c r="E211" s="3" t="s">
        <v>25</v>
      </c>
      <c r="F211" s="3" t="s">
        <v>62</v>
      </c>
      <c r="G211" s="3" t="s">
        <v>103</v>
      </c>
      <c r="H211" s="3" t="s">
        <v>104</v>
      </c>
      <c r="I211" s="5">
        <v>6836.25</v>
      </c>
      <c r="J211" s="4">
        <v>5</v>
      </c>
      <c r="K211" s="1">
        <v>23</v>
      </c>
      <c r="L211" s="4">
        <v>577.97</v>
      </c>
      <c r="M211" s="3" t="s">
        <v>21</v>
      </c>
      <c r="N211" s="3" t="s">
        <v>22</v>
      </c>
    </row>
    <row r="212" spans="1:14" x14ac:dyDescent="0.3">
      <c r="A212" s="3" t="s">
        <v>292</v>
      </c>
      <c r="B212" s="2">
        <v>45579</v>
      </c>
      <c r="C212" s="3" t="s">
        <v>24</v>
      </c>
      <c r="D212" s="3" t="s">
        <v>38</v>
      </c>
      <c r="E212" s="3" t="s">
        <v>43</v>
      </c>
      <c r="F212" s="3" t="s">
        <v>18</v>
      </c>
      <c r="G212" s="3" t="s">
        <v>76</v>
      </c>
      <c r="H212" s="3" t="s">
        <v>77</v>
      </c>
      <c r="I212" s="5">
        <v>215.93</v>
      </c>
      <c r="J212" s="4">
        <v>1</v>
      </c>
      <c r="K212" s="1">
        <v>3</v>
      </c>
      <c r="L212" s="4">
        <v>49.7</v>
      </c>
      <c r="M212" s="3" t="s">
        <v>21</v>
      </c>
      <c r="N212" s="3" t="s">
        <v>40</v>
      </c>
    </row>
    <row r="213" spans="1:14" x14ac:dyDescent="0.3">
      <c r="A213" s="3" t="s">
        <v>293</v>
      </c>
      <c r="B213" s="2">
        <v>45684</v>
      </c>
      <c r="C213" s="3" t="s">
        <v>84</v>
      </c>
      <c r="D213" s="3" t="s">
        <v>89</v>
      </c>
      <c r="E213" s="3" t="s">
        <v>97</v>
      </c>
      <c r="F213" s="3" t="s">
        <v>32</v>
      </c>
      <c r="G213" s="3" t="s">
        <v>47</v>
      </c>
      <c r="H213" s="3" t="s">
        <v>48</v>
      </c>
      <c r="I213" s="5">
        <v>14407.38</v>
      </c>
      <c r="J213" s="4">
        <v>9</v>
      </c>
      <c r="K213" s="1">
        <v>22</v>
      </c>
      <c r="L213" s="4">
        <v>1182.69</v>
      </c>
      <c r="M213" s="3" t="s">
        <v>28</v>
      </c>
      <c r="N213" s="3" t="s">
        <v>22</v>
      </c>
    </row>
    <row r="214" spans="1:14" x14ac:dyDescent="0.3">
      <c r="A214" s="3" t="s">
        <v>294</v>
      </c>
      <c r="B214" s="2">
        <v>45625</v>
      </c>
      <c r="C214" s="3" t="s">
        <v>133</v>
      </c>
      <c r="D214" s="3" t="s">
        <v>38</v>
      </c>
      <c r="E214" s="3" t="s">
        <v>71</v>
      </c>
      <c r="F214" s="3" t="s">
        <v>62</v>
      </c>
      <c r="G214" s="3" t="s">
        <v>80</v>
      </c>
      <c r="H214" s="3" t="s">
        <v>81</v>
      </c>
      <c r="I214" s="5">
        <v>10486.8</v>
      </c>
      <c r="J214" s="4">
        <v>6</v>
      </c>
      <c r="K214" s="1">
        <v>23</v>
      </c>
      <c r="L214" s="4">
        <v>1813.34</v>
      </c>
      <c r="M214" s="3" t="s">
        <v>28</v>
      </c>
      <c r="N214" s="3" t="s">
        <v>44</v>
      </c>
    </row>
    <row r="215" spans="1:14" x14ac:dyDescent="0.3">
      <c r="A215" s="3" t="s">
        <v>295</v>
      </c>
      <c r="B215" s="2">
        <v>45558</v>
      </c>
      <c r="C215" s="3" t="s">
        <v>37</v>
      </c>
      <c r="D215" s="3" t="s">
        <v>16</v>
      </c>
      <c r="E215" s="3" t="s">
        <v>31</v>
      </c>
      <c r="F215" s="3" t="s">
        <v>18</v>
      </c>
      <c r="G215" s="3" t="s">
        <v>76</v>
      </c>
      <c r="H215" s="3" t="s">
        <v>77</v>
      </c>
      <c r="I215" s="5">
        <v>4445.3500000000004</v>
      </c>
      <c r="J215" s="4">
        <v>7</v>
      </c>
      <c r="K215" s="1">
        <v>16</v>
      </c>
      <c r="L215" s="4">
        <v>877.73</v>
      </c>
      <c r="M215" s="3" t="s">
        <v>51</v>
      </c>
      <c r="N215" s="3" t="s">
        <v>44</v>
      </c>
    </row>
    <row r="216" spans="1:14" x14ac:dyDescent="0.3">
      <c r="A216" s="3" t="s">
        <v>296</v>
      </c>
      <c r="B216" s="2">
        <v>45623</v>
      </c>
      <c r="C216" s="3" t="s">
        <v>50</v>
      </c>
      <c r="D216" s="3" t="s">
        <v>38</v>
      </c>
      <c r="E216" s="3" t="s">
        <v>53</v>
      </c>
      <c r="F216" s="3" t="s">
        <v>62</v>
      </c>
      <c r="G216" s="3" t="s">
        <v>67</v>
      </c>
      <c r="H216" s="3" t="s">
        <v>68</v>
      </c>
      <c r="I216" s="5">
        <v>7692.25</v>
      </c>
      <c r="J216" s="4">
        <v>5</v>
      </c>
      <c r="K216" s="1">
        <v>16</v>
      </c>
      <c r="L216" s="4">
        <v>1235.53</v>
      </c>
      <c r="M216" s="3" t="s">
        <v>28</v>
      </c>
      <c r="N216" s="3" t="s">
        <v>35</v>
      </c>
    </row>
    <row r="217" spans="1:14" x14ac:dyDescent="0.3">
      <c r="A217" s="3" t="s">
        <v>297</v>
      </c>
      <c r="B217" s="2">
        <v>45549</v>
      </c>
      <c r="C217" s="3" t="s">
        <v>99</v>
      </c>
      <c r="D217" s="3" t="s">
        <v>56</v>
      </c>
      <c r="E217" s="3" t="s">
        <v>57</v>
      </c>
      <c r="F217" s="3" t="s">
        <v>18</v>
      </c>
      <c r="G217" s="3" t="s">
        <v>19</v>
      </c>
      <c r="H217" s="3" t="s">
        <v>20</v>
      </c>
      <c r="I217" s="5">
        <v>3414.66</v>
      </c>
      <c r="J217" s="4">
        <v>2</v>
      </c>
      <c r="K217" s="1">
        <v>18</v>
      </c>
      <c r="L217" s="4">
        <v>328.18</v>
      </c>
      <c r="M217" s="3" t="s">
        <v>51</v>
      </c>
      <c r="N217" s="3" t="s">
        <v>40</v>
      </c>
    </row>
    <row r="218" spans="1:14" x14ac:dyDescent="0.3">
      <c r="A218" s="3" t="s">
        <v>298</v>
      </c>
      <c r="B218" s="2">
        <v>45629</v>
      </c>
      <c r="C218" s="3" t="s">
        <v>30</v>
      </c>
      <c r="D218" s="3" t="s">
        <v>16</v>
      </c>
      <c r="E218" s="3" t="s">
        <v>31</v>
      </c>
      <c r="F218" s="3" t="s">
        <v>18</v>
      </c>
      <c r="G218" s="3" t="s">
        <v>76</v>
      </c>
      <c r="H218" s="3" t="s">
        <v>77</v>
      </c>
      <c r="I218" s="5">
        <v>2605.9499999999998</v>
      </c>
      <c r="J218" s="4">
        <v>3</v>
      </c>
      <c r="K218" s="1">
        <v>18</v>
      </c>
      <c r="L218" s="4">
        <v>301.38</v>
      </c>
      <c r="M218" s="3" t="s">
        <v>28</v>
      </c>
      <c r="N218" s="3" t="s">
        <v>40</v>
      </c>
    </row>
    <row r="219" spans="1:14" x14ac:dyDescent="0.3">
      <c r="A219" s="3" t="s">
        <v>299</v>
      </c>
      <c r="B219" s="2">
        <v>45479</v>
      </c>
      <c r="C219" s="3" t="s">
        <v>86</v>
      </c>
      <c r="D219" s="3" t="s">
        <v>38</v>
      </c>
      <c r="E219" s="3" t="s">
        <v>39</v>
      </c>
      <c r="F219" s="3" t="s">
        <v>62</v>
      </c>
      <c r="G219" s="3" t="s">
        <v>67</v>
      </c>
      <c r="H219" s="3" t="s">
        <v>68</v>
      </c>
      <c r="I219" s="5">
        <v>17874.900000000001</v>
      </c>
      <c r="J219" s="4">
        <v>10</v>
      </c>
      <c r="K219" s="1">
        <v>27</v>
      </c>
      <c r="L219" s="4">
        <v>1396.63</v>
      </c>
      <c r="M219" s="3" t="s">
        <v>21</v>
      </c>
      <c r="N219" s="3" t="s">
        <v>44</v>
      </c>
    </row>
    <row r="220" spans="1:14" x14ac:dyDescent="0.3">
      <c r="A220" s="3" t="s">
        <v>300</v>
      </c>
      <c r="B220" s="2">
        <v>45463</v>
      </c>
      <c r="C220" s="3" t="s">
        <v>50</v>
      </c>
      <c r="D220" s="3" t="s">
        <v>16</v>
      </c>
      <c r="E220" s="3" t="s">
        <v>25</v>
      </c>
      <c r="F220" s="3" t="s">
        <v>32</v>
      </c>
      <c r="G220" s="3" t="s">
        <v>112</v>
      </c>
      <c r="H220" s="3" t="s">
        <v>113</v>
      </c>
      <c r="I220" s="5">
        <v>5003.25</v>
      </c>
      <c r="J220" s="4">
        <v>3</v>
      </c>
      <c r="K220" s="1">
        <v>27</v>
      </c>
      <c r="L220" s="4">
        <v>750.73</v>
      </c>
      <c r="M220" s="3" t="s">
        <v>51</v>
      </c>
      <c r="N220" s="3" t="s">
        <v>44</v>
      </c>
    </row>
    <row r="221" spans="1:14" x14ac:dyDescent="0.3">
      <c r="A221" s="3" t="s">
        <v>301</v>
      </c>
      <c r="B221" s="2">
        <v>45608</v>
      </c>
      <c r="C221" s="3" t="s">
        <v>42</v>
      </c>
      <c r="D221" s="3" t="s">
        <v>16</v>
      </c>
      <c r="E221" s="3" t="s">
        <v>17</v>
      </c>
      <c r="F221" s="3" t="s">
        <v>32</v>
      </c>
      <c r="G221" s="3" t="s">
        <v>47</v>
      </c>
      <c r="H221" s="3" t="s">
        <v>48</v>
      </c>
      <c r="I221" s="5">
        <v>8370.8799999999992</v>
      </c>
      <c r="J221" s="4">
        <v>8</v>
      </c>
      <c r="K221" s="1">
        <v>23</v>
      </c>
      <c r="L221" s="4">
        <v>1136.53</v>
      </c>
      <c r="M221" s="3" t="s">
        <v>28</v>
      </c>
      <c r="N221" s="3" t="s">
        <v>35</v>
      </c>
    </row>
    <row r="222" spans="1:14" x14ac:dyDescent="0.3">
      <c r="A222" s="3" t="s">
        <v>302</v>
      </c>
      <c r="B222" s="2">
        <v>45432</v>
      </c>
      <c r="C222" s="3" t="s">
        <v>15</v>
      </c>
      <c r="D222" s="3" t="s">
        <v>89</v>
      </c>
      <c r="E222" s="3" t="s">
        <v>97</v>
      </c>
      <c r="F222" s="3" t="s">
        <v>32</v>
      </c>
      <c r="G222" s="3" t="s">
        <v>112</v>
      </c>
      <c r="H222" s="3" t="s">
        <v>113</v>
      </c>
      <c r="I222" s="5">
        <v>9669.65</v>
      </c>
      <c r="J222" s="4">
        <v>5</v>
      </c>
      <c r="K222" s="1">
        <v>3</v>
      </c>
      <c r="L222" s="4">
        <v>1033.82</v>
      </c>
      <c r="M222" s="3" t="s">
        <v>28</v>
      </c>
      <c r="N222" s="3" t="s">
        <v>22</v>
      </c>
    </row>
    <row r="223" spans="1:14" x14ac:dyDescent="0.3">
      <c r="A223" s="3" t="s">
        <v>303</v>
      </c>
      <c r="B223" s="2">
        <v>45664</v>
      </c>
      <c r="C223" s="3" t="s">
        <v>15</v>
      </c>
      <c r="D223" s="3" t="s">
        <v>89</v>
      </c>
      <c r="E223" s="3" t="s">
        <v>90</v>
      </c>
      <c r="F223" s="3" t="s">
        <v>32</v>
      </c>
      <c r="G223" s="3" t="s">
        <v>112</v>
      </c>
      <c r="H223" s="3" t="s">
        <v>113</v>
      </c>
      <c r="I223" s="5">
        <v>9181.92</v>
      </c>
      <c r="J223" s="4">
        <v>8</v>
      </c>
      <c r="K223" s="1">
        <v>10</v>
      </c>
      <c r="L223" s="4">
        <v>979.43</v>
      </c>
      <c r="M223" s="3" t="s">
        <v>28</v>
      </c>
      <c r="N223" s="3" t="s">
        <v>40</v>
      </c>
    </row>
    <row r="224" spans="1:14" x14ac:dyDescent="0.3">
      <c r="A224" s="3" t="s">
        <v>304</v>
      </c>
      <c r="B224" s="2">
        <v>45677</v>
      </c>
      <c r="C224" s="3" t="s">
        <v>70</v>
      </c>
      <c r="D224" s="3" t="s">
        <v>89</v>
      </c>
      <c r="E224" s="3" t="s">
        <v>116</v>
      </c>
      <c r="F224" s="3" t="s">
        <v>62</v>
      </c>
      <c r="G224" s="3" t="s">
        <v>63</v>
      </c>
      <c r="H224" s="3" t="s">
        <v>64</v>
      </c>
      <c r="I224" s="5">
        <v>3552.7</v>
      </c>
      <c r="J224" s="4">
        <v>10</v>
      </c>
      <c r="K224" s="1">
        <v>18</v>
      </c>
      <c r="L224" s="4">
        <v>249.77</v>
      </c>
      <c r="M224" s="3" t="s">
        <v>21</v>
      </c>
      <c r="N224" s="3" t="s">
        <v>40</v>
      </c>
    </row>
    <row r="225" spans="1:14" x14ac:dyDescent="0.3">
      <c r="A225" s="3" t="s">
        <v>305</v>
      </c>
      <c r="B225" s="2">
        <v>45709</v>
      </c>
      <c r="C225" s="3" t="s">
        <v>101</v>
      </c>
      <c r="D225" s="3" t="s">
        <v>38</v>
      </c>
      <c r="E225" s="3" t="s">
        <v>39</v>
      </c>
      <c r="F225" s="3" t="s">
        <v>32</v>
      </c>
      <c r="G225" s="3" t="s">
        <v>33</v>
      </c>
      <c r="H225" s="3" t="s">
        <v>34</v>
      </c>
      <c r="I225" s="5">
        <v>1928.3</v>
      </c>
      <c r="J225" s="4">
        <v>10</v>
      </c>
      <c r="K225" s="1">
        <v>12</v>
      </c>
      <c r="L225" s="4">
        <v>278.29000000000002</v>
      </c>
      <c r="M225" s="3" t="s">
        <v>28</v>
      </c>
      <c r="N225" s="3" t="s">
        <v>22</v>
      </c>
    </row>
    <row r="226" spans="1:14" x14ac:dyDescent="0.3">
      <c r="A226" s="3" t="s">
        <v>306</v>
      </c>
      <c r="B226" s="2">
        <v>45732</v>
      </c>
      <c r="C226" s="3" t="s">
        <v>73</v>
      </c>
      <c r="D226" s="3" t="s">
        <v>89</v>
      </c>
      <c r="E226" s="3" t="s">
        <v>102</v>
      </c>
      <c r="F226" s="3" t="s">
        <v>62</v>
      </c>
      <c r="G226" s="3" t="s">
        <v>103</v>
      </c>
      <c r="H226" s="3" t="s">
        <v>104</v>
      </c>
      <c r="I226" s="5">
        <v>343.38</v>
      </c>
      <c r="J226" s="4">
        <v>2</v>
      </c>
      <c r="K226" s="1">
        <v>24</v>
      </c>
      <c r="L226" s="4">
        <v>23.8</v>
      </c>
      <c r="M226" s="3" t="s">
        <v>28</v>
      </c>
      <c r="N226" s="3" t="s">
        <v>35</v>
      </c>
    </row>
    <row r="227" spans="1:14" x14ac:dyDescent="0.3">
      <c r="A227" s="3" t="s">
        <v>307</v>
      </c>
      <c r="B227" s="2">
        <v>45681</v>
      </c>
      <c r="C227" s="3" t="s">
        <v>30</v>
      </c>
      <c r="D227" s="3" t="s">
        <v>38</v>
      </c>
      <c r="E227" s="3" t="s">
        <v>43</v>
      </c>
      <c r="F227" s="3" t="s">
        <v>18</v>
      </c>
      <c r="G227" s="3" t="s">
        <v>26</v>
      </c>
      <c r="H227" s="3" t="s">
        <v>27</v>
      </c>
      <c r="I227" s="5">
        <v>9572.48</v>
      </c>
      <c r="J227" s="4">
        <v>8</v>
      </c>
      <c r="K227" s="1">
        <v>23</v>
      </c>
      <c r="L227" s="4">
        <v>1171.74</v>
      </c>
      <c r="M227" s="3" t="s">
        <v>21</v>
      </c>
      <c r="N227" s="3" t="s">
        <v>44</v>
      </c>
    </row>
    <row r="228" spans="1:14" x14ac:dyDescent="0.3">
      <c r="A228" s="3" t="s">
        <v>308</v>
      </c>
      <c r="B228" s="2">
        <v>45480</v>
      </c>
      <c r="C228" s="3" t="s">
        <v>99</v>
      </c>
      <c r="D228" s="3" t="s">
        <v>89</v>
      </c>
      <c r="E228" s="3" t="s">
        <v>140</v>
      </c>
      <c r="F228" s="3" t="s">
        <v>32</v>
      </c>
      <c r="G228" s="3" t="s">
        <v>58</v>
      </c>
      <c r="H228" s="3" t="s">
        <v>59</v>
      </c>
      <c r="I228" s="5">
        <v>739.16</v>
      </c>
      <c r="J228" s="4">
        <v>4</v>
      </c>
      <c r="K228" s="1">
        <v>13</v>
      </c>
      <c r="L228" s="4">
        <v>127.81</v>
      </c>
      <c r="M228" s="3" t="s">
        <v>21</v>
      </c>
      <c r="N228" s="3" t="s">
        <v>40</v>
      </c>
    </row>
    <row r="229" spans="1:14" x14ac:dyDescent="0.3">
      <c r="A229" s="3" t="s">
        <v>309</v>
      </c>
      <c r="B229" s="2">
        <v>45526</v>
      </c>
      <c r="C229" s="3" t="s">
        <v>75</v>
      </c>
      <c r="D229" s="3" t="s">
        <v>56</v>
      </c>
      <c r="E229" s="3" t="s">
        <v>57</v>
      </c>
      <c r="F229" s="3" t="s">
        <v>18</v>
      </c>
      <c r="G229" s="3" t="s">
        <v>94</v>
      </c>
      <c r="H229" s="3" t="s">
        <v>95</v>
      </c>
      <c r="I229" s="5">
        <v>2875.23</v>
      </c>
      <c r="J229" s="4">
        <v>3</v>
      </c>
      <c r="K229" s="1">
        <v>30</v>
      </c>
      <c r="L229" s="4">
        <v>360.89</v>
      </c>
      <c r="M229" s="3" t="s">
        <v>51</v>
      </c>
      <c r="N229" s="3" t="s">
        <v>40</v>
      </c>
    </row>
    <row r="230" spans="1:14" x14ac:dyDescent="0.3">
      <c r="A230" s="3" t="s">
        <v>310</v>
      </c>
      <c r="B230" s="2">
        <v>45549</v>
      </c>
      <c r="C230" s="3" t="s">
        <v>37</v>
      </c>
      <c r="D230" s="3" t="s">
        <v>89</v>
      </c>
      <c r="E230" s="3" t="s">
        <v>102</v>
      </c>
      <c r="F230" s="3" t="s">
        <v>32</v>
      </c>
      <c r="G230" s="3" t="s">
        <v>58</v>
      </c>
      <c r="H230" s="3" t="s">
        <v>59</v>
      </c>
      <c r="I230" s="5">
        <v>7136.99</v>
      </c>
      <c r="J230" s="4">
        <v>7</v>
      </c>
      <c r="K230" s="1">
        <v>20</v>
      </c>
      <c r="L230" s="4">
        <v>641.97</v>
      </c>
      <c r="M230" s="3" t="s">
        <v>51</v>
      </c>
      <c r="N230" s="3" t="s">
        <v>35</v>
      </c>
    </row>
    <row r="231" spans="1:14" x14ac:dyDescent="0.3">
      <c r="A231" s="3" t="s">
        <v>311</v>
      </c>
      <c r="B231" s="2">
        <v>45741</v>
      </c>
      <c r="C231" s="3" t="s">
        <v>75</v>
      </c>
      <c r="D231" s="3" t="s">
        <v>56</v>
      </c>
      <c r="E231" s="3" t="s">
        <v>61</v>
      </c>
      <c r="F231" s="3" t="s">
        <v>62</v>
      </c>
      <c r="G231" s="3" t="s">
        <v>80</v>
      </c>
      <c r="H231" s="3" t="s">
        <v>81</v>
      </c>
      <c r="I231" s="5">
        <v>1971.63</v>
      </c>
      <c r="J231" s="4">
        <v>9</v>
      </c>
      <c r="K231" s="1">
        <v>20</v>
      </c>
      <c r="L231" s="4">
        <v>288.76</v>
      </c>
      <c r="M231" s="3" t="s">
        <v>21</v>
      </c>
      <c r="N231" s="3" t="s">
        <v>22</v>
      </c>
    </row>
    <row r="232" spans="1:14" x14ac:dyDescent="0.3">
      <c r="A232" s="3" t="s">
        <v>312</v>
      </c>
      <c r="B232" s="2">
        <v>45697</v>
      </c>
      <c r="C232" s="3" t="s">
        <v>50</v>
      </c>
      <c r="D232" s="3" t="s">
        <v>16</v>
      </c>
      <c r="E232" s="3" t="s">
        <v>17</v>
      </c>
      <c r="F232" s="3" t="s">
        <v>62</v>
      </c>
      <c r="G232" s="3" t="s">
        <v>63</v>
      </c>
      <c r="H232" s="3" t="s">
        <v>64</v>
      </c>
      <c r="I232" s="5">
        <v>5002.2</v>
      </c>
      <c r="J232" s="4">
        <v>4</v>
      </c>
      <c r="K232" s="1">
        <v>25</v>
      </c>
      <c r="L232" s="4">
        <v>718.97</v>
      </c>
      <c r="M232" s="3" t="s">
        <v>51</v>
      </c>
      <c r="N232" s="3" t="s">
        <v>22</v>
      </c>
    </row>
    <row r="233" spans="1:14" x14ac:dyDescent="0.3">
      <c r="A233" s="3" t="s">
        <v>313</v>
      </c>
      <c r="B233" s="2">
        <v>45657</v>
      </c>
      <c r="C233" s="3" t="s">
        <v>133</v>
      </c>
      <c r="D233" s="3" t="s">
        <v>38</v>
      </c>
      <c r="E233" s="3" t="s">
        <v>43</v>
      </c>
      <c r="F233" s="3" t="s">
        <v>18</v>
      </c>
      <c r="G233" s="3" t="s">
        <v>19</v>
      </c>
      <c r="H233" s="3" t="s">
        <v>20</v>
      </c>
      <c r="I233" s="5">
        <v>2988.94</v>
      </c>
      <c r="J233" s="4">
        <v>2</v>
      </c>
      <c r="K233" s="1">
        <v>20</v>
      </c>
      <c r="L233" s="4">
        <v>492.27</v>
      </c>
      <c r="M233" s="3" t="s">
        <v>21</v>
      </c>
      <c r="N233" s="3" t="s">
        <v>35</v>
      </c>
    </row>
    <row r="234" spans="1:14" x14ac:dyDescent="0.3">
      <c r="A234" s="3" t="s">
        <v>314</v>
      </c>
      <c r="B234" s="2">
        <v>45699</v>
      </c>
      <c r="C234" s="3" t="s">
        <v>15</v>
      </c>
      <c r="D234" s="3" t="s">
        <v>38</v>
      </c>
      <c r="E234" s="3" t="s">
        <v>43</v>
      </c>
      <c r="F234" s="3" t="s">
        <v>18</v>
      </c>
      <c r="G234" s="3" t="s">
        <v>76</v>
      </c>
      <c r="H234" s="3" t="s">
        <v>77</v>
      </c>
      <c r="I234" s="5">
        <v>6342.48</v>
      </c>
      <c r="J234" s="4">
        <v>8</v>
      </c>
      <c r="K234" s="1">
        <v>27</v>
      </c>
      <c r="L234" s="4">
        <v>249.15</v>
      </c>
      <c r="M234" s="3" t="s">
        <v>51</v>
      </c>
      <c r="N234" s="3" t="s">
        <v>44</v>
      </c>
    </row>
    <row r="235" spans="1:14" x14ac:dyDescent="0.3">
      <c r="A235" s="3" t="s">
        <v>315</v>
      </c>
      <c r="B235" s="2">
        <v>45438</v>
      </c>
      <c r="C235" s="3" t="s">
        <v>84</v>
      </c>
      <c r="D235" s="3" t="s">
        <v>56</v>
      </c>
      <c r="E235" s="3" t="s">
        <v>108</v>
      </c>
      <c r="F235" s="3" t="s">
        <v>18</v>
      </c>
      <c r="G235" s="3" t="s">
        <v>19</v>
      </c>
      <c r="H235" s="3" t="s">
        <v>20</v>
      </c>
      <c r="I235" s="5">
        <v>5731.28</v>
      </c>
      <c r="J235" s="4">
        <v>8</v>
      </c>
      <c r="K235" s="1">
        <v>2</v>
      </c>
      <c r="L235" s="4">
        <v>651.47</v>
      </c>
      <c r="M235" s="3" t="s">
        <v>21</v>
      </c>
      <c r="N235" s="3" t="s">
        <v>40</v>
      </c>
    </row>
    <row r="236" spans="1:14" x14ac:dyDescent="0.3">
      <c r="A236" s="3" t="s">
        <v>316</v>
      </c>
      <c r="B236" s="2">
        <v>45574</v>
      </c>
      <c r="C236" s="3" t="s">
        <v>99</v>
      </c>
      <c r="D236" s="3" t="s">
        <v>89</v>
      </c>
      <c r="E236" s="3" t="s">
        <v>116</v>
      </c>
      <c r="F236" s="3" t="s">
        <v>62</v>
      </c>
      <c r="G236" s="3" t="s">
        <v>103</v>
      </c>
      <c r="H236" s="3" t="s">
        <v>104</v>
      </c>
      <c r="I236" s="5">
        <v>8702.56</v>
      </c>
      <c r="J236" s="4">
        <v>8</v>
      </c>
      <c r="K236" s="1">
        <v>15</v>
      </c>
      <c r="L236" s="4">
        <v>1031.06</v>
      </c>
      <c r="M236" s="3" t="s">
        <v>51</v>
      </c>
      <c r="N236" s="3" t="s">
        <v>35</v>
      </c>
    </row>
    <row r="237" spans="1:14" x14ac:dyDescent="0.3">
      <c r="A237" s="3" t="s">
        <v>317</v>
      </c>
      <c r="B237" s="2">
        <v>45773</v>
      </c>
      <c r="C237" s="3" t="s">
        <v>99</v>
      </c>
      <c r="D237" s="3" t="s">
        <v>56</v>
      </c>
      <c r="E237" s="3" t="s">
        <v>108</v>
      </c>
      <c r="F237" s="3" t="s">
        <v>18</v>
      </c>
      <c r="G237" s="3" t="s">
        <v>94</v>
      </c>
      <c r="H237" s="3" t="s">
        <v>95</v>
      </c>
      <c r="I237" s="5">
        <v>9942.64</v>
      </c>
      <c r="J237" s="4">
        <v>8</v>
      </c>
      <c r="K237" s="1">
        <v>6</v>
      </c>
      <c r="L237" s="4">
        <v>1874.78</v>
      </c>
      <c r="M237" s="3" t="s">
        <v>51</v>
      </c>
      <c r="N237" s="3" t="s">
        <v>35</v>
      </c>
    </row>
    <row r="238" spans="1:14" x14ac:dyDescent="0.3">
      <c r="A238" s="3" t="s">
        <v>318</v>
      </c>
      <c r="B238" s="2">
        <v>45649</v>
      </c>
      <c r="C238" s="3" t="s">
        <v>70</v>
      </c>
      <c r="D238" s="3" t="s">
        <v>56</v>
      </c>
      <c r="E238" s="3" t="s">
        <v>108</v>
      </c>
      <c r="F238" s="3" t="s">
        <v>32</v>
      </c>
      <c r="G238" s="3" t="s">
        <v>47</v>
      </c>
      <c r="H238" s="3" t="s">
        <v>48</v>
      </c>
      <c r="I238" s="5">
        <v>11650.23</v>
      </c>
      <c r="J238" s="4">
        <v>9</v>
      </c>
      <c r="K238" s="1">
        <v>19</v>
      </c>
      <c r="L238" s="4">
        <v>2249.7600000000002</v>
      </c>
      <c r="M238" s="3" t="s">
        <v>28</v>
      </c>
      <c r="N238" s="3" t="s">
        <v>44</v>
      </c>
    </row>
    <row r="239" spans="1:14" x14ac:dyDescent="0.3">
      <c r="A239" s="3" t="s">
        <v>319</v>
      </c>
      <c r="B239" s="2">
        <v>45677</v>
      </c>
      <c r="C239" s="3" t="s">
        <v>99</v>
      </c>
      <c r="D239" s="3" t="s">
        <v>56</v>
      </c>
      <c r="E239" s="3" t="s">
        <v>108</v>
      </c>
      <c r="F239" s="3" t="s">
        <v>18</v>
      </c>
      <c r="G239" s="3" t="s">
        <v>26</v>
      </c>
      <c r="H239" s="3" t="s">
        <v>27</v>
      </c>
      <c r="I239" s="5">
        <v>5543.2</v>
      </c>
      <c r="J239" s="4">
        <v>5</v>
      </c>
      <c r="K239" s="1">
        <v>9</v>
      </c>
      <c r="L239" s="4">
        <v>1054.68</v>
      </c>
      <c r="M239" s="3" t="s">
        <v>21</v>
      </c>
      <c r="N239" s="3" t="s">
        <v>44</v>
      </c>
    </row>
    <row r="240" spans="1:14" x14ac:dyDescent="0.3">
      <c r="A240" s="3" t="s">
        <v>320</v>
      </c>
      <c r="B240" s="2">
        <v>45630</v>
      </c>
      <c r="C240" s="3" t="s">
        <v>37</v>
      </c>
      <c r="D240" s="3" t="s">
        <v>89</v>
      </c>
      <c r="E240" s="3" t="s">
        <v>97</v>
      </c>
      <c r="F240" s="3" t="s">
        <v>62</v>
      </c>
      <c r="G240" s="3" t="s">
        <v>67</v>
      </c>
      <c r="H240" s="3" t="s">
        <v>68</v>
      </c>
      <c r="I240" s="5">
        <v>5827.16</v>
      </c>
      <c r="J240" s="4">
        <v>4</v>
      </c>
      <c r="K240" s="1">
        <v>30</v>
      </c>
      <c r="L240" s="4">
        <v>549.95000000000005</v>
      </c>
      <c r="M240" s="3" t="s">
        <v>21</v>
      </c>
      <c r="N240" s="3" t="s">
        <v>35</v>
      </c>
    </row>
    <row r="241" spans="1:14" x14ac:dyDescent="0.3">
      <c r="A241" s="3" t="s">
        <v>321</v>
      </c>
      <c r="B241" s="2">
        <v>45605</v>
      </c>
      <c r="C241" s="3" t="s">
        <v>50</v>
      </c>
      <c r="D241" s="3" t="s">
        <v>16</v>
      </c>
      <c r="E241" s="3" t="s">
        <v>17</v>
      </c>
      <c r="F241" s="3" t="s">
        <v>62</v>
      </c>
      <c r="G241" s="3" t="s">
        <v>103</v>
      </c>
      <c r="H241" s="3" t="s">
        <v>104</v>
      </c>
      <c r="I241" s="5">
        <v>10705.8</v>
      </c>
      <c r="J241" s="4">
        <v>6</v>
      </c>
      <c r="K241" s="1">
        <v>15</v>
      </c>
      <c r="L241" s="4">
        <v>1248.94</v>
      </c>
      <c r="M241" s="3" t="s">
        <v>51</v>
      </c>
      <c r="N241" s="3" t="s">
        <v>22</v>
      </c>
    </row>
    <row r="242" spans="1:14" x14ac:dyDescent="0.3">
      <c r="A242" s="3" t="s">
        <v>322</v>
      </c>
      <c r="B242" s="2">
        <v>45736</v>
      </c>
      <c r="C242" s="3" t="s">
        <v>24</v>
      </c>
      <c r="D242" s="3" t="s">
        <v>38</v>
      </c>
      <c r="E242" s="3" t="s">
        <v>43</v>
      </c>
      <c r="F242" s="3" t="s">
        <v>32</v>
      </c>
      <c r="G242" s="3" t="s">
        <v>47</v>
      </c>
      <c r="H242" s="3" t="s">
        <v>48</v>
      </c>
      <c r="I242" s="5">
        <v>7004.7</v>
      </c>
      <c r="J242" s="4">
        <v>9</v>
      </c>
      <c r="K242" s="1">
        <v>7.0000000000000009</v>
      </c>
      <c r="L242" s="4">
        <v>1287.23</v>
      </c>
      <c r="M242" s="3" t="s">
        <v>21</v>
      </c>
      <c r="N242" s="3" t="s">
        <v>35</v>
      </c>
    </row>
    <row r="243" spans="1:14" x14ac:dyDescent="0.3">
      <c r="A243" s="3" t="s">
        <v>323</v>
      </c>
      <c r="B243" s="2">
        <v>45568</v>
      </c>
      <c r="C243" s="3" t="s">
        <v>86</v>
      </c>
      <c r="D243" s="3" t="s">
        <v>56</v>
      </c>
      <c r="E243" s="3" t="s">
        <v>108</v>
      </c>
      <c r="F243" s="3" t="s">
        <v>32</v>
      </c>
      <c r="G243" s="3" t="s">
        <v>58</v>
      </c>
      <c r="H243" s="3" t="s">
        <v>59</v>
      </c>
      <c r="I243" s="5">
        <v>14542.3</v>
      </c>
      <c r="J243" s="4">
        <v>10</v>
      </c>
      <c r="K243" s="1">
        <v>12</v>
      </c>
      <c r="L243" s="4">
        <v>1404.2</v>
      </c>
      <c r="M243" s="3" t="s">
        <v>28</v>
      </c>
      <c r="N243" s="3" t="s">
        <v>44</v>
      </c>
    </row>
    <row r="244" spans="1:14" x14ac:dyDescent="0.3">
      <c r="A244" s="3" t="s">
        <v>324</v>
      </c>
      <c r="B244" s="2">
        <v>45659</v>
      </c>
      <c r="C244" s="3" t="s">
        <v>70</v>
      </c>
      <c r="D244" s="3" t="s">
        <v>16</v>
      </c>
      <c r="E244" s="3" t="s">
        <v>25</v>
      </c>
      <c r="F244" s="3" t="s">
        <v>32</v>
      </c>
      <c r="G244" s="3" t="s">
        <v>47</v>
      </c>
      <c r="H244" s="3" t="s">
        <v>48</v>
      </c>
      <c r="I244" s="5">
        <v>12935.86</v>
      </c>
      <c r="J244" s="4">
        <v>7</v>
      </c>
      <c r="K244" s="1">
        <v>27</v>
      </c>
      <c r="L244" s="4">
        <v>552.78</v>
      </c>
      <c r="M244" s="3" t="s">
        <v>21</v>
      </c>
      <c r="N244" s="3" t="s">
        <v>40</v>
      </c>
    </row>
    <row r="245" spans="1:14" x14ac:dyDescent="0.3">
      <c r="A245" s="3" t="s">
        <v>325</v>
      </c>
      <c r="B245" s="2">
        <v>45761</v>
      </c>
      <c r="C245" s="3" t="s">
        <v>42</v>
      </c>
      <c r="D245" s="3" t="s">
        <v>56</v>
      </c>
      <c r="E245" s="3" t="s">
        <v>61</v>
      </c>
      <c r="F245" s="3" t="s">
        <v>32</v>
      </c>
      <c r="G245" s="3" t="s">
        <v>47</v>
      </c>
      <c r="H245" s="3" t="s">
        <v>48</v>
      </c>
      <c r="I245" s="5">
        <v>9876.2000000000007</v>
      </c>
      <c r="J245" s="4">
        <v>10</v>
      </c>
      <c r="K245" s="1">
        <v>8</v>
      </c>
      <c r="L245" s="4">
        <v>810.68</v>
      </c>
      <c r="M245" s="3" t="s">
        <v>21</v>
      </c>
      <c r="N245" s="3" t="s">
        <v>40</v>
      </c>
    </row>
    <row r="246" spans="1:14" x14ac:dyDescent="0.3">
      <c r="A246" s="3" t="s">
        <v>326</v>
      </c>
      <c r="B246" s="2">
        <v>45778</v>
      </c>
      <c r="C246" s="3" t="s">
        <v>99</v>
      </c>
      <c r="D246" s="3" t="s">
        <v>89</v>
      </c>
      <c r="E246" s="3" t="s">
        <v>116</v>
      </c>
      <c r="F246" s="3" t="s">
        <v>18</v>
      </c>
      <c r="G246" s="3" t="s">
        <v>76</v>
      </c>
      <c r="H246" s="3" t="s">
        <v>77</v>
      </c>
      <c r="I246" s="5">
        <v>469.36</v>
      </c>
      <c r="J246" s="4">
        <v>2</v>
      </c>
      <c r="K246" s="1">
        <v>2</v>
      </c>
      <c r="L246" s="4">
        <v>108.43</v>
      </c>
      <c r="M246" s="3" t="s">
        <v>21</v>
      </c>
      <c r="N246" s="3" t="s">
        <v>35</v>
      </c>
    </row>
    <row r="247" spans="1:14" x14ac:dyDescent="0.3">
      <c r="A247" s="3" t="s">
        <v>327</v>
      </c>
      <c r="B247" s="2">
        <v>45592</v>
      </c>
      <c r="C247" s="3" t="s">
        <v>24</v>
      </c>
      <c r="D247" s="3" t="s">
        <v>16</v>
      </c>
      <c r="E247" s="3" t="s">
        <v>25</v>
      </c>
      <c r="F247" s="3" t="s">
        <v>32</v>
      </c>
      <c r="G247" s="3" t="s">
        <v>33</v>
      </c>
      <c r="H247" s="3" t="s">
        <v>34</v>
      </c>
      <c r="I247" s="5">
        <v>3696.08</v>
      </c>
      <c r="J247" s="4">
        <v>8</v>
      </c>
      <c r="K247" s="1">
        <v>22</v>
      </c>
      <c r="L247" s="4">
        <v>651.95000000000005</v>
      </c>
      <c r="M247" s="3" t="s">
        <v>28</v>
      </c>
      <c r="N247" s="3" t="s">
        <v>44</v>
      </c>
    </row>
    <row r="248" spans="1:14" x14ac:dyDescent="0.3">
      <c r="A248" s="3" t="s">
        <v>328</v>
      </c>
      <c r="B248" s="2">
        <v>45453</v>
      </c>
      <c r="C248" s="3" t="s">
        <v>84</v>
      </c>
      <c r="D248" s="3" t="s">
        <v>16</v>
      </c>
      <c r="E248" s="3" t="s">
        <v>31</v>
      </c>
      <c r="F248" s="3" t="s">
        <v>62</v>
      </c>
      <c r="G248" s="3" t="s">
        <v>80</v>
      </c>
      <c r="H248" s="3" t="s">
        <v>81</v>
      </c>
      <c r="I248" s="5">
        <v>9126.6</v>
      </c>
      <c r="J248" s="4">
        <v>5</v>
      </c>
      <c r="K248" s="1">
        <v>1</v>
      </c>
      <c r="L248" s="4">
        <v>965.89</v>
      </c>
      <c r="M248" s="3" t="s">
        <v>28</v>
      </c>
      <c r="N248" s="3" t="s">
        <v>44</v>
      </c>
    </row>
    <row r="249" spans="1:14" x14ac:dyDescent="0.3">
      <c r="A249" s="3" t="s">
        <v>329</v>
      </c>
      <c r="B249" s="2">
        <v>45682</v>
      </c>
      <c r="C249" s="3" t="s">
        <v>42</v>
      </c>
      <c r="D249" s="3" t="s">
        <v>38</v>
      </c>
      <c r="E249" s="3" t="s">
        <v>53</v>
      </c>
      <c r="F249" s="3" t="s">
        <v>32</v>
      </c>
      <c r="G249" s="3" t="s">
        <v>47</v>
      </c>
      <c r="H249" s="3" t="s">
        <v>48</v>
      </c>
      <c r="I249" s="5">
        <v>2047.2</v>
      </c>
      <c r="J249" s="4">
        <v>3</v>
      </c>
      <c r="K249" s="1">
        <v>21</v>
      </c>
      <c r="L249" s="4">
        <v>397.8</v>
      </c>
      <c r="M249" s="3" t="s">
        <v>28</v>
      </c>
      <c r="N249" s="3" t="s">
        <v>40</v>
      </c>
    </row>
    <row r="250" spans="1:14" x14ac:dyDescent="0.3">
      <c r="A250" s="3" t="s">
        <v>330</v>
      </c>
      <c r="B250" s="2">
        <v>45776</v>
      </c>
      <c r="C250" s="3" t="s">
        <v>101</v>
      </c>
      <c r="D250" s="3" t="s">
        <v>89</v>
      </c>
      <c r="E250" s="3" t="s">
        <v>97</v>
      </c>
      <c r="F250" s="3" t="s">
        <v>62</v>
      </c>
      <c r="G250" s="3" t="s">
        <v>67</v>
      </c>
      <c r="H250" s="3" t="s">
        <v>68</v>
      </c>
      <c r="I250" s="5">
        <v>10615.38</v>
      </c>
      <c r="J250" s="4">
        <v>6</v>
      </c>
      <c r="K250" s="1">
        <v>28</v>
      </c>
      <c r="L250" s="4">
        <v>781.74</v>
      </c>
      <c r="M250" s="3" t="s">
        <v>21</v>
      </c>
      <c r="N250" s="3" t="s">
        <v>40</v>
      </c>
    </row>
    <row r="251" spans="1:14" x14ac:dyDescent="0.3">
      <c r="A251" s="3" t="s">
        <v>331</v>
      </c>
      <c r="B251" s="2">
        <v>45449</v>
      </c>
      <c r="C251" s="3" t="s">
        <v>86</v>
      </c>
      <c r="D251" s="3" t="s">
        <v>56</v>
      </c>
      <c r="E251" s="3" t="s">
        <v>108</v>
      </c>
      <c r="F251" s="3" t="s">
        <v>62</v>
      </c>
      <c r="G251" s="3" t="s">
        <v>63</v>
      </c>
      <c r="H251" s="3" t="s">
        <v>64</v>
      </c>
      <c r="I251" s="5">
        <v>18725.2</v>
      </c>
      <c r="J251" s="4">
        <v>10</v>
      </c>
      <c r="K251" s="1">
        <v>15</v>
      </c>
      <c r="L251" s="4">
        <v>2590.7800000000002</v>
      </c>
      <c r="M251" s="3" t="s">
        <v>51</v>
      </c>
      <c r="N251" s="3" t="s">
        <v>40</v>
      </c>
    </row>
    <row r="252" spans="1:14" x14ac:dyDescent="0.3">
      <c r="A252" s="3" t="s">
        <v>332</v>
      </c>
      <c r="B252" s="2">
        <v>45658</v>
      </c>
      <c r="C252" s="3" t="s">
        <v>99</v>
      </c>
      <c r="D252" s="3" t="s">
        <v>56</v>
      </c>
      <c r="E252" s="3" t="s">
        <v>108</v>
      </c>
      <c r="F252" s="3" t="s">
        <v>18</v>
      </c>
      <c r="G252" s="3" t="s">
        <v>94</v>
      </c>
      <c r="H252" s="3" t="s">
        <v>95</v>
      </c>
      <c r="I252" s="5">
        <v>8717.0499999999993</v>
      </c>
      <c r="J252" s="4">
        <v>5</v>
      </c>
      <c r="K252" s="1">
        <v>19</v>
      </c>
      <c r="L252" s="4">
        <v>1195.8499999999999</v>
      </c>
      <c r="M252" s="3" t="s">
        <v>28</v>
      </c>
      <c r="N252" s="3" t="s">
        <v>40</v>
      </c>
    </row>
    <row r="253" spans="1:14" x14ac:dyDescent="0.3">
      <c r="A253" s="3" t="s">
        <v>333</v>
      </c>
      <c r="B253" s="2">
        <v>45430</v>
      </c>
      <c r="C253" s="3" t="s">
        <v>84</v>
      </c>
      <c r="D253" s="3" t="s">
        <v>38</v>
      </c>
      <c r="E253" s="3" t="s">
        <v>71</v>
      </c>
      <c r="F253" s="3" t="s">
        <v>32</v>
      </c>
      <c r="G253" s="3" t="s">
        <v>58</v>
      </c>
      <c r="H253" s="3" t="s">
        <v>59</v>
      </c>
      <c r="I253" s="5">
        <v>10953.44</v>
      </c>
      <c r="J253" s="4">
        <v>8</v>
      </c>
      <c r="K253" s="1">
        <v>28</v>
      </c>
      <c r="L253" s="4">
        <v>572.64</v>
      </c>
      <c r="M253" s="3" t="s">
        <v>21</v>
      </c>
      <c r="N253" s="3" t="s">
        <v>44</v>
      </c>
    </row>
    <row r="254" spans="1:14" x14ac:dyDescent="0.3">
      <c r="A254" s="3" t="s">
        <v>334</v>
      </c>
      <c r="B254" s="2">
        <v>45511</v>
      </c>
      <c r="C254" s="3" t="s">
        <v>37</v>
      </c>
      <c r="D254" s="3" t="s">
        <v>89</v>
      </c>
      <c r="E254" s="3" t="s">
        <v>90</v>
      </c>
      <c r="F254" s="3" t="s">
        <v>62</v>
      </c>
      <c r="G254" s="3" t="s">
        <v>80</v>
      </c>
      <c r="H254" s="3" t="s">
        <v>81</v>
      </c>
      <c r="I254" s="5">
        <v>5761.32</v>
      </c>
      <c r="J254" s="4">
        <v>6</v>
      </c>
      <c r="K254" s="1">
        <v>1</v>
      </c>
      <c r="L254" s="4">
        <v>1180.47</v>
      </c>
      <c r="M254" s="3" t="s">
        <v>28</v>
      </c>
      <c r="N254" s="3" t="s">
        <v>40</v>
      </c>
    </row>
    <row r="255" spans="1:14" x14ac:dyDescent="0.3">
      <c r="A255" s="3" t="s">
        <v>335</v>
      </c>
      <c r="B255" s="2">
        <v>45536</v>
      </c>
      <c r="C255" s="3" t="s">
        <v>84</v>
      </c>
      <c r="D255" s="3" t="s">
        <v>56</v>
      </c>
      <c r="E255" s="3" t="s">
        <v>108</v>
      </c>
      <c r="F255" s="3" t="s">
        <v>32</v>
      </c>
      <c r="G255" s="3" t="s">
        <v>112</v>
      </c>
      <c r="H255" s="3" t="s">
        <v>113</v>
      </c>
      <c r="I255" s="5">
        <v>2648.88</v>
      </c>
      <c r="J255" s="4">
        <v>3</v>
      </c>
      <c r="K255" s="1">
        <v>14</v>
      </c>
      <c r="L255" s="4">
        <v>439.61</v>
      </c>
      <c r="M255" s="3" t="s">
        <v>21</v>
      </c>
      <c r="N255" s="3" t="s">
        <v>40</v>
      </c>
    </row>
    <row r="256" spans="1:14" x14ac:dyDescent="0.3">
      <c r="A256" s="3" t="s">
        <v>336</v>
      </c>
      <c r="B256" s="2">
        <v>45722</v>
      </c>
      <c r="C256" s="3" t="s">
        <v>73</v>
      </c>
      <c r="D256" s="3" t="s">
        <v>56</v>
      </c>
      <c r="E256" s="3" t="s">
        <v>61</v>
      </c>
      <c r="F256" s="3" t="s">
        <v>32</v>
      </c>
      <c r="G256" s="3" t="s">
        <v>112</v>
      </c>
      <c r="H256" s="3" t="s">
        <v>113</v>
      </c>
      <c r="I256" s="5">
        <v>13710.6</v>
      </c>
      <c r="J256" s="4">
        <v>9</v>
      </c>
      <c r="K256" s="1">
        <v>6</v>
      </c>
      <c r="L256" s="4">
        <v>1371.34</v>
      </c>
      <c r="M256" s="3" t="s">
        <v>28</v>
      </c>
      <c r="N256" s="3" t="s">
        <v>40</v>
      </c>
    </row>
    <row r="257" spans="1:14" x14ac:dyDescent="0.3">
      <c r="A257" s="3" t="s">
        <v>337</v>
      </c>
      <c r="B257" s="2">
        <v>45573</v>
      </c>
      <c r="C257" s="3" t="s">
        <v>70</v>
      </c>
      <c r="D257" s="3" t="s">
        <v>56</v>
      </c>
      <c r="E257" s="3" t="s">
        <v>57</v>
      </c>
      <c r="F257" s="3" t="s">
        <v>32</v>
      </c>
      <c r="G257" s="3" t="s">
        <v>58</v>
      </c>
      <c r="H257" s="3" t="s">
        <v>59</v>
      </c>
      <c r="I257" s="5">
        <v>1834.04</v>
      </c>
      <c r="J257" s="4">
        <v>2</v>
      </c>
      <c r="K257" s="1">
        <v>24</v>
      </c>
      <c r="L257" s="4">
        <v>189.55</v>
      </c>
      <c r="M257" s="3" t="s">
        <v>21</v>
      </c>
      <c r="N257" s="3" t="s">
        <v>44</v>
      </c>
    </row>
    <row r="258" spans="1:14" x14ac:dyDescent="0.3">
      <c r="A258" s="3" t="s">
        <v>338</v>
      </c>
      <c r="B258" s="2">
        <v>45778</v>
      </c>
      <c r="C258" s="3" t="s">
        <v>73</v>
      </c>
      <c r="D258" s="3" t="s">
        <v>56</v>
      </c>
      <c r="E258" s="3" t="s">
        <v>61</v>
      </c>
      <c r="F258" s="3" t="s">
        <v>32</v>
      </c>
      <c r="G258" s="3" t="s">
        <v>58</v>
      </c>
      <c r="H258" s="3" t="s">
        <v>59</v>
      </c>
      <c r="I258" s="5">
        <v>3243.4</v>
      </c>
      <c r="J258" s="4">
        <v>10</v>
      </c>
      <c r="K258" s="1">
        <v>2</v>
      </c>
      <c r="L258" s="4">
        <v>344.83</v>
      </c>
      <c r="M258" s="3" t="s">
        <v>21</v>
      </c>
      <c r="N258" s="3" t="s">
        <v>40</v>
      </c>
    </row>
    <row r="259" spans="1:14" x14ac:dyDescent="0.3">
      <c r="A259" s="3" t="s">
        <v>339</v>
      </c>
      <c r="B259" s="2">
        <v>45733</v>
      </c>
      <c r="C259" s="3" t="s">
        <v>24</v>
      </c>
      <c r="D259" s="3" t="s">
        <v>56</v>
      </c>
      <c r="E259" s="3" t="s">
        <v>108</v>
      </c>
      <c r="F259" s="3" t="s">
        <v>62</v>
      </c>
      <c r="G259" s="3" t="s">
        <v>103</v>
      </c>
      <c r="H259" s="3" t="s">
        <v>104</v>
      </c>
      <c r="I259" s="5">
        <v>9303.68</v>
      </c>
      <c r="J259" s="4">
        <v>8</v>
      </c>
      <c r="K259" s="1">
        <v>28</v>
      </c>
      <c r="L259" s="4">
        <v>818.19</v>
      </c>
      <c r="M259" s="3" t="s">
        <v>51</v>
      </c>
      <c r="N259" s="3" t="s">
        <v>40</v>
      </c>
    </row>
    <row r="260" spans="1:14" x14ac:dyDescent="0.3">
      <c r="A260" s="3" t="s">
        <v>340</v>
      </c>
      <c r="B260" s="2">
        <v>45470</v>
      </c>
      <c r="C260" s="3" t="s">
        <v>133</v>
      </c>
      <c r="D260" s="3" t="s">
        <v>38</v>
      </c>
      <c r="E260" s="3" t="s">
        <v>53</v>
      </c>
      <c r="F260" s="3" t="s">
        <v>32</v>
      </c>
      <c r="G260" s="3" t="s">
        <v>112</v>
      </c>
      <c r="H260" s="3" t="s">
        <v>113</v>
      </c>
      <c r="I260" s="5">
        <v>961.04</v>
      </c>
      <c r="J260" s="4">
        <v>4</v>
      </c>
      <c r="K260" s="1">
        <v>1</v>
      </c>
      <c r="L260" s="4">
        <v>52.23</v>
      </c>
      <c r="M260" s="3" t="s">
        <v>28</v>
      </c>
      <c r="N260" s="3" t="s">
        <v>22</v>
      </c>
    </row>
    <row r="261" spans="1:14" x14ac:dyDescent="0.3">
      <c r="A261" s="3" t="s">
        <v>341</v>
      </c>
      <c r="B261" s="2">
        <v>45508</v>
      </c>
      <c r="C261" s="3" t="s">
        <v>24</v>
      </c>
      <c r="D261" s="3" t="s">
        <v>16</v>
      </c>
      <c r="E261" s="3" t="s">
        <v>17</v>
      </c>
      <c r="F261" s="3" t="s">
        <v>18</v>
      </c>
      <c r="G261" s="3" t="s">
        <v>94</v>
      </c>
      <c r="H261" s="3" t="s">
        <v>95</v>
      </c>
      <c r="I261" s="5">
        <v>6185.4</v>
      </c>
      <c r="J261" s="4">
        <v>4</v>
      </c>
      <c r="K261" s="1">
        <v>27</v>
      </c>
      <c r="L261" s="4">
        <v>755.07</v>
      </c>
      <c r="M261" s="3" t="s">
        <v>28</v>
      </c>
      <c r="N261" s="3" t="s">
        <v>22</v>
      </c>
    </row>
    <row r="262" spans="1:14" x14ac:dyDescent="0.3">
      <c r="A262" s="3" t="s">
        <v>342</v>
      </c>
      <c r="B262" s="2">
        <v>45714</v>
      </c>
      <c r="C262" s="3" t="s">
        <v>42</v>
      </c>
      <c r="D262" s="3" t="s">
        <v>16</v>
      </c>
      <c r="E262" s="3" t="s">
        <v>31</v>
      </c>
      <c r="F262" s="3" t="s">
        <v>18</v>
      </c>
      <c r="G262" s="3" t="s">
        <v>94</v>
      </c>
      <c r="H262" s="3" t="s">
        <v>95</v>
      </c>
      <c r="I262" s="5">
        <v>890.76</v>
      </c>
      <c r="J262" s="4">
        <v>1</v>
      </c>
      <c r="K262" s="1">
        <v>15</v>
      </c>
      <c r="L262" s="4">
        <v>127.15</v>
      </c>
      <c r="M262" s="3" t="s">
        <v>51</v>
      </c>
      <c r="N262" s="3" t="s">
        <v>22</v>
      </c>
    </row>
    <row r="263" spans="1:14" x14ac:dyDescent="0.3">
      <c r="A263" s="3" t="s">
        <v>343</v>
      </c>
      <c r="B263" s="2">
        <v>45510</v>
      </c>
      <c r="C263" s="3" t="s">
        <v>24</v>
      </c>
      <c r="D263" s="3" t="s">
        <v>89</v>
      </c>
      <c r="E263" s="3" t="s">
        <v>102</v>
      </c>
      <c r="F263" s="3" t="s">
        <v>32</v>
      </c>
      <c r="G263" s="3" t="s">
        <v>58</v>
      </c>
      <c r="H263" s="3" t="s">
        <v>59</v>
      </c>
      <c r="I263" s="5">
        <v>17465</v>
      </c>
      <c r="J263" s="4">
        <v>10</v>
      </c>
      <c r="K263" s="1">
        <v>5</v>
      </c>
      <c r="L263" s="4">
        <v>2087.16</v>
      </c>
      <c r="M263" s="3" t="s">
        <v>28</v>
      </c>
      <c r="N263" s="3" t="s">
        <v>22</v>
      </c>
    </row>
    <row r="264" spans="1:14" x14ac:dyDescent="0.3">
      <c r="A264" s="3" t="s">
        <v>344</v>
      </c>
      <c r="B264" s="2">
        <v>45581</v>
      </c>
      <c r="C264" s="3" t="s">
        <v>84</v>
      </c>
      <c r="D264" s="3" t="s">
        <v>56</v>
      </c>
      <c r="E264" s="3" t="s">
        <v>57</v>
      </c>
      <c r="F264" s="3" t="s">
        <v>32</v>
      </c>
      <c r="G264" s="3" t="s">
        <v>33</v>
      </c>
      <c r="H264" s="3" t="s">
        <v>34</v>
      </c>
      <c r="I264" s="5">
        <v>5031.55</v>
      </c>
      <c r="J264" s="4">
        <v>5</v>
      </c>
      <c r="K264" s="1">
        <v>29</v>
      </c>
      <c r="L264" s="4">
        <v>332.29</v>
      </c>
      <c r="M264" s="3" t="s">
        <v>51</v>
      </c>
      <c r="N264" s="3" t="s">
        <v>35</v>
      </c>
    </row>
    <row r="265" spans="1:14" x14ac:dyDescent="0.3">
      <c r="A265" s="3" t="s">
        <v>345</v>
      </c>
      <c r="B265" s="2">
        <v>45497</v>
      </c>
      <c r="C265" s="3" t="s">
        <v>75</v>
      </c>
      <c r="D265" s="3" t="s">
        <v>38</v>
      </c>
      <c r="E265" s="3" t="s">
        <v>53</v>
      </c>
      <c r="F265" s="3" t="s">
        <v>18</v>
      </c>
      <c r="G265" s="3" t="s">
        <v>19</v>
      </c>
      <c r="H265" s="3" t="s">
        <v>20</v>
      </c>
      <c r="I265" s="5">
        <v>1916.2</v>
      </c>
      <c r="J265" s="4">
        <v>4</v>
      </c>
      <c r="K265" s="1">
        <v>15</v>
      </c>
      <c r="L265" s="4">
        <v>298.97000000000003</v>
      </c>
      <c r="M265" s="3" t="s">
        <v>21</v>
      </c>
      <c r="N265" s="3" t="s">
        <v>44</v>
      </c>
    </row>
    <row r="266" spans="1:14" x14ac:dyDescent="0.3">
      <c r="A266" s="3" t="s">
        <v>346</v>
      </c>
      <c r="B266" s="2">
        <v>45763</v>
      </c>
      <c r="C266" s="3" t="s">
        <v>66</v>
      </c>
      <c r="D266" s="3" t="s">
        <v>38</v>
      </c>
      <c r="E266" s="3" t="s">
        <v>39</v>
      </c>
      <c r="F266" s="3" t="s">
        <v>62</v>
      </c>
      <c r="G266" s="3" t="s">
        <v>103</v>
      </c>
      <c r="H266" s="3" t="s">
        <v>104</v>
      </c>
      <c r="I266" s="5">
        <v>9407.4</v>
      </c>
      <c r="J266" s="4">
        <v>10</v>
      </c>
      <c r="K266" s="1">
        <v>2</v>
      </c>
      <c r="L266" s="4">
        <v>1067.6199999999999</v>
      </c>
      <c r="M266" s="3" t="s">
        <v>51</v>
      </c>
      <c r="N266" s="3" t="s">
        <v>35</v>
      </c>
    </row>
    <row r="267" spans="1:14" x14ac:dyDescent="0.3">
      <c r="A267" s="3" t="s">
        <v>347</v>
      </c>
      <c r="B267" s="2">
        <v>45499</v>
      </c>
      <c r="C267" s="3" t="s">
        <v>37</v>
      </c>
      <c r="D267" s="3" t="s">
        <v>38</v>
      </c>
      <c r="E267" s="3" t="s">
        <v>71</v>
      </c>
      <c r="F267" s="3" t="s">
        <v>62</v>
      </c>
      <c r="G267" s="3" t="s">
        <v>103</v>
      </c>
      <c r="H267" s="3" t="s">
        <v>104</v>
      </c>
      <c r="I267" s="5">
        <v>1808.13</v>
      </c>
      <c r="J267" s="4">
        <v>1</v>
      </c>
      <c r="K267" s="1">
        <v>9</v>
      </c>
      <c r="L267" s="4">
        <v>156.77000000000001</v>
      </c>
      <c r="M267" s="3" t="s">
        <v>51</v>
      </c>
      <c r="N267" s="3" t="s">
        <v>22</v>
      </c>
    </row>
    <row r="268" spans="1:14" x14ac:dyDescent="0.3">
      <c r="A268" s="3" t="s">
        <v>348</v>
      </c>
      <c r="B268" s="2">
        <v>45780</v>
      </c>
      <c r="C268" s="3" t="s">
        <v>50</v>
      </c>
      <c r="D268" s="3" t="s">
        <v>38</v>
      </c>
      <c r="E268" s="3" t="s">
        <v>43</v>
      </c>
      <c r="F268" s="3" t="s">
        <v>18</v>
      </c>
      <c r="G268" s="3" t="s">
        <v>26</v>
      </c>
      <c r="H268" s="3" t="s">
        <v>27</v>
      </c>
      <c r="I268" s="5">
        <v>2468.46</v>
      </c>
      <c r="J268" s="4">
        <v>3</v>
      </c>
      <c r="K268" s="1">
        <v>24</v>
      </c>
      <c r="L268" s="4">
        <v>108.13</v>
      </c>
      <c r="M268" s="3" t="s">
        <v>28</v>
      </c>
      <c r="N268" s="3" t="s">
        <v>44</v>
      </c>
    </row>
    <row r="269" spans="1:14" x14ac:dyDescent="0.3">
      <c r="A269" s="3" t="s">
        <v>349</v>
      </c>
      <c r="B269" s="2">
        <v>45775</v>
      </c>
      <c r="C269" s="3" t="s">
        <v>86</v>
      </c>
      <c r="D269" s="3" t="s">
        <v>89</v>
      </c>
      <c r="E269" s="3" t="s">
        <v>90</v>
      </c>
      <c r="F269" s="3" t="s">
        <v>32</v>
      </c>
      <c r="G269" s="3" t="s">
        <v>47</v>
      </c>
      <c r="H269" s="3" t="s">
        <v>48</v>
      </c>
      <c r="I269" s="5">
        <v>2580</v>
      </c>
      <c r="J269" s="4">
        <v>10</v>
      </c>
      <c r="K269" s="1">
        <v>10</v>
      </c>
      <c r="L269" s="4">
        <v>203.39</v>
      </c>
      <c r="M269" s="3" t="s">
        <v>28</v>
      </c>
      <c r="N269" s="3" t="s">
        <v>35</v>
      </c>
    </row>
    <row r="270" spans="1:14" x14ac:dyDescent="0.3">
      <c r="A270" s="3" t="s">
        <v>350</v>
      </c>
      <c r="B270" s="2">
        <v>45750</v>
      </c>
      <c r="C270" s="3" t="s">
        <v>15</v>
      </c>
      <c r="D270" s="3" t="s">
        <v>56</v>
      </c>
      <c r="E270" s="3" t="s">
        <v>108</v>
      </c>
      <c r="F270" s="3" t="s">
        <v>18</v>
      </c>
      <c r="G270" s="3" t="s">
        <v>94</v>
      </c>
      <c r="H270" s="3" t="s">
        <v>95</v>
      </c>
      <c r="I270" s="5">
        <v>13564.8</v>
      </c>
      <c r="J270" s="4">
        <v>8</v>
      </c>
      <c r="K270" s="1">
        <v>7.0000000000000009</v>
      </c>
      <c r="L270" s="4">
        <v>3074.62</v>
      </c>
      <c r="M270" s="3" t="s">
        <v>28</v>
      </c>
      <c r="N270" s="3" t="s">
        <v>40</v>
      </c>
    </row>
    <row r="271" spans="1:14" x14ac:dyDescent="0.3">
      <c r="A271" s="3" t="s">
        <v>351</v>
      </c>
      <c r="B271" s="2">
        <v>45704</v>
      </c>
      <c r="C271" s="3" t="s">
        <v>99</v>
      </c>
      <c r="D271" s="3" t="s">
        <v>89</v>
      </c>
      <c r="E271" s="3" t="s">
        <v>102</v>
      </c>
      <c r="F271" s="3" t="s">
        <v>62</v>
      </c>
      <c r="G271" s="3" t="s">
        <v>80</v>
      </c>
      <c r="H271" s="3" t="s">
        <v>81</v>
      </c>
      <c r="I271" s="5">
        <v>641.17999999999995</v>
      </c>
      <c r="J271" s="4">
        <v>2</v>
      </c>
      <c r="K271" s="1">
        <v>24</v>
      </c>
      <c r="L271" s="4">
        <v>98.47</v>
      </c>
      <c r="M271" s="3" t="s">
        <v>28</v>
      </c>
      <c r="N271" s="3" t="s">
        <v>40</v>
      </c>
    </row>
    <row r="272" spans="1:14" x14ac:dyDescent="0.3">
      <c r="A272" s="3" t="s">
        <v>352</v>
      </c>
      <c r="B272" s="2">
        <v>45683</v>
      </c>
      <c r="C272" s="3" t="s">
        <v>99</v>
      </c>
      <c r="D272" s="3" t="s">
        <v>89</v>
      </c>
      <c r="E272" s="3" t="s">
        <v>102</v>
      </c>
      <c r="F272" s="3" t="s">
        <v>32</v>
      </c>
      <c r="G272" s="3" t="s">
        <v>58</v>
      </c>
      <c r="H272" s="3" t="s">
        <v>59</v>
      </c>
      <c r="I272" s="5">
        <v>12137.3</v>
      </c>
      <c r="J272" s="4">
        <v>10</v>
      </c>
      <c r="K272" s="1">
        <v>12</v>
      </c>
      <c r="L272" s="4">
        <v>1336.04</v>
      </c>
      <c r="M272" s="3" t="s">
        <v>51</v>
      </c>
      <c r="N272" s="3" t="s">
        <v>40</v>
      </c>
    </row>
    <row r="273" spans="1:14" x14ac:dyDescent="0.3">
      <c r="A273" s="3" t="s">
        <v>353</v>
      </c>
      <c r="B273" s="2">
        <v>45473</v>
      </c>
      <c r="C273" s="3" t="s">
        <v>30</v>
      </c>
      <c r="D273" s="3" t="s">
        <v>89</v>
      </c>
      <c r="E273" s="3" t="s">
        <v>102</v>
      </c>
      <c r="F273" s="3" t="s">
        <v>18</v>
      </c>
      <c r="G273" s="3" t="s">
        <v>76</v>
      </c>
      <c r="H273" s="3" t="s">
        <v>77</v>
      </c>
      <c r="I273" s="5">
        <v>5395.14</v>
      </c>
      <c r="J273" s="4">
        <v>9</v>
      </c>
      <c r="K273" s="1">
        <v>30</v>
      </c>
      <c r="L273" s="4">
        <v>803.26</v>
      </c>
      <c r="M273" s="3" t="s">
        <v>28</v>
      </c>
      <c r="N273" s="3" t="s">
        <v>44</v>
      </c>
    </row>
    <row r="274" spans="1:14" x14ac:dyDescent="0.3">
      <c r="A274" s="3" t="s">
        <v>354</v>
      </c>
      <c r="B274" s="2">
        <v>45640</v>
      </c>
      <c r="C274" s="3" t="s">
        <v>66</v>
      </c>
      <c r="D274" s="3" t="s">
        <v>38</v>
      </c>
      <c r="E274" s="3" t="s">
        <v>39</v>
      </c>
      <c r="F274" s="3" t="s">
        <v>62</v>
      </c>
      <c r="G274" s="3" t="s">
        <v>103</v>
      </c>
      <c r="H274" s="3" t="s">
        <v>104</v>
      </c>
      <c r="I274" s="5">
        <v>1286.3</v>
      </c>
      <c r="J274" s="4">
        <v>10</v>
      </c>
      <c r="K274" s="1">
        <v>24</v>
      </c>
      <c r="L274" s="4">
        <v>128.87</v>
      </c>
      <c r="M274" s="3" t="s">
        <v>21</v>
      </c>
      <c r="N274" s="3" t="s">
        <v>44</v>
      </c>
    </row>
    <row r="275" spans="1:14" x14ac:dyDescent="0.3">
      <c r="A275" s="3" t="s">
        <v>355</v>
      </c>
      <c r="B275" s="2">
        <v>45549</v>
      </c>
      <c r="C275" s="3" t="s">
        <v>70</v>
      </c>
      <c r="D275" s="3" t="s">
        <v>16</v>
      </c>
      <c r="E275" s="3" t="s">
        <v>31</v>
      </c>
      <c r="F275" s="3" t="s">
        <v>32</v>
      </c>
      <c r="G275" s="3" t="s">
        <v>58</v>
      </c>
      <c r="H275" s="3" t="s">
        <v>59</v>
      </c>
      <c r="I275" s="5">
        <v>4079.6</v>
      </c>
      <c r="J275" s="4">
        <v>4</v>
      </c>
      <c r="K275" s="1">
        <v>2</v>
      </c>
      <c r="L275" s="4">
        <v>908.73</v>
      </c>
      <c r="M275" s="3" t="s">
        <v>28</v>
      </c>
      <c r="N275" s="3" t="s">
        <v>22</v>
      </c>
    </row>
    <row r="276" spans="1:14" x14ac:dyDescent="0.3">
      <c r="A276" s="3" t="s">
        <v>356</v>
      </c>
      <c r="B276" s="2">
        <v>45475</v>
      </c>
      <c r="C276" s="3" t="s">
        <v>101</v>
      </c>
      <c r="D276" s="3" t="s">
        <v>16</v>
      </c>
      <c r="E276" s="3" t="s">
        <v>25</v>
      </c>
      <c r="F276" s="3" t="s">
        <v>18</v>
      </c>
      <c r="G276" s="3" t="s">
        <v>19</v>
      </c>
      <c r="H276" s="3" t="s">
        <v>20</v>
      </c>
      <c r="I276" s="5">
        <v>2245.86</v>
      </c>
      <c r="J276" s="4">
        <v>6</v>
      </c>
      <c r="K276" s="1">
        <v>27</v>
      </c>
      <c r="L276" s="4">
        <v>361.41</v>
      </c>
      <c r="M276" s="3" t="s">
        <v>51</v>
      </c>
      <c r="N276" s="3" t="s">
        <v>44</v>
      </c>
    </row>
    <row r="277" spans="1:14" x14ac:dyDescent="0.3">
      <c r="A277" s="3" t="s">
        <v>357</v>
      </c>
      <c r="B277" s="2">
        <v>45436</v>
      </c>
      <c r="C277" s="3" t="s">
        <v>42</v>
      </c>
      <c r="D277" s="3" t="s">
        <v>56</v>
      </c>
      <c r="E277" s="3" t="s">
        <v>57</v>
      </c>
      <c r="F277" s="3" t="s">
        <v>32</v>
      </c>
      <c r="G277" s="3" t="s">
        <v>112</v>
      </c>
      <c r="H277" s="3" t="s">
        <v>113</v>
      </c>
      <c r="I277" s="5">
        <v>12438.86</v>
      </c>
      <c r="J277" s="4">
        <v>7</v>
      </c>
      <c r="K277" s="1">
        <v>9</v>
      </c>
      <c r="L277" s="4">
        <v>2097.65</v>
      </c>
      <c r="M277" s="3" t="s">
        <v>21</v>
      </c>
      <c r="N277" s="3" t="s">
        <v>22</v>
      </c>
    </row>
    <row r="278" spans="1:14" x14ac:dyDescent="0.3">
      <c r="A278" s="3" t="s">
        <v>358</v>
      </c>
      <c r="B278" s="2">
        <v>45506</v>
      </c>
      <c r="C278" s="3" t="s">
        <v>42</v>
      </c>
      <c r="D278" s="3" t="s">
        <v>38</v>
      </c>
      <c r="E278" s="3" t="s">
        <v>39</v>
      </c>
      <c r="F278" s="3" t="s">
        <v>32</v>
      </c>
      <c r="G278" s="3" t="s">
        <v>112</v>
      </c>
      <c r="H278" s="3" t="s">
        <v>113</v>
      </c>
      <c r="I278" s="5">
        <v>5064.3599999999997</v>
      </c>
      <c r="J278" s="4">
        <v>4</v>
      </c>
      <c r="K278" s="1">
        <v>19</v>
      </c>
      <c r="L278" s="4">
        <v>507.66</v>
      </c>
      <c r="M278" s="3" t="s">
        <v>28</v>
      </c>
      <c r="N278" s="3" t="s">
        <v>40</v>
      </c>
    </row>
    <row r="279" spans="1:14" x14ac:dyDescent="0.3">
      <c r="A279" s="3" t="s">
        <v>359</v>
      </c>
      <c r="B279" s="2">
        <v>45574</v>
      </c>
      <c r="C279" s="3" t="s">
        <v>70</v>
      </c>
      <c r="D279" s="3" t="s">
        <v>38</v>
      </c>
      <c r="E279" s="3" t="s">
        <v>53</v>
      </c>
      <c r="F279" s="3" t="s">
        <v>32</v>
      </c>
      <c r="G279" s="3" t="s">
        <v>58</v>
      </c>
      <c r="H279" s="3" t="s">
        <v>59</v>
      </c>
      <c r="I279" s="5">
        <v>472.86</v>
      </c>
      <c r="J279" s="4">
        <v>2</v>
      </c>
      <c r="K279" s="1">
        <v>0</v>
      </c>
      <c r="L279" s="4">
        <v>94.75</v>
      </c>
      <c r="M279" s="3" t="s">
        <v>28</v>
      </c>
      <c r="N279" s="3" t="s">
        <v>35</v>
      </c>
    </row>
    <row r="280" spans="1:14" x14ac:dyDescent="0.3">
      <c r="A280" s="3" t="s">
        <v>360</v>
      </c>
      <c r="B280" s="2">
        <v>45767</v>
      </c>
      <c r="C280" s="3" t="s">
        <v>37</v>
      </c>
      <c r="D280" s="3" t="s">
        <v>38</v>
      </c>
      <c r="E280" s="3" t="s">
        <v>39</v>
      </c>
      <c r="F280" s="3" t="s">
        <v>62</v>
      </c>
      <c r="G280" s="3" t="s">
        <v>67</v>
      </c>
      <c r="H280" s="3" t="s">
        <v>68</v>
      </c>
      <c r="I280" s="5">
        <v>1478.69</v>
      </c>
      <c r="J280" s="4">
        <v>1</v>
      </c>
      <c r="K280" s="1">
        <v>12</v>
      </c>
      <c r="L280" s="4">
        <v>275.02999999999997</v>
      </c>
      <c r="M280" s="3" t="s">
        <v>21</v>
      </c>
      <c r="N280" s="3" t="s">
        <v>22</v>
      </c>
    </row>
    <row r="281" spans="1:14" x14ac:dyDescent="0.3">
      <c r="A281" s="3" t="s">
        <v>361</v>
      </c>
      <c r="B281" s="2">
        <v>45729</v>
      </c>
      <c r="C281" s="3" t="s">
        <v>66</v>
      </c>
      <c r="D281" s="3" t="s">
        <v>56</v>
      </c>
      <c r="E281" s="3" t="s">
        <v>61</v>
      </c>
      <c r="F281" s="3" t="s">
        <v>62</v>
      </c>
      <c r="G281" s="3" t="s">
        <v>63</v>
      </c>
      <c r="H281" s="3" t="s">
        <v>64</v>
      </c>
      <c r="I281" s="5">
        <v>18644.2</v>
      </c>
      <c r="J281" s="4">
        <v>10</v>
      </c>
      <c r="K281" s="1">
        <v>19</v>
      </c>
      <c r="L281" s="4">
        <v>2363.31</v>
      </c>
      <c r="M281" s="3" t="s">
        <v>21</v>
      </c>
      <c r="N281" s="3" t="s">
        <v>40</v>
      </c>
    </row>
    <row r="282" spans="1:14" x14ac:dyDescent="0.3">
      <c r="A282" s="3" t="s">
        <v>362</v>
      </c>
      <c r="B282" s="2">
        <v>45494</v>
      </c>
      <c r="C282" s="3" t="s">
        <v>84</v>
      </c>
      <c r="D282" s="3" t="s">
        <v>56</v>
      </c>
      <c r="E282" s="3" t="s">
        <v>108</v>
      </c>
      <c r="F282" s="3" t="s">
        <v>18</v>
      </c>
      <c r="G282" s="3" t="s">
        <v>94</v>
      </c>
      <c r="H282" s="3" t="s">
        <v>95</v>
      </c>
      <c r="I282" s="5">
        <v>4942.0200000000004</v>
      </c>
      <c r="J282" s="4">
        <v>6</v>
      </c>
      <c r="K282" s="1">
        <v>22</v>
      </c>
      <c r="L282" s="4">
        <v>631.66</v>
      </c>
      <c r="M282" s="3" t="s">
        <v>21</v>
      </c>
      <c r="N282" s="3" t="s">
        <v>40</v>
      </c>
    </row>
    <row r="283" spans="1:14" x14ac:dyDescent="0.3">
      <c r="A283" s="3" t="s">
        <v>363</v>
      </c>
      <c r="B283" s="2">
        <v>45609</v>
      </c>
      <c r="C283" s="3" t="s">
        <v>86</v>
      </c>
      <c r="D283" s="3" t="s">
        <v>16</v>
      </c>
      <c r="E283" s="3" t="s">
        <v>17</v>
      </c>
      <c r="F283" s="3" t="s">
        <v>62</v>
      </c>
      <c r="G283" s="3" t="s">
        <v>103</v>
      </c>
      <c r="H283" s="3" t="s">
        <v>104</v>
      </c>
      <c r="I283" s="5">
        <v>5029.0200000000004</v>
      </c>
      <c r="J283" s="4">
        <v>6</v>
      </c>
      <c r="K283" s="1">
        <v>19</v>
      </c>
      <c r="L283" s="4">
        <v>486.97</v>
      </c>
      <c r="M283" s="3" t="s">
        <v>28</v>
      </c>
      <c r="N283" s="3" t="s">
        <v>22</v>
      </c>
    </row>
    <row r="284" spans="1:14" x14ac:dyDescent="0.3">
      <c r="A284" s="3" t="s">
        <v>364</v>
      </c>
      <c r="B284" s="2">
        <v>45514</v>
      </c>
      <c r="C284" s="3" t="s">
        <v>73</v>
      </c>
      <c r="D284" s="3" t="s">
        <v>56</v>
      </c>
      <c r="E284" s="3" t="s">
        <v>57</v>
      </c>
      <c r="F284" s="3" t="s">
        <v>18</v>
      </c>
      <c r="G284" s="3" t="s">
        <v>94</v>
      </c>
      <c r="H284" s="3" t="s">
        <v>95</v>
      </c>
      <c r="I284" s="5">
        <v>2464.6799999999998</v>
      </c>
      <c r="J284" s="4">
        <v>2</v>
      </c>
      <c r="K284" s="1">
        <v>13</v>
      </c>
      <c r="L284" s="4">
        <v>438.25</v>
      </c>
      <c r="M284" s="3" t="s">
        <v>51</v>
      </c>
      <c r="N284" s="3" t="s">
        <v>40</v>
      </c>
    </row>
    <row r="285" spans="1:14" x14ac:dyDescent="0.3">
      <c r="A285" s="3" t="s">
        <v>365</v>
      </c>
      <c r="B285" s="2">
        <v>45432</v>
      </c>
      <c r="C285" s="3" t="s">
        <v>50</v>
      </c>
      <c r="D285" s="3" t="s">
        <v>16</v>
      </c>
      <c r="E285" s="3" t="s">
        <v>25</v>
      </c>
      <c r="F285" s="3" t="s">
        <v>18</v>
      </c>
      <c r="G285" s="3" t="s">
        <v>19</v>
      </c>
      <c r="H285" s="3" t="s">
        <v>20</v>
      </c>
      <c r="I285" s="5">
        <v>3877.72</v>
      </c>
      <c r="J285" s="4">
        <v>2</v>
      </c>
      <c r="K285" s="1">
        <v>12</v>
      </c>
      <c r="L285" s="4">
        <v>722.87</v>
      </c>
      <c r="M285" s="3" t="s">
        <v>51</v>
      </c>
      <c r="N285" s="3" t="s">
        <v>22</v>
      </c>
    </row>
    <row r="286" spans="1:14" x14ac:dyDescent="0.3">
      <c r="A286" s="3" t="s">
        <v>366</v>
      </c>
      <c r="B286" s="2">
        <v>45461</v>
      </c>
      <c r="C286" s="3" t="s">
        <v>24</v>
      </c>
      <c r="D286" s="3" t="s">
        <v>16</v>
      </c>
      <c r="E286" s="3" t="s">
        <v>25</v>
      </c>
      <c r="F286" s="3" t="s">
        <v>32</v>
      </c>
      <c r="G286" s="3" t="s">
        <v>58</v>
      </c>
      <c r="H286" s="3" t="s">
        <v>59</v>
      </c>
      <c r="I286" s="5">
        <v>6679.44</v>
      </c>
      <c r="J286" s="4">
        <v>9</v>
      </c>
      <c r="K286" s="1">
        <v>1</v>
      </c>
      <c r="L286" s="4">
        <v>807.7</v>
      </c>
      <c r="M286" s="3" t="s">
        <v>21</v>
      </c>
      <c r="N286" s="3" t="s">
        <v>35</v>
      </c>
    </row>
    <row r="287" spans="1:14" x14ac:dyDescent="0.3">
      <c r="A287" s="3" t="s">
        <v>367</v>
      </c>
      <c r="B287" s="2">
        <v>45672</v>
      </c>
      <c r="C287" s="3" t="s">
        <v>86</v>
      </c>
      <c r="D287" s="3" t="s">
        <v>38</v>
      </c>
      <c r="E287" s="3" t="s">
        <v>43</v>
      </c>
      <c r="F287" s="3" t="s">
        <v>62</v>
      </c>
      <c r="G287" s="3" t="s">
        <v>67</v>
      </c>
      <c r="H287" s="3" t="s">
        <v>68</v>
      </c>
      <c r="I287" s="5">
        <v>4123.8</v>
      </c>
      <c r="J287" s="4">
        <v>4</v>
      </c>
      <c r="K287" s="1">
        <v>8</v>
      </c>
      <c r="L287" s="4">
        <v>593.76</v>
      </c>
      <c r="M287" s="3" t="s">
        <v>21</v>
      </c>
      <c r="N287" s="3" t="s">
        <v>44</v>
      </c>
    </row>
    <row r="288" spans="1:14" x14ac:dyDescent="0.3">
      <c r="A288" s="3" t="s">
        <v>368</v>
      </c>
      <c r="B288" s="2">
        <v>45539</v>
      </c>
      <c r="C288" s="3" t="s">
        <v>24</v>
      </c>
      <c r="D288" s="3" t="s">
        <v>56</v>
      </c>
      <c r="E288" s="3" t="s">
        <v>61</v>
      </c>
      <c r="F288" s="3" t="s">
        <v>32</v>
      </c>
      <c r="G288" s="3" t="s">
        <v>33</v>
      </c>
      <c r="H288" s="3" t="s">
        <v>34</v>
      </c>
      <c r="I288" s="5">
        <v>2261.34</v>
      </c>
      <c r="J288" s="4">
        <v>9</v>
      </c>
      <c r="K288" s="1">
        <v>8</v>
      </c>
      <c r="L288" s="4">
        <v>509.97</v>
      </c>
      <c r="M288" s="3" t="s">
        <v>21</v>
      </c>
      <c r="N288" s="3" t="s">
        <v>35</v>
      </c>
    </row>
    <row r="289" spans="1:14" x14ac:dyDescent="0.3">
      <c r="A289" s="3" t="s">
        <v>369</v>
      </c>
      <c r="B289" s="2">
        <v>45754</v>
      </c>
      <c r="C289" s="3" t="s">
        <v>42</v>
      </c>
      <c r="D289" s="3" t="s">
        <v>89</v>
      </c>
      <c r="E289" s="3" t="s">
        <v>97</v>
      </c>
      <c r="F289" s="3" t="s">
        <v>62</v>
      </c>
      <c r="G289" s="3" t="s">
        <v>67</v>
      </c>
      <c r="H289" s="3" t="s">
        <v>68</v>
      </c>
      <c r="I289" s="5">
        <v>3802.44</v>
      </c>
      <c r="J289" s="4">
        <v>3</v>
      </c>
      <c r="K289" s="1">
        <v>5</v>
      </c>
      <c r="L289" s="4">
        <v>845.87</v>
      </c>
      <c r="M289" s="3" t="s">
        <v>21</v>
      </c>
      <c r="N289" s="3" t="s">
        <v>35</v>
      </c>
    </row>
    <row r="290" spans="1:14" x14ac:dyDescent="0.3">
      <c r="A290" s="3" t="s">
        <v>370</v>
      </c>
      <c r="B290" s="2">
        <v>45724</v>
      </c>
      <c r="C290" s="3" t="s">
        <v>42</v>
      </c>
      <c r="D290" s="3" t="s">
        <v>16</v>
      </c>
      <c r="E290" s="3" t="s">
        <v>17</v>
      </c>
      <c r="F290" s="3" t="s">
        <v>18</v>
      </c>
      <c r="G290" s="3" t="s">
        <v>26</v>
      </c>
      <c r="H290" s="3" t="s">
        <v>27</v>
      </c>
      <c r="I290" s="5">
        <v>4210.0200000000004</v>
      </c>
      <c r="J290" s="4">
        <v>9</v>
      </c>
      <c r="K290" s="1">
        <v>12</v>
      </c>
      <c r="L290" s="4">
        <v>273.68</v>
      </c>
      <c r="M290" s="3" t="s">
        <v>21</v>
      </c>
      <c r="N290" s="3" t="s">
        <v>40</v>
      </c>
    </row>
    <row r="291" spans="1:14" x14ac:dyDescent="0.3">
      <c r="A291" s="3" t="s">
        <v>371</v>
      </c>
      <c r="B291" s="2">
        <v>45748</v>
      </c>
      <c r="C291" s="3" t="s">
        <v>24</v>
      </c>
      <c r="D291" s="3" t="s">
        <v>38</v>
      </c>
      <c r="E291" s="3" t="s">
        <v>53</v>
      </c>
      <c r="F291" s="3" t="s">
        <v>62</v>
      </c>
      <c r="G291" s="3" t="s">
        <v>67</v>
      </c>
      <c r="H291" s="3" t="s">
        <v>68</v>
      </c>
      <c r="I291" s="5">
        <v>2581.6</v>
      </c>
      <c r="J291" s="4">
        <v>2</v>
      </c>
      <c r="K291" s="1">
        <v>5</v>
      </c>
      <c r="L291" s="4">
        <v>417.01</v>
      </c>
      <c r="M291" s="3" t="s">
        <v>21</v>
      </c>
      <c r="N291" s="3" t="s">
        <v>40</v>
      </c>
    </row>
    <row r="292" spans="1:14" x14ac:dyDescent="0.3">
      <c r="A292" s="3" t="s">
        <v>372</v>
      </c>
      <c r="B292" s="2">
        <v>45738</v>
      </c>
      <c r="C292" s="3" t="s">
        <v>30</v>
      </c>
      <c r="D292" s="3" t="s">
        <v>38</v>
      </c>
      <c r="E292" s="3" t="s">
        <v>39</v>
      </c>
      <c r="F292" s="3" t="s">
        <v>32</v>
      </c>
      <c r="G292" s="3" t="s">
        <v>112</v>
      </c>
      <c r="H292" s="3" t="s">
        <v>113</v>
      </c>
      <c r="I292" s="5">
        <v>7488.6</v>
      </c>
      <c r="J292" s="4">
        <v>7</v>
      </c>
      <c r="K292" s="1">
        <v>17</v>
      </c>
      <c r="L292" s="4">
        <v>1006.99</v>
      </c>
      <c r="M292" s="3" t="s">
        <v>51</v>
      </c>
      <c r="N292" s="3" t="s">
        <v>44</v>
      </c>
    </row>
    <row r="293" spans="1:14" x14ac:dyDescent="0.3">
      <c r="A293" s="3" t="s">
        <v>373</v>
      </c>
      <c r="B293" s="2">
        <v>45749</v>
      </c>
      <c r="C293" s="3" t="s">
        <v>99</v>
      </c>
      <c r="D293" s="3" t="s">
        <v>38</v>
      </c>
      <c r="E293" s="3" t="s">
        <v>71</v>
      </c>
      <c r="F293" s="3" t="s">
        <v>32</v>
      </c>
      <c r="G293" s="3" t="s">
        <v>112</v>
      </c>
      <c r="H293" s="3" t="s">
        <v>113</v>
      </c>
      <c r="I293" s="5">
        <v>14933.12</v>
      </c>
      <c r="J293" s="4">
        <v>8</v>
      </c>
      <c r="K293" s="1">
        <v>5</v>
      </c>
      <c r="L293" s="4">
        <v>1934.32</v>
      </c>
      <c r="M293" s="3" t="s">
        <v>51</v>
      </c>
      <c r="N293" s="3" t="s">
        <v>40</v>
      </c>
    </row>
    <row r="294" spans="1:14" x14ac:dyDescent="0.3">
      <c r="A294" s="3" t="s">
        <v>374</v>
      </c>
      <c r="B294" s="2">
        <v>45446</v>
      </c>
      <c r="C294" s="3" t="s">
        <v>50</v>
      </c>
      <c r="D294" s="3" t="s">
        <v>89</v>
      </c>
      <c r="E294" s="3" t="s">
        <v>116</v>
      </c>
      <c r="F294" s="3" t="s">
        <v>62</v>
      </c>
      <c r="G294" s="3" t="s">
        <v>103</v>
      </c>
      <c r="H294" s="3" t="s">
        <v>104</v>
      </c>
      <c r="I294" s="5">
        <v>5846.7</v>
      </c>
      <c r="J294" s="4">
        <v>6</v>
      </c>
      <c r="K294" s="1">
        <v>27</v>
      </c>
      <c r="L294" s="4">
        <v>295.01</v>
      </c>
      <c r="M294" s="3" t="s">
        <v>21</v>
      </c>
      <c r="N294" s="3" t="s">
        <v>35</v>
      </c>
    </row>
    <row r="295" spans="1:14" x14ac:dyDescent="0.3">
      <c r="A295" s="3" t="s">
        <v>375</v>
      </c>
      <c r="B295" s="2">
        <v>45631</v>
      </c>
      <c r="C295" s="3" t="s">
        <v>73</v>
      </c>
      <c r="D295" s="3" t="s">
        <v>56</v>
      </c>
      <c r="E295" s="3" t="s">
        <v>57</v>
      </c>
      <c r="F295" s="3" t="s">
        <v>62</v>
      </c>
      <c r="G295" s="3" t="s">
        <v>103</v>
      </c>
      <c r="H295" s="3" t="s">
        <v>104</v>
      </c>
      <c r="I295" s="5">
        <v>13209.21</v>
      </c>
      <c r="J295" s="4">
        <v>7</v>
      </c>
      <c r="K295" s="1">
        <v>27</v>
      </c>
      <c r="L295" s="4">
        <v>968.94</v>
      </c>
      <c r="M295" s="3" t="s">
        <v>51</v>
      </c>
      <c r="N295" s="3" t="s">
        <v>35</v>
      </c>
    </row>
    <row r="296" spans="1:14" x14ac:dyDescent="0.3">
      <c r="A296" s="3" t="s">
        <v>376</v>
      </c>
      <c r="B296" s="2">
        <v>45475</v>
      </c>
      <c r="C296" s="3" t="s">
        <v>24</v>
      </c>
      <c r="D296" s="3" t="s">
        <v>38</v>
      </c>
      <c r="E296" s="3" t="s">
        <v>71</v>
      </c>
      <c r="F296" s="3" t="s">
        <v>32</v>
      </c>
      <c r="G296" s="3" t="s">
        <v>112</v>
      </c>
      <c r="H296" s="3" t="s">
        <v>113</v>
      </c>
      <c r="I296" s="5">
        <v>1213.32</v>
      </c>
      <c r="J296" s="4">
        <v>1</v>
      </c>
      <c r="K296" s="1">
        <v>2</v>
      </c>
      <c r="L296" s="4">
        <v>265.82</v>
      </c>
      <c r="M296" s="3" t="s">
        <v>51</v>
      </c>
      <c r="N296" s="3" t="s">
        <v>40</v>
      </c>
    </row>
    <row r="297" spans="1:14" x14ac:dyDescent="0.3">
      <c r="A297" s="3" t="s">
        <v>377</v>
      </c>
      <c r="B297" s="2">
        <v>45758</v>
      </c>
      <c r="C297" s="3" t="s">
        <v>66</v>
      </c>
      <c r="D297" s="3" t="s">
        <v>89</v>
      </c>
      <c r="E297" s="3" t="s">
        <v>97</v>
      </c>
      <c r="F297" s="3" t="s">
        <v>32</v>
      </c>
      <c r="G297" s="3" t="s">
        <v>47</v>
      </c>
      <c r="H297" s="3" t="s">
        <v>48</v>
      </c>
      <c r="I297" s="5">
        <v>2540.7600000000002</v>
      </c>
      <c r="J297" s="4">
        <v>6</v>
      </c>
      <c r="K297" s="1">
        <v>2</v>
      </c>
      <c r="L297" s="4">
        <v>289.39</v>
      </c>
      <c r="M297" s="3" t="s">
        <v>21</v>
      </c>
      <c r="N297" s="3" t="s">
        <v>44</v>
      </c>
    </row>
    <row r="298" spans="1:14" x14ac:dyDescent="0.3">
      <c r="A298" s="3" t="s">
        <v>378</v>
      </c>
      <c r="B298" s="2">
        <v>45633</v>
      </c>
      <c r="C298" s="3" t="s">
        <v>42</v>
      </c>
      <c r="D298" s="3" t="s">
        <v>38</v>
      </c>
      <c r="E298" s="3" t="s">
        <v>43</v>
      </c>
      <c r="F298" s="3" t="s">
        <v>18</v>
      </c>
      <c r="G298" s="3" t="s">
        <v>76</v>
      </c>
      <c r="H298" s="3" t="s">
        <v>77</v>
      </c>
      <c r="I298" s="5">
        <v>6833.76</v>
      </c>
      <c r="J298" s="4">
        <v>8</v>
      </c>
      <c r="K298" s="1">
        <v>5</v>
      </c>
      <c r="L298" s="4">
        <v>899.79</v>
      </c>
      <c r="M298" s="3" t="s">
        <v>28</v>
      </c>
      <c r="N298" s="3" t="s">
        <v>35</v>
      </c>
    </row>
    <row r="299" spans="1:14" x14ac:dyDescent="0.3">
      <c r="A299" s="3" t="s">
        <v>379</v>
      </c>
      <c r="B299" s="2">
        <v>45638</v>
      </c>
      <c r="C299" s="3" t="s">
        <v>30</v>
      </c>
      <c r="D299" s="3" t="s">
        <v>89</v>
      </c>
      <c r="E299" s="3" t="s">
        <v>97</v>
      </c>
      <c r="F299" s="3" t="s">
        <v>32</v>
      </c>
      <c r="G299" s="3" t="s">
        <v>47</v>
      </c>
      <c r="H299" s="3" t="s">
        <v>48</v>
      </c>
      <c r="I299" s="5">
        <v>13150.88</v>
      </c>
      <c r="J299" s="4">
        <v>8</v>
      </c>
      <c r="K299" s="1">
        <v>1</v>
      </c>
      <c r="L299" s="4">
        <v>1750.48</v>
      </c>
      <c r="M299" s="3" t="s">
        <v>21</v>
      </c>
      <c r="N299" s="3" t="s">
        <v>40</v>
      </c>
    </row>
    <row r="300" spans="1:14" x14ac:dyDescent="0.3">
      <c r="A300" s="3" t="s">
        <v>380</v>
      </c>
      <c r="B300" s="2">
        <v>45487</v>
      </c>
      <c r="C300" s="3" t="s">
        <v>73</v>
      </c>
      <c r="D300" s="3" t="s">
        <v>89</v>
      </c>
      <c r="E300" s="3" t="s">
        <v>116</v>
      </c>
      <c r="F300" s="3" t="s">
        <v>32</v>
      </c>
      <c r="G300" s="3" t="s">
        <v>112</v>
      </c>
      <c r="H300" s="3" t="s">
        <v>113</v>
      </c>
      <c r="I300" s="5">
        <v>6603</v>
      </c>
      <c r="J300" s="4">
        <v>10</v>
      </c>
      <c r="K300" s="1">
        <v>27</v>
      </c>
      <c r="L300" s="4">
        <v>922.36</v>
      </c>
      <c r="M300" s="3" t="s">
        <v>28</v>
      </c>
      <c r="N300" s="3" t="s">
        <v>22</v>
      </c>
    </row>
    <row r="301" spans="1:14" x14ac:dyDescent="0.3">
      <c r="A301" s="3" t="s">
        <v>381</v>
      </c>
      <c r="B301" s="2">
        <v>45490</v>
      </c>
      <c r="C301" s="3" t="s">
        <v>50</v>
      </c>
      <c r="D301" s="3" t="s">
        <v>89</v>
      </c>
      <c r="E301" s="3" t="s">
        <v>116</v>
      </c>
      <c r="F301" s="3" t="s">
        <v>62</v>
      </c>
      <c r="G301" s="3" t="s">
        <v>103</v>
      </c>
      <c r="H301" s="3" t="s">
        <v>104</v>
      </c>
      <c r="I301" s="5">
        <v>7474.92</v>
      </c>
      <c r="J301" s="4">
        <v>6</v>
      </c>
      <c r="K301" s="1">
        <v>21</v>
      </c>
      <c r="L301" s="4">
        <v>981.6</v>
      </c>
      <c r="M301" s="3" t="s">
        <v>21</v>
      </c>
      <c r="N301" s="3" t="s">
        <v>22</v>
      </c>
    </row>
    <row r="302" spans="1:14" x14ac:dyDescent="0.3">
      <c r="A302" s="3" t="s">
        <v>382</v>
      </c>
      <c r="B302" s="2">
        <v>45484</v>
      </c>
      <c r="C302" s="3" t="s">
        <v>66</v>
      </c>
      <c r="D302" s="3" t="s">
        <v>56</v>
      </c>
      <c r="E302" s="3" t="s">
        <v>108</v>
      </c>
      <c r="F302" s="3" t="s">
        <v>62</v>
      </c>
      <c r="G302" s="3" t="s">
        <v>80</v>
      </c>
      <c r="H302" s="3" t="s">
        <v>81</v>
      </c>
      <c r="I302" s="5">
        <v>7753.2</v>
      </c>
      <c r="J302" s="4">
        <v>7</v>
      </c>
      <c r="K302" s="1">
        <v>8</v>
      </c>
      <c r="L302" s="4">
        <v>1136.17</v>
      </c>
      <c r="M302" s="3" t="s">
        <v>51</v>
      </c>
      <c r="N302" s="3" t="s">
        <v>40</v>
      </c>
    </row>
    <row r="303" spans="1:14" x14ac:dyDescent="0.3">
      <c r="A303" s="3" t="s">
        <v>383</v>
      </c>
      <c r="B303" s="2">
        <v>45771</v>
      </c>
      <c r="C303" s="3" t="s">
        <v>84</v>
      </c>
      <c r="D303" s="3" t="s">
        <v>56</v>
      </c>
      <c r="E303" s="3" t="s">
        <v>108</v>
      </c>
      <c r="F303" s="3" t="s">
        <v>32</v>
      </c>
      <c r="G303" s="3" t="s">
        <v>47</v>
      </c>
      <c r="H303" s="3" t="s">
        <v>48</v>
      </c>
      <c r="I303" s="5">
        <v>4486.2</v>
      </c>
      <c r="J303" s="4">
        <v>4</v>
      </c>
      <c r="K303" s="1">
        <v>22</v>
      </c>
      <c r="L303" s="4">
        <v>450.58</v>
      </c>
      <c r="M303" s="3" t="s">
        <v>21</v>
      </c>
      <c r="N303" s="3" t="s">
        <v>35</v>
      </c>
    </row>
    <row r="304" spans="1:14" x14ac:dyDescent="0.3">
      <c r="A304" s="3" t="s">
        <v>384</v>
      </c>
      <c r="B304" s="2">
        <v>45745</v>
      </c>
      <c r="C304" s="3" t="s">
        <v>133</v>
      </c>
      <c r="D304" s="3" t="s">
        <v>56</v>
      </c>
      <c r="E304" s="3" t="s">
        <v>61</v>
      </c>
      <c r="F304" s="3" t="s">
        <v>62</v>
      </c>
      <c r="G304" s="3" t="s">
        <v>80</v>
      </c>
      <c r="H304" s="3" t="s">
        <v>81</v>
      </c>
      <c r="I304" s="5">
        <v>3678.36</v>
      </c>
      <c r="J304" s="4">
        <v>4</v>
      </c>
      <c r="K304" s="1">
        <v>26</v>
      </c>
      <c r="L304" s="4">
        <v>174.5</v>
      </c>
      <c r="M304" s="3" t="s">
        <v>21</v>
      </c>
      <c r="N304" s="3" t="s">
        <v>40</v>
      </c>
    </row>
    <row r="305" spans="1:14" x14ac:dyDescent="0.3">
      <c r="A305" s="3" t="s">
        <v>385</v>
      </c>
      <c r="B305" s="2">
        <v>45456</v>
      </c>
      <c r="C305" s="3" t="s">
        <v>133</v>
      </c>
      <c r="D305" s="3" t="s">
        <v>38</v>
      </c>
      <c r="E305" s="3" t="s">
        <v>53</v>
      </c>
      <c r="F305" s="3" t="s">
        <v>62</v>
      </c>
      <c r="G305" s="3" t="s">
        <v>80</v>
      </c>
      <c r="H305" s="3" t="s">
        <v>81</v>
      </c>
      <c r="I305" s="5">
        <v>1635.62</v>
      </c>
      <c r="J305" s="4">
        <v>2</v>
      </c>
      <c r="K305" s="1">
        <v>16</v>
      </c>
      <c r="L305" s="4">
        <v>165.3</v>
      </c>
      <c r="M305" s="3" t="s">
        <v>51</v>
      </c>
      <c r="N305" s="3" t="s">
        <v>44</v>
      </c>
    </row>
    <row r="306" spans="1:14" x14ac:dyDescent="0.3">
      <c r="A306" s="3" t="s">
        <v>386</v>
      </c>
      <c r="B306" s="2">
        <v>45559</v>
      </c>
      <c r="C306" s="3" t="s">
        <v>66</v>
      </c>
      <c r="D306" s="3" t="s">
        <v>56</v>
      </c>
      <c r="E306" s="3" t="s">
        <v>57</v>
      </c>
      <c r="F306" s="3" t="s">
        <v>32</v>
      </c>
      <c r="G306" s="3" t="s">
        <v>33</v>
      </c>
      <c r="H306" s="3" t="s">
        <v>34</v>
      </c>
      <c r="I306" s="5">
        <v>5816.9</v>
      </c>
      <c r="J306" s="4">
        <v>10</v>
      </c>
      <c r="K306" s="1">
        <v>13</v>
      </c>
      <c r="L306" s="4">
        <v>955.4</v>
      </c>
      <c r="M306" s="3" t="s">
        <v>21</v>
      </c>
      <c r="N306" s="3" t="s">
        <v>22</v>
      </c>
    </row>
    <row r="307" spans="1:14" x14ac:dyDescent="0.3">
      <c r="A307" s="3" t="s">
        <v>387</v>
      </c>
      <c r="B307" s="2">
        <v>45546</v>
      </c>
      <c r="C307" s="3" t="s">
        <v>66</v>
      </c>
      <c r="D307" s="3" t="s">
        <v>89</v>
      </c>
      <c r="E307" s="3" t="s">
        <v>90</v>
      </c>
      <c r="F307" s="3" t="s">
        <v>62</v>
      </c>
      <c r="G307" s="3" t="s">
        <v>63</v>
      </c>
      <c r="H307" s="3" t="s">
        <v>64</v>
      </c>
      <c r="I307" s="5">
        <v>2113.75</v>
      </c>
      <c r="J307" s="4">
        <v>5</v>
      </c>
      <c r="K307" s="1">
        <v>29</v>
      </c>
      <c r="L307" s="4">
        <v>285.45</v>
      </c>
      <c r="M307" s="3" t="s">
        <v>51</v>
      </c>
      <c r="N307" s="3" t="s">
        <v>35</v>
      </c>
    </row>
    <row r="308" spans="1:14" x14ac:dyDescent="0.3">
      <c r="A308" s="3" t="s">
        <v>388</v>
      </c>
      <c r="B308" s="2">
        <v>45754</v>
      </c>
      <c r="C308" s="3" t="s">
        <v>70</v>
      </c>
      <c r="D308" s="3" t="s">
        <v>56</v>
      </c>
      <c r="E308" s="3" t="s">
        <v>61</v>
      </c>
      <c r="F308" s="3" t="s">
        <v>18</v>
      </c>
      <c r="G308" s="3" t="s">
        <v>26</v>
      </c>
      <c r="H308" s="3" t="s">
        <v>27</v>
      </c>
      <c r="I308" s="5">
        <v>5635.68</v>
      </c>
      <c r="J308" s="4">
        <v>3</v>
      </c>
      <c r="K308" s="1">
        <v>8</v>
      </c>
      <c r="L308" s="4">
        <v>804.34</v>
      </c>
      <c r="M308" s="3" t="s">
        <v>51</v>
      </c>
      <c r="N308" s="3" t="s">
        <v>35</v>
      </c>
    </row>
    <row r="309" spans="1:14" x14ac:dyDescent="0.3">
      <c r="A309" s="3" t="s">
        <v>389</v>
      </c>
      <c r="B309" s="2">
        <v>45562</v>
      </c>
      <c r="C309" s="3" t="s">
        <v>133</v>
      </c>
      <c r="D309" s="3" t="s">
        <v>38</v>
      </c>
      <c r="E309" s="3" t="s">
        <v>53</v>
      </c>
      <c r="F309" s="3" t="s">
        <v>32</v>
      </c>
      <c r="G309" s="3" t="s">
        <v>58</v>
      </c>
      <c r="H309" s="3" t="s">
        <v>59</v>
      </c>
      <c r="I309" s="5">
        <v>1873.53</v>
      </c>
      <c r="J309" s="4">
        <v>9</v>
      </c>
      <c r="K309" s="1">
        <v>4</v>
      </c>
      <c r="L309" s="4">
        <v>365.97</v>
      </c>
      <c r="M309" s="3" t="s">
        <v>51</v>
      </c>
      <c r="N309" s="3" t="s">
        <v>22</v>
      </c>
    </row>
    <row r="310" spans="1:14" x14ac:dyDescent="0.3">
      <c r="A310" s="3" t="s">
        <v>390</v>
      </c>
      <c r="B310" s="2">
        <v>45705</v>
      </c>
      <c r="C310" s="3" t="s">
        <v>86</v>
      </c>
      <c r="D310" s="3" t="s">
        <v>16</v>
      </c>
      <c r="E310" s="3" t="s">
        <v>25</v>
      </c>
      <c r="F310" s="3" t="s">
        <v>32</v>
      </c>
      <c r="G310" s="3" t="s">
        <v>112</v>
      </c>
      <c r="H310" s="3" t="s">
        <v>113</v>
      </c>
      <c r="I310" s="5">
        <v>3115.26</v>
      </c>
      <c r="J310" s="4">
        <v>6</v>
      </c>
      <c r="K310" s="1">
        <v>30</v>
      </c>
      <c r="L310" s="4">
        <v>345.2</v>
      </c>
      <c r="M310" s="3" t="s">
        <v>28</v>
      </c>
      <c r="N310" s="3" t="s">
        <v>44</v>
      </c>
    </row>
    <row r="311" spans="1:14" x14ac:dyDescent="0.3">
      <c r="A311" s="3" t="s">
        <v>391</v>
      </c>
      <c r="B311" s="2">
        <v>45650</v>
      </c>
      <c r="C311" s="3" t="s">
        <v>75</v>
      </c>
      <c r="D311" s="3" t="s">
        <v>16</v>
      </c>
      <c r="E311" s="3" t="s">
        <v>25</v>
      </c>
      <c r="F311" s="3" t="s">
        <v>18</v>
      </c>
      <c r="G311" s="3" t="s">
        <v>94</v>
      </c>
      <c r="H311" s="3" t="s">
        <v>95</v>
      </c>
      <c r="I311" s="5">
        <v>5687</v>
      </c>
      <c r="J311" s="4">
        <v>5</v>
      </c>
      <c r="K311" s="1">
        <v>28</v>
      </c>
      <c r="L311" s="4">
        <v>574.04999999999995</v>
      </c>
      <c r="M311" s="3" t="s">
        <v>28</v>
      </c>
      <c r="N311" s="3" t="s">
        <v>44</v>
      </c>
    </row>
    <row r="312" spans="1:14" x14ac:dyDescent="0.3">
      <c r="A312" s="3" t="s">
        <v>392</v>
      </c>
      <c r="B312" s="2">
        <v>45777</v>
      </c>
      <c r="C312" s="3" t="s">
        <v>99</v>
      </c>
      <c r="D312" s="3" t="s">
        <v>38</v>
      </c>
      <c r="E312" s="3" t="s">
        <v>53</v>
      </c>
      <c r="F312" s="3" t="s">
        <v>18</v>
      </c>
      <c r="G312" s="3" t="s">
        <v>76</v>
      </c>
      <c r="H312" s="3" t="s">
        <v>77</v>
      </c>
      <c r="I312" s="5">
        <v>7704.48</v>
      </c>
      <c r="J312" s="4">
        <v>8</v>
      </c>
      <c r="K312" s="1">
        <v>15</v>
      </c>
      <c r="L312" s="4">
        <v>405.89</v>
      </c>
      <c r="M312" s="3" t="s">
        <v>51</v>
      </c>
      <c r="N312" s="3" t="s">
        <v>44</v>
      </c>
    </row>
    <row r="313" spans="1:14" x14ac:dyDescent="0.3">
      <c r="A313" s="3" t="s">
        <v>393</v>
      </c>
      <c r="B313" s="2">
        <v>45661</v>
      </c>
      <c r="C313" s="3" t="s">
        <v>101</v>
      </c>
      <c r="D313" s="3" t="s">
        <v>16</v>
      </c>
      <c r="E313" s="3" t="s">
        <v>25</v>
      </c>
      <c r="F313" s="3" t="s">
        <v>18</v>
      </c>
      <c r="G313" s="3" t="s">
        <v>19</v>
      </c>
      <c r="H313" s="3" t="s">
        <v>20</v>
      </c>
      <c r="I313" s="5">
        <v>8439.6</v>
      </c>
      <c r="J313" s="4">
        <v>10</v>
      </c>
      <c r="K313" s="1">
        <v>27</v>
      </c>
      <c r="L313" s="4">
        <v>907.33</v>
      </c>
      <c r="M313" s="3" t="s">
        <v>28</v>
      </c>
      <c r="N313" s="3" t="s">
        <v>44</v>
      </c>
    </row>
    <row r="314" spans="1:14" x14ac:dyDescent="0.3">
      <c r="A314" s="3" t="s">
        <v>394</v>
      </c>
      <c r="B314" s="2">
        <v>45598</v>
      </c>
      <c r="C314" s="3" t="s">
        <v>24</v>
      </c>
      <c r="D314" s="3" t="s">
        <v>56</v>
      </c>
      <c r="E314" s="3" t="s">
        <v>57</v>
      </c>
      <c r="F314" s="3" t="s">
        <v>18</v>
      </c>
      <c r="G314" s="3" t="s">
        <v>76</v>
      </c>
      <c r="H314" s="3" t="s">
        <v>77</v>
      </c>
      <c r="I314" s="5">
        <v>3395.94</v>
      </c>
      <c r="J314" s="4">
        <v>3</v>
      </c>
      <c r="K314" s="1">
        <v>7.0000000000000009</v>
      </c>
      <c r="L314" s="4">
        <v>634.03</v>
      </c>
      <c r="M314" s="3" t="s">
        <v>51</v>
      </c>
      <c r="N314" s="3" t="s">
        <v>22</v>
      </c>
    </row>
    <row r="315" spans="1:14" x14ac:dyDescent="0.3">
      <c r="A315" s="3" t="s">
        <v>395</v>
      </c>
      <c r="B315" s="2">
        <v>45729</v>
      </c>
      <c r="C315" s="3" t="s">
        <v>24</v>
      </c>
      <c r="D315" s="3" t="s">
        <v>56</v>
      </c>
      <c r="E315" s="3" t="s">
        <v>61</v>
      </c>
      <c r="F315" s="3" t="s">
        <v>18</v>
      </c>
      <c r="G315" s="3" t="s">
        <v>19</v>
      </c>
      <c r="H315" s="3" t="s">
        <v>20</v>
      </c>
      <c r="I315" s="5">
        <v>3477.48</v>
      </c>
      <c r="J315" s="4">
        <v>4</v>
      </c>
      <c r="K315" s="1">
        <v>8</v>
      </c>
      <c r="L315" s="4">
        <v>249.99</v>
      </c>
      <c r="M315" s="3" t="s">
        <v>28</v>
      </c>
      <c r="N315" s="3" t="s">
        <v>22</v>
      </c>
    </row>
    <row r="316" spans="1:14" x14ac:dyDescent="0.3">
      <c r="A316" s="3" t="s">
        <v>396</v>
      </c>
      <c r="B316" s="2">
        <v>45773</v>
      </c>
      <c r="C316" s="3" t="s">
        <v>84</v>
      </c>
      <c r="D316" s="3" t="s">
        <v>16</v>
      </c>
      <c r="E316" s="3" t="s">
        <v>17</v>
      </c>
      <c r="F316" s="3" t="s">
        <v>62</v>
      </c>
      <c r="G316" s="3" t="s">
        <v>103</v>
      </c>
      <c r="H316" s="3" t="s">
        <v>104</v>
      </c>
      <c r="I316" s="5">
        <v>415.86</v>
      </c>
      <c r="J316" s="4">
        <v>3</v>
      </c>
      <c r="K316" s="1">
        <v>25</v>
      </c>
      <c r="L316" s="4">
        <v>56.97</v>
      </c>
      <c r="M316" s="3" t="s">
        <v>51</v>
      </c>
      <c r="N316" s="3" t="s">
        <v>35</v>
      </c>
    </row>
    <row r="317" spans="1:14" x14ac:dyDescent="0.3">
      <c r="A317" s="3" t="s">
        <v>397</v>
      </c>
      <c r="B317" s="2">
        <v>45757</v>
      </c>
      <c r="C317" s="3" t="s">
        <v>15</v>
      </c>
      <c r="D317" s="3" t="s">
        <v>16</v>
      </c>
      <c r="E317" s="3" t="s">
        <v>17</v>
      </c>
      <c r="F317" s="3" t="s">
        <v>62</v>
      </c>
      <c r="G317" s="3" t="s">
        <v>63</v>
      </c>
      <c r="H317" s="3" t="s">
        <v>64</v>
      </c>
      <c r="I317" s="5">
        <v>8754.5400000000009</v>
      </c>
      <c r="J317" s="4">
        <v>6</v>
      </c>
      <c r="K317" s="1">
        <v>1</v>
      </c>
      <c r="L317" s="4">
        <v>1955.03</v>
      </c>
      <c r="M317" s="3" t="s">
        <v>51</v>
      </c>
      <c r="N317" s="3" t="s">
        <v>22</v>
      </c>
    </row>
    <row r="318" spans="1:14" x14ac:dyDescent="0.3">
      <c r="A318" s="3" t="s">
        <v>398</v>
      </c>
      <c r="B318" s="2">
        <v>45531</v>
      </c>
      <c r="C318" s="3" t="s">
        <v>133</v>
      </c>
      <c r="D318" s="3" t="s">
        <v>56</v>
      </c>
      <c r="E318" s="3" t="s">
        <v>108</v>
      </c>
      <c r="F318" s="3" t="s">
        <v>32</v>
      </c>
      <c r="G318" s="3" t="s">
        <v>33</v>
      </c>
      <c r="H318" s="3" t="s">
        <v>34</v>
      </c>
      <c r="I318" s="5">
        <v>1419.44</v>
      </c>
      <c r="J318" s="4">
        <v>1</v>
      </c>
      <c r="K318" s="1">
        <v>14</v>
      </c>
      <c r="L318" s="4">
        <v>304.38</v>
      </c>
      <c r="M318" s="3" t="s">
        <v>21</v>
      </c>
      <c r="N318" s="3" t="s">
        <v>35</v>
      </c>
    </row>
    <row r="319" spans="1:14" x14ac:dyDescent="0.3">
      <c r="A319" s="3" t="s">
        <v>399</v>
      </c>
      <c r="B319" s="2">
        <v>45607</v>
      </c>
      <c r="C319" s="3" t="s">
        <v>30</v>
      </c>
      <c r="D319" s="3" t="s">
        <v>56</v>
      </c>
      <c r="E319" s="3" t="s">
        <v>108</v>
      </c>
      <c r="F319" s="3" t="s">
        <v>32</v>
      </c>
      <c r="G319" s="3" t="s">
        <v>112</v>
      </c>
      <c r="H319" s="3" t="s">
        <v>113</v>
      </c>
      <c r="I319" s="5">
        <v>3688.48</v>
      </c>
      <c r="J319" s="4">
        <v>2</v>
      </c>
      <c r="K319" s="1">
        <v>25</v>
      </c>
      <c r="L319" s="4">
        <v>216.22</v>
      </c>
      <c r="M319" s="3" t="s">
        <v>51</v>
      </c>
      <c r="N319" s="3" t="s">
        <v>22</v>
      </c>
    </row>
    <row r="320" spans="1:14" x14ac:dyDescent="0.3">
      <c r="A320" s="3" t="s">
        <v>400</v>
      </c>
      <c r="B320" s="2">
        <v>45443</v>
      </c>
      <c r="C320" s="3" t="s">
        <v>70</v>
      </c>
      <c r="D320" s="3" t="s">
        <v>56</v>
      </c>
      <c r="E320" s="3" t="s">
        <v>57</v>
      </c>
      <c r="F320" s="3" t="s">
        <v>18</v>
      </c>
      <c r="G320" s="3" t="s">
        <v>26</v>
      </c>
      <c r="H320" s="3" t="s">
        <v>27</v>
      </c>
      <c r="I320" s="5">
        <v>532.09</v>
      </c>
      <c r="J320" s="4">
        <v>1</v>
      </c>
      <c r="K320" s="1">
        <v>21</v>
      </c>
      <c r="L320" s="4">
        <v>63.65</v>
      </c>
      <c r="M320" s="3" t="s">
        <v>28</v>
      </c>
      <c r="N320" s="3" t="s">
        <v>35</v>
      </c>
    </row>
    <row r="321" spans="1:14" x14ac:dyDescent="0.3">
      <c r="A321" s="3" t="s">
        <v>401</v>
      </c>
      <c r="B321" s="2">
        <v>45723</v>
      </c>
      <c r="C321" s="3" t="s">
        <v>50</v>
      </c>
      <c r="D321" s="3" t="s">
        <v>38</v>
      </c>
      <c r="E321" s="3" t="s">
        <v>71</v>
      </c>
      <c r="F321" s="3" t="s">
        <v>18</v>
      </c>
      <c r="G321" s="3" t="s">
        <v>76</v>
      </c>
      <c r="H321" s="3" t="s">
        <v>77</v>
      </c>
      <c r="I321" s="5">
        <v>358.86</v>
      </c>
      <c r="J321" s="4">
        <v>2</v>
      </c>
      <c r="K321" s="1">
        <v>1</v>
      </c>
      <c r="L321" s="4">
        <v>66.47</v>
      </c>
      <c r="M321" s="3" t="s">
        <v>21</v>
      </c>
      <c r="N321" s="3" t="s">
        <v>40</v>
      </c>
    </row>
    <row r="322" spans="1:14" x14ac:dyDescent="0.3">
      <c r="A322" s="3" t="s">
        <v>402</v>
      </c>
      <c r="B322" s="2">
        <v>45667</v>
      </c>
      <c r="C322" s="3" t="s">
        <v>70</v>
      </c>
      <c r="D322" s="3" t="s">
        <v>38</v>
      </c>
      <c r="E322" s="3" t="s">
        <v>71</v>
      </c>
      <c r="F322" s="3" t="s">
        <v>62</v>
      </c>
      <c r="G322" s="3" t="s">
        <v>63</v>
      </c>
      <c r="H322" s="3" t="s">
        <v>64</v>
      </c>
      <c r="I322" s="5">
        <v>3260.24</v>
      </c>
      <c r="J322" s="4">
        <v>4</v>
      </c>
      <c r="K322" s="1">
        <v>24</v>
      </c>
      <c r="L322" s="4">
        <v>249.27</v>
      </c>
      <c r="M322" s="3" t="s">
        <v>21</v>
      </c>
      <c r="N322" s="3" t="s">
        <v>35</v>
      </c>
    </row>
    <row r="323" spans="1:14" x14ac:dyDescent="0.3">
      <c r="A323" s="3" t="s">
        <v>403</v>
      </c>
      <c r="B323" s="2">
        <v>45533</v>
      </c>
      <c r="C323" s="3" t="s">
        <v>70</v>
      </c>
      <c r="D323" s="3" t="s">
        <v>16</v>
      </c>
      <c r="E323" s="3" t="s">
        <v>31</v>
      </c>
      <c r="F323" s="3" t="s">
        <v>32</v>
      </c>
      <c r="G323" s="3" t="s">
        <v>58</v>
      </c>
      <c r="H323" s="3" t="s">
        <v>59</v>
      </c>
      <c r="I323" s="5">
        <v>1331.07</v>
      </c>
      <c r="J323" s="4">
        <v>3</v>
      </c>
      <c r="K323" s="1">
        <v>12</v>
      </c>
      <c r="L323" s="4">
        <v>165.94</v>
      </c>
      <c r="M323" s="3" t="s">
        <v>28</v>
      </c>
      <c r="N323" s="3" t="s">
        <v>22</v>
      </c>
    </row>
    <row r="324" spans="1:14" x14ac:dyDescent="0.3">
      <c r="A324" s="3" t="s">
        <v>404</v>
      </c>
      <c r="B324" s="2">
        <v>45494</v>
      </c>
      <c r="C324" s="3" t="s">
        <v>101</v>
      </c>
      <c r="D324" s="3" t="s">
        <v>89</v>
      </c>
      <c r="E324" s="3" t="s">
        <v>97</v>
      </c>
      <c r="F324" s="3" t="s">
        <v>32</v>
      </c>
      <c r="G324" s="3" t="s">
        <v>112</v>
      </c>
      <c r="H324" s="3" t="s">
        <v>113</v>
      </c>
      <c r="I324" s="5">
        <v>3054.02</v>
      </c>
      <c r="J324" s="4">
        <v>2</v>
      </c>
      <c r="K324" s="1">
        <v>16</v>
      </c>
      <c r="L324" s="4">
        <v>614.72</v>
      </c>
      <c r="M324" s="3" t="s">
        <v>21</v>
      </c>
      <c r="N324" s="3" t="s">
        <v>40</v>
      </c>
    </row>
    <row r="325" spans="1:14" x14ac:dyDescent="0.3">
      <c r="A325" s="3" t="s">
        <v>405</v>
      </c>
      <c r="B325" s="2">
        <v>45700</v>
      </c>
      <c r="C325" s="3" t="s">
        <v>70</v>
      </c>
      <c r="D325" s="3" t="s">
        <v>89</v>
      </c>
      <c r="E325" s="3" t="s">
        <v>90</v>
      </c>
      <c r="F325" s="3" t="s">
        <v>32</v>
      </c>
      <c r="G325" s="3" t="s">
        <v>47</v>
      </c>
      <c r="H325" s="3" t="s">
        <v>48</v>
      </c>
      <c r="I325" s="5">
        <v>804.38</v>
      </c>
      <c r="J325" s="4">
        <v>2</v>
      </c>
      <c r="K325" s="1">
        <v>14</v>
      </c>
      <c r="L325" s="4">
        <v>157.79</v>
      </c>
      <c r="M325" s="3" t="s">
        <v>51</v>
      </c>
      <c r="N325" s="3" t="s">
        <v>35</v>
      </c>
    </row>
    <row r="326" spans="1:14" x14ac:dyDescent="0.3">
      <c r="A326" s="3" t="s">
        <v>406</v>
      </c>
      <c r="B326" s="2">
        <v>45463</v>
      </c>
      <c r="C326" s="3" t="s">
        <v>30</v>
      </c>
      <c r="D326" s="3" t="s">
        <v>38</v>
      </c>
      <c r="E326" s="3" t="s">
        <v>43</v>
      </c>
      <c r="F326" s="3" t="s">
        <v>18</v>
      </c>
      <c r="G326" s="3" t="s">
        <v>26</v>
      </c>
      <c r="H326" s="3" t="s">
        <v>27</v>
      </c>
      <c r="I326" s="5">
        <v>2328</v>
      </c>
      <c r="J326" s="4">
        <v>2</v>
      </c>
      <c r="K326" s="1">
        <v>8</v>
      </c>
      <c r="L326" s="4">
        <v>435.9</v>
      </c>
      <c r="M326" s="3" t="s">
        <v>51</v>
      </c>
      <c r="N326" s="3" t="s">
        <v>40</v>
      </c>
    </row>
    <row r="327" spans="1:14" x14ac:dyDescent="0.3">
      <c r="A327" s="3" t="s">
        <v>407</v>
      </c>
      <c r="B327" s="2">
        <v>45567</v>
      </c>
      <c r="C327" s="3" t="s">
        <v>101</v>
      </c>
      <c r="D327" s="3" t="s">
        <v>89</v>
      </c>
      <c r="E327" s="3" t="s">
        <v>102</v>
      </c>
      <c r="F327" s="3" t="s">
        <v>32</v>
      </c>
      <c r="G327" s="3" t="s">
        <v>112</v>
      </c>
      <c r="H327" s="3" t="s">
        <v>113</v>
      </c>
      <c r="I327" s="5">
        <v>12077.12</v>
      </c>
      <c r="J327" s="4">
        <v>8</v>
      </c>
      <c r="K327" s="1">
        <v>0</v>
      </c>
      <c r="L327" s="4">
        <v>1936.97</v>
      </c>
      <c r="M327" s="3" t="s">
        <v>28</v>
      </c>
      <c r="N327" s="3" t="s">
        <v>22</v>
      </c>
    </row>
    <row r="328" spans="1:14" x14ac:dyDescent="0.3">
      <c r="A328" s="3" t="s">
        <v>408</v>
      </c>
      <c r="B328" s="2">
        <v>45589</v>
      </c>
      <c r="C328" s="3" t="s">
        <v>15</v>
      </c>
      <c r="D328" s="3" t="s">
        <v>89</v>
      </c>
      <c r="E328" s="3" t="s">
        <v>102</v>
      </c>
      <c r="F328" s="3" t="s">
        <v>18</v>
      </c>
      <c r="G328" s="3" t="s">
        <v>76</v>
      </c>
      <c r="H328" s="3" t="s">
        <v>77</v>
      </c>
      <c r="I328" s="5">
        <v>8844.7999999999993</v>
      </c>
      <c r="J328" s="4">
        <v>5</v>
      </c>
      <c r="K328" s="1">
        <v>5</v>
      </c>
      <c r="L328" s="4">
        <v>1924.11</v>
      </c>
      <c r="M328" s="3" t="s">
        <v>28</v>
      </c>
      <c r="N328" s="3" t="s">
        <v>44</v>
      </c>
    </row>
    <row r="329" spans="1:14" x14ac:dyDescent="0.3">
      <c r="A329" s="3" t="s">
        <v>409</v>
      </c>
      <c r="B329" s="2">
        <v>45490</v>
      </c>
      <c r="C329" s="3" t="s">
        <v>99</v>
      </c>
      <c r="D329" s="3" t="s">
        <v>38</v>
      </c>
      <c r="E329" s="3" t="s">
        <v>43</v>
      </c>
      <c r="F329" s="3" t="s">
        <v>18</v>
      </c>
      <c r="G329" s="3" t="s">
        <v>76</v>
      </c>
      <c r="H329" s="3" t="s">
        <v>77</v>
      </c>
      <c r="I329" s="5">
        <v>9259.2999999999993</v>
      </c>
      <c r="J329" s="4">
        <v>10</v>
      </c>
      <c r="K329" s="1">
        <v>18</v>
      </c>
      <c r="L329" s="4">
        <v>706.01</v>
      </c>
      <c r="M329" s="3" t="s">
        <v>28</v>
      </c>
      <c r="N329" s="3" t="s">
        <v>40</v>
      </c>
    </row>
    <row r="330" spans="1:14" x14ac:dyDescent="0.3">
      <c r="A330" s="3" t="s">
        <v>410</v>
      </c>
      <c r="B330" s="2">
        <v>45725</v>
      </c>
      <c r="C330" s="3" t="s">
        <v>70</v>
      </c>
      <c r="D330" s="3" t="s">
        <v>89</v>
      </c>
      <c r="E330" s="3" t="s">
        <v>90</v>
      </c>
      <c r="F330" s="3" t="s">
        <v>32</v>
      </c>
      <c r="G330" s="3" t="s">
        <v>112</v>
      </c>
      <c r="H330" s="3" t="s">
        <v>113</v>
      </c>
      <c r="I330" s="5">
        <v>2628.6</v>
      </c>
      <c r="J330" s="4">
        <v>4</v>
      </c>
      <c r="K330" s="1">
        <v>20</v>
      </c>
      <c r="L330" s="4">
        <v>375.05</v>
      </c>
      <c r="M330" s="3" t="s">
        <v>28</v>
      </c>
      <c r="N330" s="3" t="s">
        <v>40</v>
      </c>
    </row>
    <row r="331" spans="1:14" x14ac:dyDescent="0.3">
      <c r="A331" s="3" t="s">
        <v>411</v>
      </c>
      <c r="B331" s="2">
        <v>45466</v>
      </c>
      <c r="C331" s="3" t="s">
        <v>84</v>
      </c>
      <c r="D331" s="3" t="s">
        <v>38</v>
      </c>
      <c r="E331" s="3" t="s">
        <v>43</v>
      </c>
      <c r="F331" s="3" t="s">
        <v>32</v>
      </c>
      <c r="G331" s="3" t="s">
        <v>33</v>
      </c>
      <c r="H331" s="3" t="s">
        <v>34</v>
      </c>
      <c r="I331" s="5">
        <v>1033.49</v>
      </c>
      <c r="J331" s="4">
        <v>1</v>
      </c>
      <c r="K331" s="1">
        <v>1</v>
      </c>
      <c r="L331" s="4">
        <v>212.27</v>
      </c>
      <c r="M331" s="3" t="s">
        <v>28</v>
      </c>
      <c r="N331" s="3" t="s">
        <v>40</v>
      </c>
    </row>
    <row r="332" spans="1:14" x14ac:dyDescent="0.3">
      <c r="A332" s="3" t="s">
        <v>412</v>
      </c>
      <c r="B332" s="2">
        <v>45628</v>
      </c>
      <c r="C332" s="3" t="s">
        <v>37</v>
      </c>
      <c r="D332" s="3" t="s">
        <v>16</v>
      </c>
      <c r="E332" s="3" t="s">
        <v>17</v>
      </c>
      <c r="F332" s="3" t="s">
        <v>18</v>
      </c>
      <c r="G332" s="3" t="s">
        <v>19</v>
      </c>
      <c r="H332" s="3" t="s">
        <v>20</v>
      </c>
      <c r="I332" s="5">
        <v>2148.36</v>
      </c>
      <c r="J332" s="4">
        <v>2</v>
      </c>
      <c r="K332" s="1">
        <v>13</v>
      </c>
      <c r="L332" s="4">
        <v>360.59</v>
      </c>
      <c r="M332" s="3" t="s">
        <v>28</v>
      </c>
      <c r="N332" s="3" t="s">
        <v>35</v>
      </c>
    </row>
    <row r="333" spans="1:14" x14ac:dyDescent="0.3">
      <c r="A333" s="3" t="s">
        <v>413</v>
      </c>
      <c r="B333" s="2">
        <v>45588</v>
      </c>
      <c r="C333" s="3" t="s">
        <v>66</v>
      </c>
      <c r="D333" s="3" t="s">
        <v>56</v>
      </c>
      <c r="E333" s="3" t="s">
        <v>61</v>
      </c>
      <c r="F333" s="3" t="s">
        <v>62</v>
      </c>
      <c r="G333" s="3" t="s">
        <v>67</v>
      </c>
      <c r="H333" s="3" t="s">
        <v>68</v>
      </c>
      <c r="I333" s="5">
        <v>7124.11</v>
      </c>
      <c r="J333" s="4">
        <v>7</v>
      </c>
      <c r="K333" s="1">
        <v>5</v>
      </c>
      <c r="L333" s="4">
        <v>1534.65</v>
      </c>
      <c r="M333" s="3" t="s">
        <v>51</v>
      </c>
      <c r="N333" s="3" t="s">
        <v>44</v>
      </c>
    </row>
    <row r="334" spans="1:14" x14ac:dyDescent="0.3">
      <c r="A334" s="3" t="s">
        <v>414</v>
      </c>
      <c r="B334" s="2">
        <v>45784</v>
      </c>
      <c r="C334" s="3" t="s">
        <v>24</v>
      </c>
      <c r="D334" s="3" t="s">
        <v>16</v>
      </c>
      <c r="E334" s="3" t="s">
        <v>17</v>
      </c>
      <c r="F334" s="3" t="s">
        <v>32</v>
      </c>
      <c r="G334" s="3" t="s">
        <v>47</v>
      </c>
      <c r="H334" s="3" t="s">
        <v>48</v>
      </c>
      <c r="I334" s="5">
        <v>1482.28</v>
      </c>
      <c r="J334" s="4">
        <v>2</v>
      </c>
      <c r="K334" s="1">
        <v>0</v>
      </c>
      <c r="L334" s="4">
        <v>208.11</v>
      </c>
      <c r="M334" s="3" t="s">
        <v>51</v>
      </c>
      <c r="N334" s="3" t="s">
        <v>22</v>
      </c>
    </row>
    <row r="335" spans="1:14" x14ac:dyDescent="0.3">
      <c r="A335" s="3" t="s">
        <v>415</v>
      </c>
      <c r="B335" s="2">
        <v>45497</v>
      </c>
      <c r="C335" s="3" t="s">
        <v>30</v>
      </c>
      <c r="D335" s="3" t="s">
        <v>38</v>
      </c>
      <c r="E335" s="3" t="s">
        <v>39</v>
      </c>
      <c r="F335" s="3" t="s">
        <v>18</v>
      </c>
      <c r="G335" s="3" t="s">
        <v>94</v>
      </c>
      <c r="H335" s="3" t="s">
        <v>95</v>
      </c>
      <c r="I335" s="5">
        <v>2994.2</v>
      </c>
      <c r="J335" s="4">
        <v>5</v>
      </c>
      <c r="K335" s="1">
        <v>5</v>
      </c>
      <c r="L335" s="4">
        <v>669.55</v>
      </c>
      <c r="M335" s="3" t="s">
        <v>51</v>
      </c>
      <c r="N335" s="3" t="s">
        <v>22</v>
      </c>
    </row>
    <row r="336" spans="1:14" x14ac:dyDescent="0.3">
      <c r="A336" s="3" t="s">
        <v>416</v>
      </c>
      <c r="B336" s="2">
        <v>45439</v>
      </c>
      <c r="C336" s="3" t="s">
        <v>24</v>
      </c>
      <c r="D336" s="3" t="s">
        <v>56</v>
      </c>
      <c r="E336" s="3" t="s">
        <v>108</v>
      </c>
      <c r="F336" s="3" t="s">
        <v>18</v>
      </c>
      <c r="G336" s="3" t="s">
        <v>76</v>
      </c>
      <c r="H336" s="3" t="s">
        <v>77</v>
      </c>
      <c r="I336" s="5">
        <v>3711.04</v>
      </c>
      <c r="J336" s="4">
        <v>8</v>
      </c>
      <c r="K336" s="1">
        <v>17</v>
      </c>
      <c r="L336" s="4">
        <v>516.16999999999996</v>
      </c>
      <c r="M336" s="3" t="s">
        <v>21</v>
      </c>
      <c r="N336" s="3" t="s">
        <v>44</v>
      </c>
    </row>
    <row r="337" spans="1:14" x14ac:dyDescent="0.3">
      <c r="A337" s="3" t="s">
        <v>417</v>
      </c>
      <c r="B337" s="2">
        <v>45547</v>
      </c>
      <c r="C337" s="3" t="s">
        <v>66</v>
      </c>
      <c r="D337" s="3" t="s">
        <v>38</v>
      </c>
      <c r="E337" s="3" t="s">
        <v>43</v>
      </c>
      <c r="F337" s="3" t="s">
        <v>62</v>
      </c>
      <c r="G337" s="3" t="s">
        <v>63</v>
      </c>
      <c r="H337" s="3" t="s">
        <v>64</v>
      </c>
      <c r="I337" s="5">
        <v>3015.84</v>
      </c>
      <c r="J337" s="4">
        <v>4</v>
      </c>
      <c r="K337" s="1">
        <v>10</v>
      </c>
      <c r="L337" s="4">
        <v>148.22999999999999</v>
      </c>
      <c r="M337" s="3" t="s">
        <v>21</v>
      </c>
      <c r="N337" s="3" t="s">
        <v>35</v>
      </c>
    </row>
    <row r="338" spans="1:14" x14ac:dyDescent="0.3">
      <c r="A338" s="3" t="s">
        <v>418</v>
      </c>
      <c r="B338" s="2">
        <v>45672</v>
      </c>
      <c r="C338" s="3" t="s">
        <v>101</v>
      </c>
      <c r="D338" s="3" t="s">
        <v>89</v>
      </c>
      <c r="E338" s="3" t="s">
        <v>140</v>
      </c>
      <c r="F338" s="3" t="s">
        <v>62</v>
      </c>
      <c r="G338" s="3" t="s">
        <v>80</v>
      </c>
      <c r="H338" s="3" t="s">
        <v>81</v>
      </c>
      <c r="I338" s="5">
        <v>5041.8</v>
      </c>
      <c r="J338" s="4">
        <v>10</v>
      </c>
      <c r="K338" s="1">
        <v>17</v>
      </c>
      <c r="L338" s="4">
        <v>832.98</v>
      </c>
      <c r="M338" s="3" t="s">
        <v>51</v>
      </c>
      <c r="N338" s="3" t="s">
        <v>35</v>
      </c>
    </row>
    <row r="339" spans="1:14" x14ac:dyDescent="0.3">
      <c r="A339" s="3" t="s">
        <v>419</v>
      </c>
      <c r="B339" s="2">
        <v>45769</v>
      </c>
      <c r="C339" s="3" t="s">
        <v>99</v>
      </c>
      <c r="D339" s="3" t="s">
        <v>16</v>
      </c>
      <c r="E339" s="3" t="s">
        <v>25</v>
      </c>
      <c r="F339" s="3" t="s">
        <v>18</v>
      </c>
      <c r="G339" s="3" t="s">
        <v>26</v>
      </c>
      <c r="H339" s="3" t="s">
        <v>27</v>
      </c>
      <c r="I339" s="5">
        <v>6595.6</v>
      </c>
      <c r="J339" s="4">
        <v>5</v>
      </c>
      <c r="K339" s="1">
        <v>10</v>
      </c>
      <c r="L339" s="4">
        <v>1450.17</v>
      </c>
      <c r="M339" s="3" t="s">
        <v>28</v>
      </c>
      <c r="N339" s="3" t="s">
        <v>44</v>
      </c>
    </row>
    <row r="340" spans="1:14" x14ac:dyDescent="0.3">
      <c r="A340" s="3" t="s">
        <v>420</v>
      </c>
      <c r="B340" s="2">
        <v>45775</v>
      </c>
      <c r="C340" s="3" t="s">
        <v>24</v>
      </c>
      <c r="D340" s="3" t="s">
        <v>89</v>
      </c>
      <c r="E340" s="3" t="s">
        <v>90</v>
      </c>
      <c r="F340" s="3" t="s">
        <v>62</v>
      </c>
      <c r="G340" s="3" t="s">
        <v>63</v>
      </c>
      <c r="H340" s="3" t="s">
        <v>64</v>
      </c>
      <c r="I340" s="5">
        <v>1803.52</v>
      </c>
      <c r="J340" s="4">
        <v>8</v>
      </c>
      <c r="K340" s="1">
        <v>25</v>
      </c>
      <c r="L340" s="4">
        <v>146.33000000000001</v>
      </c>
      <c r="M340" s="3" t="s">
        <v>28</v>
      </c>
      <c r="N340" s="3" t="s">
        <v>40</v>
      </c>
    </row>
    <row r="341" spans="1:14" x14ac:dyDescent="0.3">
      <c r="A341" s="3" t="s">
        <v>421</v>
      </c>
      <c r="B341" s="2">
        <v>45471</v>
      </c>
      <c r="C341" s="3" t="s">
        <v>24</v>
      </c>
      <c r="D341" s="3" t="s">
        <v>89</v>
      </c>
      <c r="E341" s="3" t="s">
        <v>102</v>
      </c>
      <c r="F341" s="3" t="s">
        <v>62</v>
      </c>
      <c r="G341" s="3" t="s">
        <v>80</v>
      </c>
      <c r="H341" s="3" t="s">
        <v>81</v>
      </c>
      <c r="I341" s="5">
        <v>1528.38</v>
      </c>
      <c r="J341" s="4">
        <v>6</v>
      </c>
      <c r="K341" s="1">
        <v>8</v>
      </c>
      <c r="L341" s="4">
        <v>257.32</v>
      </c>
      <c r="M341" s="3" t="s">
        <v>51</v>
      </c>
      <c r="N341" s="3" t="s">
        <v>44</v>
      </c>
    </row>
    <row r="342" spans="1:14" x14ac:dyDescent="0.3">
      <c r="A342" s="3" t="s">
        <v>422</v>
      </c>
      <c r="B342" s="2">
        <v>45780</v>
      </c>
      <c r="C342" s="3" t="s">
        <v>73</v>
      </c>
      <c r="D342" s="3" t="s">
        <v>16</v>
      </c>
      <c r="E342" s="3" t="s">
        <v>17</v>
      </c>
      <c r="F342" s="3" t="s">
        <v>18</v>
      </c>
      <c r="G342" s="3" t="s">
        <v>76</v>
      </c>
      <c r="H342" s="3" t="s">
        <v>77</v>
      </c>
      <c r="I342" s="5">
        <v>3866.16</v>
      </c>
      <c r="J342" s="4">
        <v>3</v>
      </c>
      <c r="K342" s="1">
        <v>16</v>
      </c>
      <c r="L342" s="4">
        <v>454.36</v>
      </c>
      <c r="M342" s="3" t="s">
        <v>51</v>
      </c>
      <c r="N342" s="3" t="s">
        <v>35</v>
      </c>
    </row>
    <row r="343" spans="1:14" x14ac:dyDescent="0.3">
      <c r="A343" s="3" t="s">
        <v>423</v>
      </c>
      <c r="B343" s="2">
        <v>45577</v>
      </c>
      <c r="C343" s="3" t="s">
        <v>66</v>
      </c>
      <c r="D343" s="3" t="s">
        <v>56</v>
      </c>
      <c r="E343" s="3" t="s">
        <v>57</v>
      </c>
      <c r="F343" s="3" t="s">
        <v>62</v>
      </c>
      <c r="G343" s="3" t="s">
        <v>67</v>
      </c>
      <c r="H343" s="3" t="s">
        <v>68</v>
      </c>
      <c r="I343" s="5">
        <v>1992.24</v>
      </c>
      <c r="J343" s="4">
        <v>4</v>
      </c>
      <c r="K343" s="1">
        <v>9</v>
      </c>
      <c r="L343" s="4">
        <v>317.91000000000003</v>
      </c>
      <c r="M343" s="3" t="s">
        <v>28</v>
      </c>
      <c r="N343" s="3" t="s">
        <v>35</v>
      </c>
    </row>
    <row r="344" spans="1:14" x14ac:dyDescent="0.3">
      <c r="A344" s="3" t="s">
        <v>424</v>
      </c>
      <c r="B344" s="2">
        <v>45506</v>
      </c>
      <c r="C344" s="3" t="s">
        <v>66</v>
      </c>
      <c r="D344" s="3" t="s">
        <v>38</v>
      </c>
      <c r="E344" s="3" t="s">
        <v>53</v>
      </c>
      <c r="F344" s="3" t="s">
        <v>32</v>
      </c>
      <c r="G344" s="3" t="s">
        <v>112</v>
      </c>
      <c r="H344" s="3" t="s">
        <v>113</v>
      </c>
      <c r="I344" s="5">
        <v>1066.3499999999999</v>
      </c>
      <c r="J344" s="4">
        <v>1</v>
      </c>
      <c r="K344" s="1">
        <v>19</v>
      </c>
      <c r="L344" s="4">
        <v>203.27</v>
      </c>
      <c r="M344" s="3" t="s">
        <v>28</v>
      </c>
      <c r="N344" s="3" t="s">
        <v>22</v>
      </c>
    </row>
    <row r="345" spans="1:14" x14ac:dyDescent="0.3">
      <c r="A345" s="3" t="s">
        <v>425</v>
      </c>
      <c r="B345" s="2">
        <v>45478</v>
      </c>
      <c r="C345" s="3" t="s">
        <v>70</v>
      </c>
      <c r="D345" s="3" t="s">
        <v>16</v>
      </c>
      <c r="E345" s="3" t="s">
        <v>31</v>
      </c>
      <c r="F345" s="3" t="s">
        <v>62</v>
      </c>
      <c r="G345" s="3" t="s">
        <v>80</v>
      </c>
      <c r="H345" s="3" t="s">
        <v>81</v>
      </c>
      <c r="I345" s="5">
        <v>3256.5</v>
      </c>
      <c r="J345" s="4">
        <v>6</v>
      </c>
      <c r="K345" s="1">
        <v>3</v>
      </c>
      <c r="L345" s="4">
        <v>430.26</v>
      </c>
      <c r="M345" s="3" t="s">
        <v>51</v>
      </c>
      <c r="N345" s="3" t="s">
        <v>44</v>
      </c>
    </row>
    <row r="346" spans="1:14" x14ac:dyDescent="0.3">
      <c r="A346" s="3" t="s">
        <v>426</v>
      </c>
      <c r="B346" s="2">
        <v>45554</v>
      </c>
      <c r="C346" s="3" t="s">
        <v>24</v>
      </c>
      <c r="D346" s="3" t="s">
        <v>38</v>
      </c>
      <c r="E346" s="3" t="s">
        <v>53</v>
      </c>
      <c r="F346" s="3" t="s">
        <v>32</v>
      </c>
      <c r="G346" s="3" t="s">
        <v>112</v>
      </c>
      <c r="H346" s="3" t="s">
        <v>113</v>
      </c>
      <c r="I346" s="5">
        <v>3086.4</v>
      </c>
      <c r="J346" s="4">
        <v>8</v>
      </c>
      <c r="K346" s="1">
        <v>7.0000000000000009</v>
      </c>
      <c r="L346" s="4">
        <v>541.91</v>
      </c>
      <c r="M346" s="3" t="s">
        <v>51</v>
      </c>
      <c r="N346" s="3" t="s">
        <v>44</v>
      </c>
    </row>
    <row r="347" spans="1:14" x14ac:dyDescent="0.3">
      <c r="A347" s="3" t="s">
        <v>427</v>
      </c>
      <c r="B347" s="2">
        <v>45640</v>
      </c>
      <c r="C347" s="3" t="s">
        <v>42</v>
      </c>
      <c r="D347" s="3" t="s">
        <v>38</v>
      </c>
      <c r="E347" s="3" t="s">
        <v>43</v>
      </c>
      <c r="F347" s="3" t="s">
        <v>18</v>
      </c>
      <c r="G347" s="3" t="s">
        <v>19</v>
      </c>
      <c r="H347" s="3" t="s">
        <v>20</v>
      </c>
      <c r="I347" s="5">
        <v>3828.66</v>
      </c>
      <c r="J347" s="4">
        <v>3</v>
      </c>
      <c r="K347" s="1">
        <v>25</v>
      </c>
      <c r="L347" s="4">
        <v>572.72</v>
      </c>
      <c r="M347" s="3" t="s">
        <v>21</v>
      </c>
      <c r="N347" s="3" t="s">
        <v>35</v>
      </c>
    </row>
    <row r="348" spans="1:14" x14ac:dyDescent="0.3">
      <c r="A348" s="3" t="s">
        <v>428</v>
      </c>
      <c r="B348" s="2">
        <v>45534</v>
      </c>
      <c r="C348" s="3" t="s">
        <v>75</v>
      </c>
      <c r="D348" s="3" t="s">
        <v>16</v>
      </c>
      <c r="E348" s="3" t="s">
        <v>31</v>
      </c>
      <c r="F348" s="3" t="s">
        <v>18</v>
      </c>
      <c r="G348" s="3" t="s">
        <v>26</v>
      </c>
      <c r="H348" s="3" t="s">
        <v>27</v>
      </c>
      <c r="I348" s="5">
        <v>1490.85</v>
      </c>
      <c r="J348" s="4">
        <v>5</v>
      </c>
      <c r="K348" s="1">
        <v>8</v>
      </c>
      <c r="L348" s="4">
        <v>243.51</v>
      </c>
      <c r="M348" s="3" t="s">
        <v>21</v>
      </c>
      <c r="N348" s="3" t="s">
        <v>40</v>
      </c>
    </row>
    <row r="349" spans="1:14" x14ac:dyDescent="0.3">
      <c r="A349" s="3" t="s">
        <v>429</v>
      </c>
      <c r="B349" s="2">
        <v>45781</v>
      </c>
      <c r="C349" s="3" t="s">
        <v>42</v>
      </c>
      <c r="D349" s="3" t="s">
        <v>38</v>
      </c>
      <c r="E349" s="3" t="s">
        <v>43</v>
      </c>
      <c r="F349" s="3" t="s">
        <v>62</v>
      </c>
      <c r="G349" s="3" t="s">
        <v>63</v>
      </c>
      <c r="H349" s="3" t="s">
        <v>64</v>
      </c>
      <c r="I349" s="5">
        <v>7593.6</v>
      </c>
      <c r="J349" s="4">
        <v>4</v>
      </c>
      <c r="K349" s="1">
        <v>0</v>
      </c>
      <c r="L349" s="4">
        <v>686.94</v>
      </c>
      <c r="M349" s="3" t="s">
        <v>21</v>
      </c>
      <c r="N349" s="3" t="s">
        <v>22</v>
      </c>
    </row>
    <row r="350" spans="1:14" x14ac:dyDescent="0.3">
      <c r="A350" s="3" t="s">
        <v>430</v>
      </c>
      <c r="B350" s="2">
        <v>45569</v>
      </c>
      <c r="C350" s="3" t="s">
        <v>24</v>
      </c>
      <c r="D350" s="3" t="s">
        <v>56</v>
      </c>
      <c r="E350" s="3" t="s">
        <v>108</v>
      </c>
      <c r="F350" s="3" t="s">
        <v>18</v>
      </c>
      <c r="G350" s="3" t="s">
        <v>94</v>
      </c>
      <c r="H350" s="3" t="s">
        <v>95</v>
      </c>
      <c r="I350" s="5">
        <v>10440.08</v>
      </c>
      <c r="J350" s="4">
        <v>8</v>
      </c>
      <c r="K350" s="1">
        <v>3</v>
      </c>
      <c r="L350" s="4">
        <v>2315.37</v>
      </c>
      <c r="M350" s="3" t="s">
        <v>28</v>
      </c>
      <c r="N350" s="3" t="s">
        <v>35</v>
      </c>
    </row>
    <row r="351" spans="1:14" x14ac:dyDescent="0.3">
      <c r="A351" s="3" t="s">
        <v>431</v>
      </c>
      <c r="B351" s="2">
        <v>45646</v>
      </c>
      <c r="C351" s="3" t="s">
        <v>75</v>
      </c>
      <c r="D351" s="3" t="s">
        <v>38</v>
      </c>
      <c r="E351" s="3" t="s">
        <v>71</v>
      </c>
      <c r="F351" s="3" t="s">
        <v>62</v>
      </c>
      <c r="G351" s="3" t="s">
        <v>67</v>
      </c>
      <c r="H351" s="3" t="s">
        <v>68</v>
      </c>
      <c r="I351" s="5">
        <v>1530.21</v>
      </c>
      <c r="J351" s="4">
        <v>1</v>
      </c>
      <c r="K351" s="1">
        <v>4</v>
      </c>
      <c r="L351" s="4">
        <v>358.53</v>
      </c>
      <c r="M351" s="3" t="s">
        <v>28</v>
      </c>
      <c r="N351" s="3" t="s">
        <v>35</v>
      </c>
    </row>
    <row r="352" spans="1:14" x14ac:dyDescent="0.3">
      <c r="A352" s="3" t="s">
        <v>432</v>
      </c>
      <c r="B352" s="2">
        <v>45757</v>
      </c>
      <c r="C352" s="3" t="s">
        <v>37</v>
      </c>
      <c r="D352" s="3" t="s">
        <v>38</v>
      </c>
      <c r="E352" s="3" t="s">
        <v>71</v>
      </c>
      <c r="F352" s="3" t="s">
        <v>18</v>
      </c>
      <c r="G352" s="3" t="s">
        <v>19</v>
      </c>
      <c r="H352" s="3" t="s">
        <v>20</v>
      </c>
      <c r="I352" s="5">
        <v>4381.8</v>
      </c>
      <c r="J352" s="4">
        <v>3</v>
      </c>
      <c r="K352" s="1">
        <v>2</v>
      </c>
      <c r="L352" s="4">
        <v>346.29</v>
      </c>
      <c r="M352" s="3" t="s">
        <v>21</v>
      </c>
      <c r="N352" s="3" t="s">
        <v>22</v>
      </c>
    </row>
    <row r="353" spans="1:14" x14ac:dyDescent="0.3">
      <c r="A353" s="3" t="s">
        <v>433</v>
      </c>
      <c r="B353" s="2">
        <v>45616</v>
      </c>
      <c r="C353" s="3" t="s">
        <v>73</v>
      </c>
      <c r="D353" s="3" t="s">
        <v>89</v>
      </c>
      <c r="E353" s="3" t="s">
        <v>116</v>
      </c>
      <c r="F353" s="3" t="s">
        <v>32</v>
      </c>
      <c r="G353" s="3" t="s">
        <v>47</v>
      </c>
      <c r="H353" s="3" t="s">
        <v>48</v>
      </c>
      <c r="I353" s="5">
        <v>12574.98</v>
      </c>
      <c r="J353" s="4">
        <v>9</v>
      </c>
      <c r="K353" s="1">
        <v>26</v>
      </c>
      <c r="L353" s="4">
        <v>2293.2800000000002</v>
      </c>
      <c r="M353" s="3" t="s">
        <v>21</v>
      </c>
      <c r="N353" s="3" t="s">
        <v>44</v>
      </c>
    </row>
    <row r="354" spans="1:14" x14ac:dyDescent="0.3">
      <c r="A354" s="3" t="s">
        <v>434</v>
      </c>
      <c r="B354" s="2">
        <v>45784</v>
      </c>
      <c r="C354" s="3" t="s">
        <v>101</v>
      </c>
      <c r="D354" s="3" t="s">
        <v>56</v>
      </c>
      <c r="E354" s="3" t="s">
        <v>108</v>
      </c>
      <c r="F354" s="3" t="s">
        <v>32</v>
      </c>
      <c r="G354" s="3" t="s">
        <v>47</v>
      </c>
      <c r="H354" s="3" t="s">
        <v>48</v>
      </c>
      <c r="I354" s="5">
        <v>2649.95</v>
      </c>
      <c r="J354" s="4">
        <v>5</v>
      </c>
      <c r="K354" s="1">
        <v>11</v>
      </c>
      <c r="L354" s="4">
        <v>241.79</v>
      </c>
      <c r="M354" s="3" t="s">
        <v>51</v>
      </c>
      <c r="N354" s="3" t="s">
        <v>44</v>
      </c>
    </row>
    <row r="355" spans="1:14" x14ac:dyDescent="0.3">
      <c r="A355" s="3" t="s">
        <v>435</v>
      </c>
      <c r="B355" s="2">
        <v>45582</v>
      </c>
      <c r="C355" s="3" t="s">
        <v>99</v>
      </c>
      <c r="D355" s="3" t="s">
        <v>56</v>
      </c>
      <c r="E355" s="3" t="s">
        <v>61</v>
      </c>
      <c r="F355" s="3" t="s">
        <v>32</v>
      </c>
      <c r="G355" s="3" t="s">
        <v>112</v>
      </c>
      <c r="H355" s="3" t="s">
        <v>113</v>
      </c>
      <c r="I355" s="5">
        <v>1186.8599999999999</v>
      </c>
      <c r="J355" s="4">
        <v>3</v>
      </c>
      <c r="K355" s="1">
        <v>19</v>
      </c>
      <c r="L355" s="4">
        <v>81.53</v>
      </c>
      <c r="M355" s="3" t="s">
        <v>51</v>
      </c>
      <c r="N355" s="3" t="s">
        <v>44</v>
      </c>
    </row>
    <row r="356" spans="1:14" x14ac:dyDescent="0.3">
      <c r="A356" s="3" t="s">
        <v>436</v>
      </c>
      <c r="B356" s="2">
        <v>45447</v>
      </c>
      <c r="C356" s="3" t="s">
        <v>101</v>
      </c>
      <c r="D356" s="3" t="s">
        <v>89</v>
      </c>
      <c r="E356" s="3" t="s">
        <v>102</v>
      </c>
      <c r="F356" s="3" t="s">
        <v>62</v>
      </c>
      <c r="G356" s="3" t="s">
        <v>67</v>
      </c>
      <c r="H356" s="3" t="s">
        <v>68</v>
      </c>
      <c r="I356" s="5">
        <v>649.16</v>
      </c>
      <c r="J356" s="4">
        <v>2</v>
      </c>
      <c r="K356" s="1">
        <v>5</v>
      </c>
      <c r="L356" s="4">
        <v>95.89</v>
      </c>
      <c r="M356" s="3" t="s">
        <v>28</v>
      </c>
      <c r="N356" s="3" t="s">
        <v>35</v>
      </c>
    </row>
    <row r="357" spans="1:14" x14ac:dyDescent="0.3">
      <c r="A357" s="3" t="s">
        <v>437</v>
      </c>
      <c r="B357" s="2">
        <v>45567</v>
      </c>
      <c r="C357" s="3" t="s">
        <v>30</v>
      </c>
      <c r="D357" s="3" t="s">
        <v>89</v>
      </c>
      <c r="E357" s="3" t="s">
        <v>97</v>
      </c>
      <c r="F357" s="3" t="s">
        <v>18</v>
      </c>
      <c r="G357" s="3" t="s">
        <v>94</v>
      </c>
      <c r="H357" s="3" t="s">
        <v>95</v>
      </c>
      <c r="I357" s="5">
        <v>607.6</v>
      </c>
      <c r="J357" s="4">
        <v>2</v>
      </c>
      <c r="K357" s="1">
        <v>2</v>
      </c>
      <c r="L357" s="4">
        <v>82.34</v>
      </c>
      <c r="M357" s="3" t="s">
        <v>21</v>
      </c>
      <c r="N357" s="3" t="s">
        <v>35</v>
      </c>
    </row>
    <row r="358" spans="1:14" x14ac:dyDescent="0.3">
      <c r="A358" s="3" t="s">
        <v>438</v>
      </c>
      <c r="B358" s="2">
        <v>45489</v>
      </c>
      <c r="C358" s="3" t="s">
        <v>73</v>
      </c>
      <c r="D358" s="3" t="s">
        <v>56</v>
      </c>
      <c r="E358" s="3" t="s">
        <v>108</v>
      </c>
      <c r="F358" s="3" t="s">
        <v>62</v>
      </c>
      <c r="G358" s="3" t="s">
        <v>67</v>
      </c>
      <c r="H358" s="3" t="s">
        <v>68</v>
      </c>
      <c r="I358" s="5">
        <v>125.5</v>
      </c>
      <c r="J358" s="4">
        <v>1</v>
      </c>
      <c r="K358" s="1">
        <v>15</v>
      </c>
      <c r="L358" s="4">
        <v>25.78</v>
      </c>
      <c r="M358" s="3" t="s">
        <v>51</v>
      </c>
      <c r="N358" s="3" t="s">
        <v>40</v>
      </c>
    </row>
    <row r="359" spans="1:14" x14ac:dyDescent="0.3">
      <c r="A359" s="3" t="s">
        <v>439</v>
      </c>
      <c r="B359" s="2">
        <v>45451</v>
      </c>
      <c r="C359" s="3" t="s">
        <v>24</v>
      </c>
      <c r="D359" s="3" t="s">
        <v>38</v>
      </c>
      <c r="E359" s="3" t="s">
        <v>53</v>
      </c>
      <c r="F359" s="3" t="s">
        <v>32</v>
      </c>
      <c r="G359" s="3" t="s">
        <v>47</v>
      </c>
      <c r="H359" s="3" t="s">
        <v>48</v>
      </c>
      <c r="I359" s="5">
        <v>4103.13</v>
      </c>
      <c r="J359" s="4">
        <v>3</v>
      </c>
      <c r="K359" s="1">
        <v>6</v>
      </c>
      <c r="L359" s="4">
        <v>612.36</v>
      </c>
      <c r="M359" s="3" t="s">
        <v>28</v>
      </c>
      <c r="N359" s="3" t="s">
        <v>35</v>
      </c>
    </row>
    <row r="360" spans="1:14" x14ac:dyDescent="0.3">
      <c r="A360" s="3" t="s">
        <v>440</v>
      </c>
      <c r="B360" s="2">
        <v>45502</v>
      </c>
      <c r="C360" s="3" t="s">
        <v>133</v>
      </c>
      <c r="D360" s="3" t="s">
        <v>89</v>
      </c>
      <c r="E360" s="3" t="s">
        <v>140</v>
      </c>
      <c r="F360" s="3" t="s">
        <v>62</v>
      </c>
      <c r="G360" s="3" t="s">
        <v>67</v>
      </c>
      <c r="H360" s="3" t="s">
        <v>68</v>
      </c>
      <c r="I360" s="5">
        <v>638.14</v>
      </c>
      <c r="J360" s="4">
        <v>1</v>
      </c>
      <c r="K360" s="1">
        <v>23</v>
      </c>
      <c r="L360" s="4">
        <v>75.63</v>
      </c>
      <c r="M360" s="3" t="s">
        <v>51</v>
      </c>
      <c r="N360" s="3" t="s">
        <v>35</v>
      </c>
    </row>
    <row r="361" spans="1:14" x14ac:dyDescent="0.3">
      <c r="A361" s="3" t="s">
        <v>441</v>
      </c>
      <c r="B361" s="2">
        <v>45650</v>
      </c>
      <c r="C361" s="3" t="s">
        <v>86</v>
      </c>
      <c r="D361" s="3" t="s">
        <v>38</v>
      </c>
      <c r="E361" s="3" t="s">
        <v>43</v>
      </c>
      <c r="F361" s="3" t="s">
        <v>18</v>
      </c>
      <c r="G361" s="3" t="s">
        <v>26</v>
      </c>
      <c r="H361" s="3" t="s">
        <v>27</v>
      </c>
      <c r="I361" s="5">
        <v>2355.9</v>
      </c>
      <c r="J361" s="4">
        <v>5</v>
      </c>
      <c r="K361" s="1">
        <v>22</v>
      </c>
      <c r="L361" s="4">
        <v>94.95</v>
      </c>
      <c r="M361" s="3" t="s">
        <v>21</v>
      </c>
      <c r="N361" s="3" t="s">
        <v>22</v>
      </c>
    </row>
    <row r="362" spans="1:14" x14ac:dyDescent="0.3">
      <c r="A362" s="3" t="s">
        <v>442</v>
      </c>
      <c r="B362" s="2">
        <v>45513</v>
      </c>
      <c r="C362" s="3" t="s">
        <v>75</v>
      </c>
      <c r="D362" s="3" t="s">
        <v>16</v>
      </c>
      <c r="E362" s="3" t="s">
        <v>25</v>
      </c>
      <c r="F362" s="3" t="s">
        <v>18</v>
      </c>
      <c r="G362" s="3" t="s">
        <v>76</v>
      </c>
      <c r="H362" s="3" t="s">
        <v>77</v>
      </c>
      <c r="I362" s="5">
        <v>6929.82</v>
      </c>
      <c r="J362" s="4">
        <v>9</v>
      </c>
      <c r="K362" s="1">
        <v>13</v>
      </c>
      <c r="L362" s="4">
        <v>970.58</v>
      </c>
      <c r="M362" s="3" t="s">
        <v>28</v>
      </c>
      <c r="N362" s="3" t="s">
        <v>40</v>
      </c>
    </row>
    <row r="363" spans="1:14" x14ac:dyDescent="0.3">
      <c r="A363" s="3" t="s">
        <v>443</v>
      </c>
      <c r="B363" s="2">
        <v>45742</v>
      </c>
      <c r="C363" s="3" t="s">
        <v>70</v>
      </c>
      <c r="D363" s="3" t="s">
        <v>16</v>
      </c>
      <c r="E363" s="3" t="s">
        <v>31</v>
      </c>
      <c r="F363" s="3" t="s">
        <v>32</v>
      </c>
      <c r="G363" s="3" t="s">
        <v>58</v>
      </c>
      <c r="H363" s="3" t="s">
        <v>59</v>
      </c>
      <c r="I363" s="5">
        <v>1120.5</v>
      </c>
      <c r="J363" s="4">
        <v>2</v>
      </c>
      <c r="K363" s="1">
        <v>13</v>
      </c>
      <c r="L363" s="4">
        <v>130.99</v>
      </c>
      <c r="M363" s="3" t="s">
        <v>21</v>
      </c>
      <c r="N363" s="3" t="s">
        <v>35</v>
      </c>
    </row>
    <row r="364" spans="1:14" x14ac:dyDescent="0.3">
      <c r="A364" s="3" t="s">
        <v>444</v>
      </c>
      <c r="B364" s="2">
        <v>45656</v>
      </c>
      <c r="C364" s="3" t="s">
        <v>75</v>
      </c>
      <c r="D364" s="3" t="s">
        <v>38</v>
      </c>
      <c r="E364" s="3" t="s">
        <v>39</v>
      </c>
      <c r="F364" s="3" t="s">
        <v>32</v>
      </c>
      <c r="G364" s="3" t="s">
        <v>33</v>
      </c>
      <c r="H364" s="3" t="s">
        <v>34</v>
      </c>
      <c r="I364" s="5">
        <v>10397.700000000001</v>
      </c>
      <c r="J364" s="4">
        <v>9</v>
      </c>
      <c r="K364" s="1">
        <v>14</v>
      </c>
      <c r="L364" s="4">
        <v>1979.25</v>
      </c>
      <c r="M364" s="3" t="s">
        <v>21</v>
      </c>
      <c r="N364" s="3" t="s">
        <v>44</v>
      </c>
    </row>
    <row r="365" spans="1:14" x14ac:dyDescent="0.3">
      <c r="A365" s="3" t="s">
        <v>445</v>
      </c>
      <c r="B365" s="2">
        <v>45532</v>
      </c>
      <c r="C365" s="3" t="s">
        <v>75</v>
      </c>
      <c r="D365" s="3" t="s">
        <v>56</v>
      </c>
      <c r="E365" s="3" t="s">
        <v>61</v>
      </c>
      <c r="F365" s="3" t="s">
        <v>18</v>
      </c>
      <c r="G365" s="3" t="s">
        <v>19</v>
      </c>
      <c r="H365" s="3" t="s">
        <v>20</v>
      </c>
      <c r="I365" s="5">
        <v>2427.3000000000002</v>
      </c>
      <c r="J365" s="4">
        <v>2</v>
      </c>
      <c r="K365" s="1">
        <v>23</v>
      </c>
      <c r="L365" s="4">
        <v>229.71</v>
      </c>
      <c r="M365" s="3" t="s">
        <v>51</v>
      </c>
      <c r="N365" s="3" t="s">
        <v>44</v>
      </c>
    </row>
    <row r="366" spans="1:14" x14ac:dyDescent="0.3">
      <c r="A366" s="3" t="s">
        <v>446</v>
      </c>
      <c r="B366" s="2">
        <v>45629</v>
      </c>
      <c r="C366" s="3" t="s">
        <v>42</v>
      </c>
      <c r="D366" s="3" t="s">
        <v>38</v>
      </c>
      <c r="E366" s="3" t="s">
        <v>53</v>
      </c>
      <c r="F366" s="3" t="s">
        <v>18</v>
      </c>
      <c r="G366" s="3" t="s">
        <v>19</v>
      </c>
      <c r="H366" s="3" t="s">
        <v>20</v>
      </c>
      <c r="I366" s="5">
        <v>1987.68</v>
      </c>
      <c r="J366" s="4">
        <v>1</v>
      </c>
      <c r="K366" s="1">
        <v>14</v>
      </c>
      <c r="L366" s="4">
        <v>201.27</v>
      </c>
      <c r="M366" s="3" t="s">
        <v>21</v>
      </c>
      <c r="N366" s="3" t="s">
        <v>22</v>
      </c>
    </row>
    <row r="367" spans="1:14" x14ac:dyDescent="0.3">
      <c r="A367" s="3" t="s">
        <v>447</v>
      </c>
      <c r="B367" s="2">
        <v>45543</v>
      </c>
      <c r="C367" s="3" t="s">
        <v>66</v>
      </c>
      <c r="D367" s="3" t="s">
        <v>38</v>
      </c>
      <c r="E367" s="3" t="s">
        <v>39</v>
      </c>
      <c r="F367" s="3" t="s">
        <v>62</v>
      </c>
      <c r="G367" s="3" t="s">
        <v>80</v>
      </c>
      <c r="H367" s="3" t="s">
        <v>81</v>
      </c>
      <c r="I367" s="5">
        <v>5859.12</v>
      </c>
      <c r="J367" s="4">
        <v>4</v>
      </c>
      <c r="K367" s="1">
        <v>7.0000000000000009</v>
      </c>
      <c r="L367" s="4">
        <v>537.89</v>
      </c>
      <c r="M367" s="3" t="s">
        <v>21</v>
      </c>
      <c r="N367" s="3" t="s">
        <v>44</v>
      </c>
    </row>
    <row r="368" spans="1:14" x14ac:dyDescent="0.3">
      <c r="A368" s="3" t="s">
        <v>448</v>
      </c>
      <c r="B368" s="2">
        <v>45615</v>
      </c>
      <c r="C368" s="3" t="s">
        <v>133</v>
      </c>
      <c r="D368" s="3" t="s">
        <v>16</v>
      </c>
      <c r="E368" s="3" t="s">
        <v>17</v>
      </c>
      <c r="F368" s="3" t="s">
        <v>18</v>
      </c>
      <c r="G368" s="3" t="s">
        <v>19</v>
      </c>
      <c r="H368" s="3" t="s">
        <v>20</v>
      </c>
      <c r="I368" s="5">
        <v>3915.3</v>
      </c>
      <c r="J368" s="4">
        <v>5</v>
      </c>
      <c r="K368" s="1">
        <v>7.0000000000000009</v>
      </c>
      <c r="L368" s="4">
        <v>264.56</v>
      </c>
      <c r="M368" s="3" t="s">
        <v>28</v>
      </c>
      <c r="N368" s="3" t="s">
        <v>35</v>
      </c>
    </row>
    <row r="369" spans="1:14" x14ac:dyDescent="0.3">
      <c r="A369" s="3" t="s">
        <v>449</v>
      </c>
      <c r="B369" s="2">
        <v>45577</v>
      </c>
      <c r="C369" s="3" t="s">
        <v>73</v>
      </c>
      <c r="D369" s="3" t="s">
        <v>89</v>
      </c>
      <c r="E369" s="3" t="s">
        <v>102</v>
      </c>
      <c r="F369" s="3" t="s">
        <v>18</v>
      </c>
      <c r="G369" s="3" t="s">
        <v>76</v>
      </c>
      <c r="H369" s="3" t="s">
        <v>77</v>
      </c>
      <c r="I369" s="5">
        <v>3355.4</v>
      </c>
      <c r="J369" s="4">
        <v>4</v>
      </c>
      <c r="K369" s="1">
        <v>9</v>
      </c>
      <c r="L369" s="4">
        <v>243.86</v>
      </c>
      <c r="M369" s="3" t="s">
        <v>21</v>
      </c>
      <c r="N369" s="3" t="s">
        <v>22</v>
      </c>
    </row>
    <row r="370" spans="1:14" x14ac:dyDescent="0.3">
      <c r="A370" s="3" t="s">
        <v>450</v>
      </c>
      <c r="B370" s="2">
        <v>45697</v>
      </c>
      <c r="C370" s="3" t="s">
        <v>133</v>
      </c>
      <c r="D370" s="3" t="s">
        <v>16</v>
      </c>
      <c r="E370" s="3" t="s">
        <v>25</v>
      </c>
      <c r="F370" s="3" t="s">
        <v>62</v>
      </c>
      <c r="G370" s="3" t="s">
        <v>103</v>
      </c>
      <c r="H370" s="3" t="s">
        <v>104</v>
      </c>
      <c r="I370" s="5">
        <v>6153.66</v>
      </c>
      <c r="J370" s="4">
        <v>6</v>
      </c>
      <c r="K370" s="1">
        <v>8</v>
      </c>
      <c r="L370" s="4">
        <v>1157.21</v>
      </c>
      <c r="M370" s="3" t="s">
        <v>21</v>
      </c>
      <c r="N370" s="3" t="s">
        <v>35</v>
      </c>
    </row>
    <row r="371" spans="1:14" x14ac:dyDescent="0.3">
      <c r="A371" s="3" t="s">
        <v>451</v>
      </c>
      <c r="B371" s="2">
        <v>45479</v>
      </c>
      <c r="C371" s="3" t="s">
        <v>50</v>
      </c>
      <c r="D371" s="3" t="s">
        <v>56</v>
      </c>
      <c r="E371" s="3" t="s">
        <v>61</v>
      </c>
      <c r="F371" s="3" t="s">
        <v>62</v>
      </c>
      <c r="G371" s="3" t="s">
        <v>103</v>
      </c>
      <c r="H371" s="3" t="s">
        <v>104</v>
      </c>
      <c r="I371" s="5">
        <v>18243.5</v>
      </c>
      <c r="J371" s="4">
        <v>10</v>
      </c>
      <c r="K371" s="1">
        <v>13</v>
      </c>
      <c r="L371" s="4">
        <v>2512.92</v>
      </c>
      <c r="M371" s="3" t="s">
        <v>28</v>
      </c>
      <c r="N371" s="3" t="s">
        <v>40</v>
      </c>
    </row>
    <row r="372" spans="1:14" x14ac:dyDescent="0.3">
      <c r="A372" s="3" t="s">
        <v>452</v>
      </c>
      <c r="B372" s="2">
        <v>45554</v>
      </c>
      <c r="C372" s="3" t="s">
        <v>42</v>
      </c>
      <c r="D372" s="3" t="s">
        <v>38</v>
      </c>
      <c r="E372" s="3" t="s">
        <v>71</v>
      </c>
      <c r="F372" s="3" t="s">
        <v>62</v>
      </c>
      <c r="G372" s="3" t="s">
        <v>80</v>
      </c>
      <c r="H372" s="3" t="s">
        <v>81</v>
      </c>
      <c r="I372" s="5">
        <v>3586.23</v>
      </c>
      <c r="J372" s="4">
        <v>3</v>
      </c>
      <c r="K372" s="1">
        <v>5</v>
      </c>
      <c r="L372" s="4">
        <v>412.87</v>
      </c>
      <c r="M372" s="3" t="s">
        <v>28</v>
      </c>
      <c r="N372" s="3" t="s">
        <v>44</v>
      </c>
    </row>
    <row r="373" spans="1:14" x14ac:dyDescent="0.3">
      <c r="A373" s="3" t="s">
        <v>453</v>
      </c>
      <c r="B373" s="2">
        <v>45651</v>
      </c>
      <c r="C373" s="3" t="s">
        <v>50</v>
      </c>
      <c r="D373" s="3" t="s">
        <v>89</v>
      </c>
      <c r="E373" s="3" t="s">
        <v>102</v>
      </c>
      <c r="F373" s="3" t="s">
        <v>62</v>
      </c>
      <c r="G373" s="3" t="s">
        <v>67</v>
      </c>
      <c r="H373" s="3" t="s">
        <v>68</v>
      </c>
      <c r="I373" s="5">
        <v>14273.52</v>
      </c>
      <c r="J373" s="4">
        <v>8</v>
      </c>
      <c r="K373" s="1">
        <v>18</v>
      </c>
      <c r="L373" s="4">
        <v>2538.7800000000002</v>
      </c>
      <c r="M373" s="3" t="s">
        <v>51</v>
      </c>
      <c r="N373" s="3" t="s">
        <v>22</v>
      </c>
    </row>
    <row r="374" spans="1:14" x14ac:dyDescent="0.3">
      <c r="A374" s="3" t="s">
        <v>454</v>
      </c>
      <c r="B374" s="2">
        <v>45580</v>
      </c>
      <c r="C374" s="3" t="s">
        <v>133</v>
      </c>
      <c r="D374" s="3" t="s">
        <v>56</v>
      </c>
      <c r="E374" s="3" t="s">
        <v>61</v>
      </c>
      <c r="F374" s="3" t="s">
        <v>32</v>
      </c>
      <c r="G374" s="3" t="s">
        <v>58</v>
      </c>
      <c r="H374" s="3" t="s">
        <v>59</v>
      </c>
      <c r="I374" s="5">
        <v>2922.58</v>
      </c>
      <c r="J374" s="4">
        <v>2</v>
      </c>
      <c r="K374" s="1">
        <v>22</v>
      </c>
      <c r="L374" s="4">
        <v>150.24</v>
      </c>
      <c r="M374" s="3" t="s">
        <v>51</v>
      </c>
      <c r="N374" s="3" t="s">
        <v>35</v>
      </c>
    </row>
    <row r="375" spans="1:14" x14ac:dyDescent="0.3">
      <c r="A375" s="3" t="s">
        <v>455</v>
      </c>
      <c r="B375" s="2">
        <v>45761</v>
      </c>
      <c r="C375" s="3" t="s">
        <v>99</v>
      </c>
      <c r="D375" s="3" t="s">
        <v>38</v>
      </c>
      <c r="E375" s="3" t="s">
        <v>39</v>
      </c>
      <c r="F375" s="3" t="s">
        <v>62</v>
      </c>
      <c r="G375" s="3" t="s">
        <v>67</v>
      </c>
      <c r="H375" s="3" t="s">
        <v>68</v>
      </c>
      <c r="I375" s="5">
        <v>848.16</v>
      </c>
      <c r="J375" s="4">
        <v>8</v>
      </c>
      <c r="K375" s="1">
        <v>16</v>
      </c>
      <c r="L375" s="4">
        <v>103.34</v>
      </c>
      <c r="M375" s="3" t="s">
        <v>28</v>
      </c>
      <c r="N375" s="3" t="s">
        <v>40</v>
      </c>
    </row>
    <row r="376" spans="1:14" x14ac:dyDescent="0.3">
      <c r="A376" s="3" t="s">
        <v>456</v>
      </c>
      <c r="B376" s="2">
        <v>45740</v>
      </c>
      <c r="C376" s="3" t="s">
        <v>99</v>
      </c>
      <c r="D376" s="3" t="s">
        <v>38</v>
      </c>
      <c r="E376" s="3" t="s">
        <v>43</v>
      </c>
      <c r="F376" s="3" t="s">
        <v>32</v>
      </c>
      <c r="G376" s="3" t="s">
        <v>33</v>
      </c>
      <c r="H376" s="3" t="s">
        <v>34</v>
      </c>
      <c r="I376" s="5">
        <v>7435.68</v>
      </c>
      <c r="J376" s="4">
        <v>7</v>
      </c>
      <c r="K376" s="1">
        <v>7.0000000000000009</v>
      </c>
      <c r="L376" s="4">
        <v>1366.4</v>
      </c>
      <c r="M376" s="3" t="s">
        <v>51</v>
      </c>
      <c r="N376" s="3" t="s">
        <v>40</v>
      </c>
    </row>
    <row r="377" spans="1:14" x14ac:dyDescent="0.3">
      <c r="A377" s="3" t="s">
        <v>457</v>
      </c>
      <c r="B377" s="2">
        <v>45657</v>
      </c>
      <c r="C377" s="3" t="s">
        <v>73</v>
      </c>
      <c r="D377" s="3" t="s">
        <v>38</v>
      </c>
      <c r="E377" s="3" t="s">
        <v>53</v>
      </c>
      <c r="F377" s="3" t="s">
        <v>62</v>
      </c>
      <c r="G377" s="3" t="s">
        <v>63</v>
      </c>
      <c r="H377" s="3" t="s">
        <v>64</v>
      </c>
      <c r="I377" s="5">
        <v>4694.08</v>
      </c>
      <c r="J377" s="4">
        <v>4</v>
      </c>
      <c r="K377" s="1">
        <v>25</v>
      </c>
      <c r="L377" s="4">
        <v>279.85000000000002</v>
      </c>
      <c r="M377" s="3" t="s">
        <v>28</v>
      </c>
      <c r="N377" s="3" t="s">
        <v>40</v>
      </c>
    </row>
    <row r="378" spans="1:14" x14ac:dyDescent="0.3">
      <c r="A378" s="3" t="s">
        <v>458</v>
      </c>
      <c r="B378" s="2">
        <v>45688</v>
      </c>
      <c r="C378" s="3" t="s">
        <v>133</v>
      </c>
      <c r="D378" s="3" t="s">
        <v>38</v>
      </c>
      <c r="E378" s="3" t="s">
        <v>43</v>
      </c>
      <c r="F378" s="3" t="s">
        <v>32</v>
      </c>
      <c r="G378" s="3" t="s">
        <v>33</v>
      </c>
      <c r="H378" s="3" t="s">
        <v>34</v>
      </c>
      <c r="I378" s="5">
        <v>3252.08</v>
      </c>
      <c r="J378" s="4">
        <v>2</v>
      </c>
      <c r="K378" s="1">
        <v>21</v>
      </c>
      <c r="L378" s="4">
        <v>623.16999999999996</v>
      </c>
      <c r="M378" s="3" t="s">
        <v>51</v>
      </c>
      <c r="N378" s="3" t="s">
        <v>22</v>
      </c>
    </row>
    <row r="379" spans="1:14" x14ac:dyDescent="0.3">
      <c r="A379" s="3" t="s">
        <v>459</v>
      </c>
      <c r="B379" s="2">
        <v>45691</v>
      </c>
      <c r="C379" s="3" t="s">
        <v>70</v>
      </c>
      <c r="D379" s="3" t="s">
        <v>38</v>
      </c>
      <c r="E379" s="3" t="s">
        <v>39</v>
      </c>
      <c r="F379" s="3" t="s">
        <v>18</v>
      </c>
      <c r="G379" s="3" t="s">
        <v>94</v>
      </c>
      <c r="H379" s="3" t="s">
        <v>95</v>
      </c>
      <c r="I379" s="5">
        <v>7742.07</v>
      </c>
      <c r="J379" s="4">
        <v>9</v>
      </c>
      <c r="K379" s="1">
        <v>1</v>
      </c>
      <c r="L379" s="4">
        <v>794.37</v>
      </c>
      <c r="M379" s="3" t="s">
        <v>21</v>
      </c>
      <c r="N379" s="3" t="s">
        <v>35</v>
      </c>
    </row>
    <row r="380" spans="1:14" x14ac:dyDescent="0.3">
      <c r="A380" s="3" t="s">
        <v>460</v>
      </c>
      <c r="B380" s="2">
        <v>45618</v>
      </c>
      <c r="C380" s="3" t="s">
        <v>84</v>
      </c>
      <c r="D380" s="3" t="s">
        <v>16</v>
      </c>
      <c r="E380" s="3" t="s">
        <v>25</v>
      </c>
      <c r="F380" s="3" t="s">
        <v>62</v>
      </c>
      <c r="G380" s="3" t="s">
        <v>103</v>
      </c>
      <c r="H380" s="3" t="s">
        <v>104</v>
      </c>
      <c r="I380" s="5">
        <v>9138.5</v>
      </c>
      <c r="J380" s="4">
        <v>10</v>
      </c>
      <c r="K380" s="1">
        <v>7.0000000000000009</v>
      </c>
      <c r="L380" s="4">
        <v>1421.7</v>
      </c>
      <c r="M380" s="3" t="s">
        <v>51</v>
      </c>
      <c r="N380" s="3" t="s">
        <v>22</v>
      </c>
    </row>
    <row r="381" spans="1:14" x14ac:dyDescent="0.3">
      <c r="A381" s="3" t="s">
        <v>461</v>
      </c>
      <c r="B381" s="2">
        <v>45491</v>
      </c>
      <c r="C381" s="3" t="s">
        <v>99</v>
      </c>
      <c r="D381" s="3" t="s">
        <v>38</v>
      </c>
      <c r="E381" s="3" t="s">
        <v>71</v>
      </c>
      <c r="F381" s="3" t="s">
        <v>32</v>
      </c>
      <c r="G381" s="3" t="s">
        <v>47</v>
      </c>
      <c r="H381" s="3" t="s">
        <v>48</v>
      </c>
      <c r="I381" s="5">
        <v>7986.75</v>
      </c>
      <c r="J381" s="4">
        <v>5</v>
      </c>
      <c r="K381" s="1">
        <v>16</v>
      </c>
      <c r="L381" s="4">
        <v>812.1</v>
      </c>
      <c r="M381" s="3" t="s">
        <v>51</v>
      </c>
      <c r="N381" s="3" t="s">
        <v>44</v>
      </c>
    </row>
    <row r="382" spans="1:14" x14ac:dyDescent="0.3">
      <c r="A382" s="3" t="s">
        <v>462</v>
      </c>
      <c r="B382" s="2">
        <v>45668</v>
      </c>
      <c r="C382" s="3" t="s">
        <v>42</v>
      </c>
      <c r="D382" s="3" t="s">
        <v>38</v>
      </c>
      <c r="E382" s="3" t="s">
        <v>71</v>
      </c>
      <c r="F382" s="3" t="s">
        <v>62</v>
      </c>
      <c r="G382" s="3" t="s">
        <v>67</v>
      </c>
      <c r="H382" s="3" t="s">
        <v>68</v>
      </c>
      <c r="I382" s="5">
        <v>266.87</v>
      </c>
      <c r="J382" s="4">
        <v>1</v>
      </c>
      <c r="K382" s="1">
        <v>0</v>
      </c>
      <c r="L382" s="4">
        <v>40.72</v>
      </c>
      <c r="M382" s="3" t="s">
        <v>28</v>
      </c>
      <c r="N382" s="3" t="s">
        <v>35</v>
      </c>
    </row>
    <row r="383" spans="1:14" x14ac:dyDescent="0.3">
      <c r="A383" s="3" t="s">
        <v>463</v>
      </c>
      <c r="B383" s="2">
        <v>45523</v>
      </c>
      <c r="C383" s="3" t="s">
        <v>99</v>
      </c>
      <c r="D383" s="3" t="s">
        <v>89</v>
      </c>
      <c r="E383" s="3" t="s">
        <v>140</v>
      </c>
      <c r="F383" s="3" t="s">
        <v>32</v>
      </c>
      <c r="G383" s="3" t="s">
        <v>58</v>
      </c>
      <c r="H383" s="3" t="s">
        <v>59</v>
      </c>
      <c r="I383" s="5">
        <v>2537.46</v>
      </c>
      <c r="J383" s="4">
        <v>9</v>
      </c>
      <c r="K383" s="1">
        <v>17</v>
      </c>
      <c r="L383" s="4">
        <v>501.71</v>
      </c>
      <c r="M383" s="3" t="s">
        <v>21</v>
      </c>
      <c r="N383" s="3" t="s">
        <v>44</v>
      </c>
    </row>
    <row r="384" spans="1:14" x14ac:dyDescent="0.3">
      <c r="A384" s="3" t="s">
        <v>464</v>
      </c>
      <c r="B384" s="2">
        <v>45432</v>
      </c>
      <c r="C384" s="3" t="s">
        <v>75</v>
      </c>
      <c r="D384" s="3" t="s">
        <v>89</v>
      </c>
      <c r="E384" s="3" t="s">
        <v>97</v>
      </c>
      <c r="F384" s="3" t="s">
        <v>18</v>
      </c>
      <c r="G384" s="3" t="s">
        <v>26</v>
      </c>
      <c r="H384" s="3" t="s">
        <v>27</v>
      </c>
      <c r="I384" s="5">
        <v>7377.39</v>
      </c>
      <c r="J384" s="4">
        <v>9</v>
      </c>
      <c r="K384" s="1">
        <v>2</v>
      </c>
      <c r="L384" s="4">
        <v>908.57</v>
      </c>
      <c r="M384" s="3" t="s">
        <v>21</v>
      </c>
      <c r="N384" s="3" t="s">
        <v>44</v>
      </c>
    </row>
    <row r="385" spans="1:14" x14ac:dyDescent="0.3">
      <c r="A385" s="3" t="s">
        <v>465</v>
      </c>
      <c r="B385" s="2">
        <v>45559</v>
      </c>
      <c r="C385" s="3" t="s">
        <v>133</v>
      </c>
      <c r="D385" s="3" t="s">
        <v>89</v>
      </c>
      <c r="E385" s="3" t="s">
        <v>90</v>
      </c>
      <c r="F385" s="3" t="s">
        <v>18</v>
      </c>
      <c r="G385" s="3" t="s">
        <v>26</v>
      </c>
      <c r="H385" s="3" t="s">
        <v>27</v>
      </c>
      <c r="I385" s="5">
        <v>4547.34</v>
      </c>
      <c r="J385" s="4">
        <v>6</v>
      </c>
      <c r="K385" s="1">
        <v>29</v>
      </c>
      <c r="L385" s="4">
        <v>392.98</v>
      </c>
      <c r="M385" s="3" t="s">
        <v>21</v>
      </c>
      <c r="N385" s="3" t="s">
        <v>22</v>
      </c>
    </row>
    <row r="386" spans="1:14" x14ac:dyDescent="0.3">
      <c r="A386" s="3" t="s">
        <v>466</v>
      </c>
      <c r="B386" s="2">
        <v>45708</v>
      </c>
      <c r="C386" s="3" t="s">
        <v>66</v>
      </c>
      <c r="D386" s="3" t="s">
        <v>89</v>
      </c>
      <c r="E386" s="3" t="s">
        <v>90</v>
      </c>
      <c r="F386" s="3" t="s">
        <v>62</v>
      </c>
      <c r="G386" s="3" t="s">
        <v>103</v>
      </c>
      <c r="H386" s="3" t="s">
        <v>104</v>
      </c>
      <c r="I386" s="5">
        <v>1055.52</v>
      </c>
      <c r="J386" s="4">
        <v>1</v>
      </c>
      <c r="K386" s="1">
        <v>1</v>
      </c>
      <c r="L386" s="4">
        <v>187</v>
      </c>
      <c r="M386" s="3" t="s">
        <v>51</v>
      </c>
      <c r="N386" s="3" t="s">
        <v>22</v>
      </c>
    </row>
    <row r="387" spans="1:14" x14ac:dyDescent="0.3">
      <c r="A387" s="3" t="s">
        <v>467</v>
      </c>
      <c r="B387" s="2">
        <v>45775</v>
      </c>
      <c r="C387" s="3" t="s">
        <v>70</v>
      </c>
      <c r="D387" s="3" t="s">
        <v>89</v>
      </c>
      <c r="E387" s="3" t="s">
        <v>102</v>
      </c>
      <c r="F387" s="3" t="s">
        <v>62</v>
      </c>
      <c r="G387" s="3" t="s">
        <v>103</v>
      </c>
      <c r="H387" s="3" t="s">
        <v>104</v>
      </c>
      <c r="I387" s="5">
        <v>4521.84</v>
      </c>
      <c r="J387" s="4">
        <v>6</v>
      </c>
      <c r="K387" s="1">
        <v>29</v>
      </c>
      <c r="L387" s="4">
        <v>516.24</v>
      </c>
      <c r="M387" s="3" t="s">
        <v>28</v>
      </c>
      <c r="N387" s="3" t="s">
        <v>40</v>
      </c>
    </row>
    <row r="388" spans="1:14" x14ac:dyDescent="0.3">
      <c r="A388" s="3" t="s">
        <v>468</v>
      </c>
      <c r="B388" s="2">
        <v>45645</v>
      </c>
      <c r="C388" s="3" t="s">
        <v>66</v>
      </c>
      <c r="D388" s="3" t="s">
        <v>16</v>
      </c>
      <c r="E388" s="3" t="s">
        <v>31</v>
      </c>
      <c r="F388" s="3" t="s">
        <v>32</v>
      </c>
      <c r="G388" s="3" t="s">
        <v>47</v>
      </c>
      <c r="H388" s="3" t="s">
        <v>48</v>
      </c>
      <c r="I388" s="5">
        <v>10116.81</v>
      </c>
      <c r="J388" s="4">
        <v>9</v>
      </c>
      <c r="K388" s="1">
        <v>19</v>
      </c>
      <c r="L388" s="4">
        <v>586.13</v>
      </c>
      <c r="M388" s="3" t="s">
        <v>28</v>
      </c>
      <c r="N388" s="3" t="s">
        <v>44</v>
      </c>
    </row>
    <row r="389" spans="1:14" x14ac:dyDescent="0.3">
      <c r="A389" s="3" t="s">
        <v>469</v>
      </c>
      <c r="B389" s="2">
        <v>45472</v>
      </c>
      <c r="C389" s="3" t="s">
        <v>70</v>
      </c>
      <c r="D389" s="3" t="s">
        <v>16</v>
      </c>
      <c r="E389" s="3" t="s">
        <v>17</v>
      </c>
      <c r="F389" s="3" t="s">
        <v>18</v>
      </c>
      <c r="G389" s="3" t="s">
        <v>19</v>
      </c>
      <c r="H389" s="3" t="s">
        <v>20</v>
      </c>
      <c r="I389" s="5">
        <v>2999.14</v>
      </c>
      <c r="J389" s="4">
        <v>2</v>
      </c>
      <c r="K389" s="1">
        <v>28</v>
      </c>
      <c r="L389" s="4">
        <v>505.06</v>
      </c>
      <c r="M389" s="3" t="s">
        <v>28</v>
      </c>
      <c r="N389" s="3" t="s">
        <v>40</v>
      </c>
    </row>
    <row r="390" spans="1:14" x14ac:dyDescent="0.3">
      <c r="A390" s="3" t="s">
        <v>470</v>
      </c>
      <c r="B390" s="2">
        <v>45775</v>
      </c>
      <c r="C390" s="3" t="s">
        <v>15</v>
      </c>
      <c r="D390" s="3" t="s">
        <v>38</v>
      </c>
      <c r="E390" s="3" t="s">
        <v>53</v>
      </c>
      <c r="F390" s="3" t="s">
        <v>18</v>
      </c>
      <c r="G390" s="3" t="s">
        <v>19</v>
      </c>
      <c r="H390" s="3" t="s">
        <v>20</v>
      </c>
      <c r="I390" s="5">
        <v>1576.13</v>
      </c>
      <c r="J390" s="4">
        <v>1</v>
      </c>
      <c r="K390" s="1">
        <v>16</v>
      </c>
      <c r="L390" s="4">
        <v>288.45999999999998</v>
      </c>
      <c r="M390" s="3" t="s">
        <v>21</v>
      </c>
      <c r="N390" s="3" t="s">
        <v>44</v>
      </c>
    </row>
    <row r="391" spans="1:14" x14ac:dyDescent="0.3">
      <c r="A391" s="3" t="s">
        <v>471</v>
      </c>
      <c r="B391" s="2">
        <v>45712</v>
      </c>
      <c r="C391" s="3" t="s">
        <v>99</v>
      </c>
      <c r="D391" s="3" t="s">
        <v>38</v>
      </c>
      <c r="E391" s="3" t="s">
        <v>39</v>
      </c>
      <c r="F391" s="3" t="s">
        <v>18</v>
      </c>
      <c r="G391" s="3" t="s">
        <v>94</v>
      </c>
      <c r="H391" s="3" t="s">
        <v>95</v>
      </c>
      <c r="I391" s="5">
        <v>869.13</v>
      </c>
      <c r="J391" s="4">
        <v>1</v>
      </c>
      <c r="K391" s="1">
        <v>3</v>
      </c>
      <c r="L391" s="4">
        <v>150.25</v>
      </c>
      <c r="M391" s="3" t="s">
        <v>51</v>
      </c>
      <c r="N391" s="3" t="s">
        <v>44</v>
      </c>
    </row>
    <row r="392" spans="1:14" x14ac:dyDescent="0.3">
      <c r="A392" s="3" t="s">
        <v>472</v>
      </c>
      <c r="B392" s="2">
        <v>45762</v>
      </c>
      <c r="C392" s="3" t="s">
        <v>75</v>
      </c>
      <c r="D392" s="3" t="s">
        <v>56</v>
      </c>
      <c r="E392" s="3" t="s">
        <v>108</v>
      </c>
      <c r="F392" s="3" t="s">
        <v>18</v>
      </c>
      <c r="G392" s="3" t="s">
        <v>94</v>
      </c>
      <c r="H392" s="3" t="s">
        <v>95</v>
      </c>
      <c r="I392" s="5">
        <v>8414.4</v>
      </c>
      <c r="J392" s="4">
        <v>8</v>
      </c>
      <c r="K392" s="1">
        <v>20</v>
      </c>
      <c r="L392" s="4">
        <v>430.15</v>
      </c>
      <c r="M392" s="3" t="s">
        <v>21</v>
      </c>
      <c r="N392" s="3" t="s">
        <v>22</v>
      </c>
    </row>
    <row r="393" spans="1:14" x14ac:dyDescent="0.3">
      <c r="A393" s="3" t="s">
        <v>473</v>
      </c>
      <c r="B393" s="2">
        <v>45628</v>
      </c>
      <c r="C393" s="3" t="s">
        <v>99</v>
      </c>
      <c r="D393" s="3" t="s">
        <v>16</v>
      </c>
      <c r="E393" s="3" t="s">
        <v>17</v>
      </c>
      <c r="F393" s="3" t="s">
        <v>32</v>
      </c>
      <c r="G393" s="3" t="s">
        <v>33</v>
      </c>
      <c r="H393" s="3" t="s">
        <v>34</v>
      </c>
      <c r="I393" s="5">
        <v>5007.7</v>
      </c>
      <c r="J393" s="4">
        <v>10</v>
      </c>
      <c r="K393" s="1">
        <v>25</v>
      </c>
      <c r="L393" s="4">
        <v>498</v>
      </c>
      <c r="M393" s="3" t="s">
        <v>28</v>
      </c>
      <c r="N393" s="3" t="s">
        <v>35</v>
      </c>
    </row>
    <row r="394" spans="1:14" x14ac:dyDescent="0.3">
      <c r="A394" s="3" t="s">
        <v>474</v>
      </c>
      <c r="B394" s="2">
        <v>45613</v>
      </c>
      <c r="C394" s="3" t="s">
        <v>73</v>
      </c>
      <c r="D394" s="3" t="s">
        <v>38</v>
      </c>
      <c r="E394" s="3" t="s">
        <v>43</v>
      </c>
      <c r="F394" s="3" t="s">
        <v>62</v>
      </c>
      <c r="G394" s="3" t="s">
        <v>80</v>
      </c>
      <c r="H394" s="3" t="s">
        <v>81</v>
      </c>
      <c r="I394" s="5">
        <v>3023.52</v>
      </c>
      <c r="J394" s="4">
        <v>3</v>
      </c>
      <c r="K394" s="1">
        <v>21</v>
      </c>
      <c r="L394" s="4">
        <v>140.82</v>
      </c>
      <c r="M394" s="3" t="s">
        <v>28</v>
      </c>
      <c r="N394" s="3" t="s">
        <v>35</v>
      </c>
    </row>
    <row r="395" spans="1:14" x14ac:dyDescent="0.3">
      <c r="A395" s="3" t="s">
        <v>475</v>
      </c>
      <c r="B395" s="2">
        <v>45642</v>
      </c>
      <c r="C395" s="3" t="s">
        <v>75</v>
      </c>
      <c r="D395" s="3" t="s">
        <v>56</v>
      </c>
      <c r="E395" s="3" t="s">
        <v>61</v>
      </c>
      <c r="F395" s="3" t="s">
        <v>32</v>
      </c>
      <c r="G395" s="3" t="s">
        <v>33</v>
      </c>
      <c r="H395" s="3" t="s">
        <v>34</v>
      </c>
      <c r="I395" s="5">
        <v>1089.1199999999999</v>
      </c>
      <c r="J395" s="4">
        <v>6</v>
      </c>
      <c r="K395" s="1">
        <v>1</v>
      </c>
      <c r="L395" s="4">
        <v>260.64999999999998</v>
      </c>
      <c r="M395" s="3" t="s">
        <v>51</v>
      </c>
      <c r="N395" s="3" t="s">
        <v>35</v>
      </c>
    </row>
    <row r="396" spans="1:14" x14ac:dyDescent="0.3">
      <c r="A396" s="3" t="s">
        <v>476</v>
      </c>
      <c r="B396" s="2">
        <v>45758</v>
      </c>
      <c r="C396" s="3" t="s">
        <v>66</v>
      </c>
      <c r="D396" s="3" t="s">
        <v>16</v>
      </c>
      <c r="E396" s="3" t="s">
        <v>25</v>
      </c>
      <c r="F396" s="3" t="s">
        <v>32</v>
      </c>
      <c r="G396" s="3" t="s">
        <v>58</v>
      </c>
      <c r="H396" s="3" t="s">
        <v>59</v>
      </c>
      <c r="I396" s="5">
        <v>5421.92</v>
      </c>
      <c r="J396" s="4">
        <v>7</v>
      </c>
      <c r="K396" s="1">
        <v>16</v>
      </c>
      <c r="L396" s="4">
        <v>895.38</v>
      </c>
      <c r="M396" s="3" t="s">
        <v>51</v>
      </c>
      <c r="N396" s="3" t="s">
        <v>40</v>
      </c>
    </row>
    <row r="397" spans="1:14" x14ac:dyDescent="0.3">
      <c r="A397" s="3" t="s">
        <v>477</v>
      </c>
      <c r="B397" s="2">
        <v>45667</v>
      </c>
      <c r="C397" s="3" t="s">
        <v>37</v>
      </c>
      <c r="D397" s="3" t="s">
        <v>89</v>
      </c>
      <c r="E397" s="3" t="s">
        <v>140</v>
      </c>
      <c r="F397" s="3" t="s">
        <v>32</v>
      </c>
      <c r="G397" s="3" t="s">
        <v>112</v>
      </c>
      <c r="H397" s="3" t="s">
        <v>113</v>
      </c>
      <c r="I397" s="5">
        <v>19339.5</v>
      </c>
      <c r="J397" s="4">
        <v>10</v>
      </c>
      <c r="K397" s="1">
        <v>6</v>
      </c>
      <c r="L397" s="4">
        <v>4044.33</v>
      </c>
      <c r="M397" s="3" t="s">
        <v>21</v>
      </c>
      <c r="N397" s="3" t="s">
        <v>22</v>
      </c>
    </row>
    <row r="398" spans="1:14" x14ac:dyDescent="0.3">
      <c r="A398" s="3" t="s">
        <v>478</v>
      </c>
      <c r="B398" s="2">
        <v>45532</v>
      </c>
      <c r="C398" s="3" t="s">
        <v>42</v>
      </c>
      <c r="D398" s="3" t="s">
        <v>16</v>
      </c>
      <c r="E398" s="3" t="s">
        <v>31</v>
      </c>
      <c r="F398" s="3" t="s">
        <v>32</v>
      </c>
      <c r="G398" s="3" t="s">
        <v>112</v>
      </c>
      <c r="H398" s="3" t="s">
        <v>113</v>
      </c>
      <c r="I398" s="5">
        <v>2727.08</v>
      </c>
      <c r="J398" s="4">
        <v>4</v>
      </c>
      <c r="K398" s="1">
        <v>29</v>
      </c>
      <c r="L398" s="4">
        <v>337.83</v>
      </c>
      <c r="M398" s="3" t="s">
        <v>21</v>
      </c>
      <c r="N398" s="3" t="s">
        <v>35</v>
      </c>
    </row>
    <row r="399" spans="1:14" x14ac:dyDescent="0.3">
      <c r="A399" s="3" t="s">
        <v>479</v>
      </c>
      <c r="B399" s="2">
        <v>45743</v>
      </c>
      <c r="C399" s="3" t="s">
        <v>73</v>
      </c>
      <c r="D399" s="3" t="s">
        <v>56</v>
      </c>
      <c r="E399" s="3" t="s">
        <v>57</v>
      </c>
      <c r="F399" s="3" t="s">
        <v>62</v>
      </c>
      <c r="G399" s="3" t="s">
        <v>80</v>
      </c>
      <c r="H399" s="3" t="s">
        <v>81</v>
      </c>
      <c r="I399" s="5">
        <v>2193.7600000000002</v>
      </c>
      <c r="J399" s="4">
        <v>2</v>
      </c>
      <c r="K399" s="1">
        <v>9</v>
      </c>
      <c r="L399" s="4">
        <v>142.44999999999999</v>
      </c>
      <c r="M399" s="3" t="s">
        <v>51</v>
      </c>
      <c r="N399" s="3" t="s">
        <v>44</v>
      </c>
    </row>
    <row r="400" spans="1:14" x14ac:dyDescent="0.3">
      <c r="A400" s="3" t="s">
        <v>480</v>
      </c>
      <c r="B400" s="2">
        <v>45530</v>
      </c>
      <c r="C400" s="3" t="s">
        <v>133</v>
      </c>
      <c r="D400" s="3" t="s">
        <v>38</v>
      </c>
      <c r="E400" s="3" t="s">
        <v>39</v>
      </c>
      <c r="F400" s="3" t="s">
        <v>32</v>
      </c>
      <c r="G400" s="3" t="s">
        <v>58</v>
      </c>
      <c r="H400" s="3" t="s">
        <v>59</v>
      </c>
      <c r="I400" s="5">
        <v>5009.6000000000004</v>
      </c>
      <c r="J400" s="4">
        <v>8</v>
      </c>
      <c r="K400" s="1">
        <v>29</v>
      </c>
      <c r="L400" s="4">
        <v>515.53</v>
      </c>
      <c r="M400" s="3" t="s">
        <v>51</v>
      </c>
      <c r="N400" s="3" t="s">
        <v>35</v>
      </c>
    </row>
    <row r="401" spans="1:14" x14ac:dyDescent="0.3">
      <c r="A401" s="3" t="s">
        <v>481</v>
      </c>
      <c r="B401" s="2">
        <v>45726</v>
      </c>
      <c r="C401" s="3" t="s">
        <v>30</v>
      </c>
      <c r="D401" s="3" t="s">
        <v>38</v>
      </c>
      <c r="E401" s="3" t="s">
        <v>71</v>
      </c>
      <c r="F401" s="3" t="s">
        <v>18</v>
      </c>
      <c r="G401" s="3" t="s">
        <v>26</v>
      </c>
      <c r="H401" s="3" t="s">
        <v>27</v>
      </c>
      <c r="I401" s="5">
        <v>658.31</v>
      </c>
      <c r="J401" s="4">
        <v>1</v>
      </c>
      <c r="K401" s="1">
        <v>1</v>
      </c>
      <c r="L401" s="4">
        <v>99.43</v>
      </c>
      <c r="M401" s="3" t="s">
        <v>28</v>
      </c>
      <c r="N401" s="3" t="s">
        <v>22</v>
      </c>
    </row>
    <row r="402" spans="1:14" x14ac:dyDescent="0.3">
      <c r="A402" s="3" t="s">
        <v>482</v>
      </c>
      <c r="B402" s="2">
        <v>45749</v>
      </c>
      <c r="C402" s="3" t="s">
        <v>70</v>
      </c>
      <c r="D402" s="3" t="s">
        <v>89</v>
      </c>
      <c r="E402" s="3" t="s">
        <v>102</v>
      </c>
      <c r="F402" s="3" t="s">
        <v>62</v>
      </c>
      <c r="G402" s="3" t="s">
        <v>63</v>
      </c>
      <c r="H402" s="3" t="s">
        <v>64</v>
      </c>
      <c r="I402" s="5">
        <v>659.76</v>
      </c>
      <c r="J402" s="4">
        <v>2</v>
      </c>
      <c r="K402" s="1">
        <v>8</v>
      </c>
      <c r="L402" s="4">
        <v>85.88</v>
      </c>
      <c r="M402" s="3" t="s">
        <v>51</v>
      </c>
      <c r="N402" s="3" t="s">
        <v>40</v>
      </c>
    </row>
    <row r="403" spans="1:14" x14ac:dyDescent="0.3">
      <c r="A403" s="3" t="s">
        <v>483</v>
      </c>
      <c r="B403" s="2">
        <v>45483</v>
      </c>
      <c r="C403" s="3" t="s">
        <v>37</v>
      </c>
      <c r="D403" s="3" t="s">
        <v>89</v>
      </c>
      <c r="E403" s="3" t="s">
        <v>90</v>
      </c>
      <c r="F403" s="3" t="s">
        <v>32</v>
      </c>
      <c r="G403" s="3" t="s">
        <v>112</v>
      </c>
      <c r="H403" s="3" t="s">
        <v>113</v>
      </c>
      <c r="I403" s="5">
        <v>2151.0300000000002</v>
      </c>
      <c r="J403" s="4">
        <v>7</v>
      </c>
      <c r="K403" s="1">
        <v>27</v>
      </c>
      <c r="L403" s="4">
        <v>378.63</v>
      </c>
      <c r="M403" s="3" t="s">
        <v>28</v>
      </c>
      <c r="N403" s="3" t="s">
        <v>35</v>
      </c>
    </row>
    <row r="404" spans="1:14" x14ac:dyDescent="0.3">
      <c r="A404" s="3" t="s">
        <v>484</v>
      </c>
      <c r="B404" s="2">
        <v>45542</v>
      </c>
      <c r="C404" s="3" t="s">
        <v>66</v>
      </c>
      <c r="D404" s="3" t="s">
        <v>16</v>
      </c>
      <c r="E404" s="3" t="s">
        <v>31</v>
      </c>
      <c r="F404" s="3" t="s">
        <v>32</v>
      </c>
      <c r="G404" s="3" t="s">
        <v>112</v>
      </c>
      <c r="H404" s="3" t="s">
        <v>113</v>
      </c>
      <c r="I404" s="5">
        <v>809.87</v>
      </c>
      <c r="J404" s="4">
        <v>1</v>
      </c>
      <c r="K404" s="1">
        <v>30</v>
      </c>
      <c r="L404" s="4">
        <v>70.05</v>
      </c>
      <c r="M404" s="3" t="s">
        <v>28</v>
      </c>
      <c r="N404" s="3" t="s">
        <v>35</v>
      </c>
    </row>
    <row r="405" spans="1:14" x14ac:dyDescent="0.3">
      <c r="A405" s="3" t="s">
        <v>485</v>
      </c>
      <c r="B405" s="2">
        <v>45584</v>
      </c>
      <c r="C405" s="3" t="s">
        <v>101</v>
      </c>
      <c r="D405" s="3" t="s">
        <v>89</v>
      </c>
      <c r="E405" s="3" t="s">
        <v>116</v>
      </c>
      <c r="F405" s="3" t="s">
        <v>62</v>
      </c>
      <c r="G405" s="3" t="s">
        <v>63</v>
      </c>
      <c r="H405" s="3" t="s">
        <v>64</v>
      </c>
      <c r="I405" s="5">
        <v>1478.61</v>
      </c>
      <c r="J405" s="4">
        <v>3</v>
      </c>
      <c r="K405" s="1">
        <v>27</v>
      </c>
      <c r="L405" s="4">
        <v>178.68</v>
      </c>
      <c r="M405" s="3" t="s">
        <v>28</v>
      </c>
      <c r="N405" s="3" t="s">
        <v>44</v>
      </c>
    </row>
    <row r="406" spans="1:14" x14ac:dyDescent="0.3">
      <c r="A406" s="3" t="s">
        <v>486</v>
      </c>
      <c r="B406" s="2">
        <v>45623</v>
      </c>
      <c r="C406" s="3" t="s">
        <v>99</v>
      </c>
      <c r="D406" s="3" t="s">
        <v>56</v>
      </c>
      <c r="E406" s="3" t="s">
        <v>61</v>
      </c>
      <c r="F406" s="3" t="s">
        <v>62</v>
      </c>
      <c r="G406" s="3" t="s">
        <v>67</v>
      </c>
      <c r="H406" s="3" t="s">
        <v>68</v>
      </c>
      <c r="I406" s="5">
        <v>1823.5</v>
      </c>
      <c r="J406" s="4">
        <v>5</v>
      </c>
      <c r="K406" s="1">
        <v>16</v>
      </c>
      <c r="L406" s="4">
        <v>347.94</v>
      </c>
      <c r="M406" s="3" t="s">
        <v>28</v>
      </c>
      <c r="N406" s="3" t="s">
        <v>35</v>
      </c>
    </row>
    <row r="407" spans="1:14" x14ac:dyDescent="0.3">
      <c r="A407" s="3" t="s">
        <v>487</v>
      </c>
      <c r="B407" s="2">
        <v>45714</v>
      </c>
      <c r="C407" s="3" t="s">
        <v>86</v>
      </c>
      <c r="D407" s="3" t="s">
        <v>38</v>
      </c>
      <c r="E407" s="3" t="s">
        <v>53</v>
      </c>
      <c r="F407" s="3" t="s">
        <v>18</v>
      </c>
      <c r="G407" s="3" t="s">
        <v>94</v>
      </c>
      <c r="H407" s="3" t="s">
        <v>95</v>
      </c>
      <c r="I407" s="5">
        <v>15487.1</v>
      </c>
      <c r="J407" s="4">
        <v>10</v>
      </c>
      <c r="K407" s="1">
        <v>5</v>
      </c>
      <c r="L407" s="4">
        <v>3530.67</v>
      </c>
      <c r="M407" s="3" t="s">
        <v>51</v>
      </c>
      <c r="N407" s="3" t="s">
        <v>22</v>
      </c>
    </row>
    <row r="408" spans="1:14" x14ac:dyDescent="0.3">
      <c r="A408" s="3" t="s">
        <v>488</v>
      </c>
      <c r="B408" s="2">
        <v>45563</v>
      </c>
      <c r="C408" s="3" t="s">
        <v>24</v>
      </c>
      <c r="D408" s="3" t="s">
        <v>16</v>
      </c>
      <c r="E408" s="3" t="s">
        <v>17</v>
      </c>
      <c r="F408" s="3" t="s">
        <v>18</v>
      </c>
      <c r="G408" s="3" t="s">
        <v>26</v>
      </c>
      <c r="H408" s="3" t="s">
        <v>27</v>
      </c>
      <c r="I408" s="5">
        <v>2943.81</v>
      </c>
      <c r="J408" s="4">
        <v>3</v>
      </c>
      <c r="K408" s="1">
        <v>19</v>
      </c>
      <c r="L408" s="4">
        <v>291.51</v>
      </c>
      <c r="M408" s="3" t="s">
        <v>51</v>
      </c>
      <c r="N408" s="3" t="s">
        <v>35</v>
      </c>
    </row>
    <row r="409" spans="1:14" x14ac:dyDescent="0.3">
      <c r="A409" s="3" t="s">
        <v>489</v>
      </c>
      <c r="B409" s="2">
        <v>45608</v>
      </c>
      <c r="C409" s="3" t="s">
        <v>133</v>
      </c>
      <c r="D409" s="3" t="s">
        <v>56</v>
      </c>
      <c r="E409" s="3" t="s">
        <v>61</v>
      </c>
      <c r="F409" s="3" t="s">
        <v>32</v>
      </c>
      <c r="G409" s="3" t="s">
        <v>112</v>
      </c>
      <c r="H409" s="3" t="s">
        <v>113</v>
      </c>
      <c r="I409" s="5">
        <v>884.9</v>
      </c>
      <c r="J409" s="4">
        <v>2</v>
      </c>
      <c r="K409" s="1">
        <v>21</v>
      </c>
      <c r="L409" s="4">
        <v>128.82</v>
      </c>
      <c r="M409" s="3" t="s">
        <v>28</v>
      </c>
      <c r="N409" s="3" t="s">
        <v>44</v>
      </c>
    </row>
    <row r="410" spans="1:14" x14ac:dyDescent="0.3">
      <c r="A410" s="3" t="s">
        <v>490</v>
      </c>
      <c r="B410" s="2">
        <v>45671</v>
      </c>
      <c r="C410" s="3" t="s">
        <v>66</v>
      </c>
      <c r="D410" s="3" t="s">
        <v>38</v>
      </c>
      <c r="E410" s="3" t="s">
        <v>43</v>
      </c>
      <c r="F410" s="3" t="s">
        <v>62</v>
      </c>
      <c r="G410" s="3" t="s">
        <v>67</v>
      </c>
      <c r="H410" s="3" t="s">
        <v>68</v>
      </c>
      <c r="I410" s="5">
        <v>6923.2</v>
      </c>
      <c r="J410" s="4">
        <v>8</v>
      </c>
      <c r="K410" s="1">
        <v>2</v>
      </c>
      <c r="L410" s="4">
        <v>624.34</v>
      </c>
      <c r="M410" s="3" t="s">
        <v>21</v>
      </c>
      <c r="N410" s="3" t="s">
        <v>44</v>
      </c>
    </row>
    <row r="411" spans="1:14" x14ac:dyDescent="0.3">
      <c r="A411" s="3" t="s">
        <v>491</v>
      </c>
      <c r="B411" s="2">
        <v>45636</v>
      </c>
      <c r="C411" s="3" t="s">
        <v>50</v>
      </c>
      <c r="D411" s="3" t="s">
        <v>89</v>
      </c>
      <c r="E411" s="3" t="s">
        <v>116</v>
      </c>
      <c r="F411" s="3" t="s">
        <v>18</v>
      </c>
      <c r="G411" s="3" t="s">
        <v>19</v>
      </c>
      <c r="H411" s="3" t="s">
        <v>20</v>
      </c>
      <c r="I411" s="5">
        <v>10001.82</v>
      </c>
      <c r="J411" s="4">
        <v>6</v>
      </c>
      <c r="K411" s="1">
        <v>25</v>
      </c>
      <c r="L411" s="4">
        <v>1262.75</v>
      </c>
      <c r="M411" s="3" t="s">
        <v>51</v>
      </c>
      <c r="N411" s="3" t="s">
        <v>40</v>
      </c>
    </row>
    <row r="412" spans="1:14" x14ac:dyDescent="0.3">
      <c r="A412" s="3" t="s">
        <v>492</v>
      </c>
      <c r="B412" s="2">
        <v>45527</v>
      </c>
      <c r="C412" s="3" t="s">
        <v>66</v>
      </c>
      <c r="D412" s="3" t="s">
        <v>89</v>
      </c>
      <c r="E412" s="3" t="s">
        <v>140</v>
      </c>
      <c r="F412" s="3" t="s">
        <v>18</v>
      </c>
      <c r="G412" s="3" t="s">
        <v>76</v>
      </c>
      <c r="H412" s="3" t="s">
        <v>77</v>
      </c>
      <c r="I412" s="5">
        <v>10358.549999999999</v>
      </c>
      <c r="J412" s="4">
        <v>9</v>
      </c>
      <c r="K412" s="1">
        <v>5</v>
      </c>
      <c r="L412" s="4">
        <v>1155.9000000000001</v>
      </c>
      <c r="M412" s="3" t="s">
        <v>21</v>
      </c>
      <c r="N412" s="3" t="s">
        <v>35</v>
      </c>
    </row>
    <row r="413" spans="1:14" x14ac:dyDescent="0.3">
      <c r="A413" s="3" t="s">
        <v>493</v>
      </c>
      <c r="B413" s="2">
        <v>45580</v>
      </c>
      <c r="C413" s="3" t="s">
        <v>24</v>
      </c>
      <c r="D413" s="3" t="s">
        <v>56</v>
      </c>
      <c r="E413" s="3" t="s">
        <v>57</v>
      </c>
      <c r="F413" s="3" t="s">
        <v>18</v>
      </c>
      <c r="G413" s="3" t="s">
        <v>94</v>
      </c>
      <c r="H413" s="3" t="s">
        <v>95</v>
      </c>
      <c r="I413" s="5">
        <v>7133.31</v>
      </c>
      <c r="J413" s="4">
        <v>9</v>
      </c>
      <c r="K413" s="1">
        <v>5</v>
      </c>
      <c r="L413" s="4">
        <v>461.08</v>
      </c>
      <c r="M413" s="3" t="s">
        <v>51</v>
      </c>
      <c r="N413" s="3" t="s">
        <v>35</v>
      </c>
    </row>
    <row r="414" spans="1:14" x14ac:dyDescent="0.3">
      <c r="A414" s="3" t="s">
        <v>494</v>
      </c>
      <c r="B414" s="2">
        <v>45554</v>
      </c>
      <c r="C414" s="3" t="s">
        <v>50</v>
      </c>
      <c r="D414" s="3" t="s">
        <v>38</v>
      </c>
      <c r="E414" s="3" t="s">
        <v>43</v>
      </c>
      <c r="F414" s="3" t="s">
        <v>18</v>
      </c>
      <c r="G414" s="3" t="s">
        <v>94</v>
      </c>
      <c r="H414" s="3" t="s">
        <v>95</v>
      </c>
      <c r="I414" s="5">
        <v>402.28</v>
      </c>
      <c r="J414" s="4">
        <v>1</v>
      </c>
      <c r="K414" s="1">
        <v>21</v>
      </c>
      <c r="L414" s="4">
        <v>78.58</v>
      </c>
      <c r="M414" s="3" t="s">
        <v>51</v>
      </c>
      <c r="N414" s="3" t="s">
        <v>35</v>
      </c>
    </row>
    <row r="415" spans="1:14" x14ac:dyDescent="0.3">
      <c r="A415" s="3" t="s">
        <v>495</v>
      </c>
      <c r="B415" s="2">
        <v>45755</v>
      </c>
      <c r="C415" s="3" t="s">
        <v>99</v>
      </c>
      <c r="D415" s="3" t="s">
        <v>38</v>
      </c>
      <c r="E415" s="3" t="s">
        <v>39</v>
      </c>
      <c r="F415" s="3" t="s">
        <v>32</v>
      </c>
      <c r="G415" s="3" t="s">
        <v>47</v>
      </c>
      <c r="H415" s="3" t="s">
        <v>48</v>
      </c>
      <c r="I415" s="5">
        <v>6086.15</v>
      </c>
      <c r="J415" s="4">
        <v>7</v>
      </c>
      <c r="K415" s="1">
        <v>6</v>
      </c>
      <c r="L415" s="4">
        <v>411.71</v>
      </c>
      <c r="M415" s="3" t="s">
        <v>28</v>
      </c>
      <c r="N415" s="3" t="s">
        <v>22</v>
      </c>
    </row>
    <row r="416" spans="1:14" x14ac:dyDescent="0.3">
      <c r="A416" s="3" t="s">
        <v>496</v>
      </c>
      <c r="B416" s="2">
        <v>45777</v>
      </c>
      <c r="C416" s="3" t="s">
        <v>99</v>
      </c>
      <c r="D416" s="3" t="s">
        <v>89</v>
      </c>
      <c r="E416" s="3" t="s">
        <v>97</v>
      </c>
      <c r="F416" s="3" t="s">
        <v>62</v>
      </c>
      <c r="G416" s="3" t="s">
        <v>80</v>
      </c>
      <c r="H416" s="3" t="s">
        <v>81</v>
      </c>
      <c r="I416" s="5">
        <v>4336.4399999999996</v>
      </c>
      <c r="J416" s="4">
        <v>4</v>
      </c>
      <c r="K416" s="1">
        <v>2</v>
      </c>
      <c r="L416" s="4">
        <v>393.77</v>
      </c>
      <c r="M416" s="3" t="s">
        <v>28</v>
      </c>
      <c r="N416" s="3" t="s">
        <v>35</v>
      </c>
    </row>
    <row r="417" spans="1:14" x14ac:dyDescent="0.3">
      <c r="A417" s="3" t="s">
        <v>497</v>
      </c>
      <c r="B417" s="2">
        <v>45570</v>
      </c>
      <c r="C417" s="3" t="s">
        <v>84</v>
      </c>
      <c r="D417" s="3" t="s">
        <v>16</v>
      </c>
      <c r="E417" s="3" t="s">
        <v>31</v>
      </c>
      <c r="F417" s="3" t="s">
        <v>32</v>
      </c>
      <c r="G417" s="3" t="s">
        <v>47</v>
      </c>
      <c r="H417" s="3" t="s">
        <v>48</v>
      </c>
      <c r="I417" s="5">
        <v>13799.25</v>
      </c>
      <c r="J417" s="4">
        <v>9</v>
      </c>
      <c r="K417" s="1">
        <v>9</v>
      </c>
      <c r="L417" s="4">
        <v>963.98</v>
      </c>
      <c r="M417" s="3" t="s">
        <v>51</v>
      </c>
      <c r="N417" s="3" t="s">
        <v>40</v>
      </c>
    </row>
    <row r="418" spans="1:14" x14ac:dyDescent="0.3">
      <c r="A418" s="3" t="s">
        <v>498</v>
      </c>
      <c r="B418" s="2">
        <v>45580</v>
      </c>
      <c r="C418" s="3" t="s">
        <v>99</v>
      </c>
      <c r="D418" s="3" t="s">
        <v>38</v>
      </c>
      <c r="E418" s="3" t="s">
        <v>71</v>
      </c>
      <c r="F418" s="3" t="s">
        <v>18</v>
      </c>
      <c r="G418" s="3" t="s">
        <v>26</v>
      </c>
      <c r="H418" s="3" t="s">
        <v>27</v>
      </c>
      <c r="I418" s="5">
        <v>3555.92</v>
      </c>
      <c r="J418" s="4">
        <v>4</v>
      </c>
      <c r="K418" s="1">
        <v>28</v>
      </c>
      <c r="L418" s="4">
        <v>190.25</v>
      </c>
      <c r="M418" s="3" t="s">
        <v>21</v>
      </c>
      <c r="N418" s="3" t="s">
        <v>22</v>
      </c>
    </row>
    <row r="419" spans="1:14" x14ac:dyDescent="0.3">
      <c r="A419" s="3" t="s">
        <v>499</v>
      </c>
      <c r="B419" s="2">
        <v>45671</v>
      </c>
      <c r="C419" s="3" t="s">
        <v>133</v>
      </c>
      <c r="D419" s="3" t="s">
        <v>89</v>
      </c>
      <c r="E419" s="3" t="s">
        <v>97</v>
      </c>
      <c r="F419" s="3" t="s">
        <v>32</v>
      </c>
      <c r="G419" s="3" t="s">
        <v>112</v>
      </c>
      <c r="H419" s="3" t="s">
        <v>113</v>
      </c>
      <c r="I419" s="5">
        <v>1187.6400000000001</v>
      </c>
      <c r="J419" s="4">
        <v>3</v>
      </c>
      <c r="K419" s="1">
        <v>18</v>
      </c>
      <c r="L419" s="4">
        <v>104.72</v>
      </c>
      <c r="M419" s="3" t="s">
        <v>21</v>
      </c>
      <c r="N419" s="3" t="s">
        <v>35</v>
      </c>
    </row>
    <row r="420" spans="1:14" x14ac:dyDescent="0.3">
      <c r="A420" s="3" t="s">
        <v>500</v>
      </c>
      <c r="B420" s="2">
        <v>45530</v>
      </c>
      <c r="C420" s="3" t="s">
        <v>86</v>
      </c>
      <c r="D420" s="3" t="s">
        <v>56</v>
      </c>
      <c r="E420" s="3" t="s">
        <v>61</v>
      </c>
      <c r="F420" s="3" t="s">
        <v>18</v>
      </c>
      <c r="G420" s="3" t="s">
        <v>94</v>
      </c>
      <c r="H420" s="3" t="s">
        <v>95</v>
      </c>
      <c r="I420" s="5">
        <v>1644.98</v>
      </c>
      <c r="J420" s="4">
        <v>2</v>
      </c>
      <c r="K420" s="1">
        <v>17</v>
      </c>
      <c r="L420" s="4">
        <v>73.59</v>
      </c>
      <c r="M420" s="3" t="s">
        <v>51</v>
      </c>
      <c r="N420" s="3" t="s">
        <v>44</v>
      </c>
    </row>
    <row r="421" spans="1:14" x14ac:dyDescent="0.3">
      <c r="A421" s="3" t="s">
        <v>501</v>
      </c>
      <c r="B421" s="2">
        <v>45647</v>
      </c>
      <c r="C421" s="3" t="s">
        <v>50</v>
      </c>
      <c r="D421" s="3" t="s">
        <v>56</v>
      </c>
      <c r="E421" s="3" t="s">
        <v>57</v>
      </c>
      <c r="F421" s="3" t="s">
        <v>32</v>
      </c>
      <c r="G421" s="3" t="s">
        <v>33</v>
      </c>
      <c r="H421" s="3" t="s">
        <v>34</v>
      </c>
      <c r="I421" s="5">
        <v>5907.76</v>
      </c>
      <c r="J421" s="4">
        <v>8</v>
      </c>
      <c r="K421" s="1">
        <v>9</v>
      </c>
      <c r="L421" s="4">
        <v>391.28</v>
      </c>
      <c r="M421" s="3" t="s">
        <v>28</v>
      </c>
      <c r="N421" s="3" t="s">
        <v>22</v>
      </c>
    </row>
    <row r="422" spans="1:14" x14ac:dyDescent="0.3">
      <c r="A422" s="3" t="s">
        <v>502</v>
      </c>
      <c r="B422" s="2">
        <v>45686</v>
      </c>
      <c r="C422" s="3" t="s">
        <v>75</v>
      </c>
      <c r="D422" s="3" t="s">
        <v>89</v>
      </c>
      <c r="E422" s="3" t="s">
        <v>90</v>
      </c>
      <c r="F422" s="3" t="s">
        <v>32</v>
      </c>
      <c r="G422" s="3" t="s">
        <v>112</v>
      </c>
      <c r="H422" s="3" t="s">
        <v>113</v>
      </c>
      <c r="I422" s="5">
        <v>13279.05</v>
      </c>
      <c r="J422" s="4">
        <v>9</v>
      </c>
      <c r="K422" s="1">
        <v>19</v>
      </c>
      <c r="L422" s="4">
        <v>1501.59</v>
      </c>
      <c r="M422" s="3" t="s">
        <v>28</v>
      </c>
      <c r="N422" s="3" t="s">
        <v>22</v>
      </c>
    </row>
    <row r="423" spans="1:14" x14ac:dyDescent="0.3">
      <c r="A423" s="3" t="s">
        <v>503</v>
      </c>
      <c r="B423" s="2">
        <v>45555</v>
      </c>
      <c r="C423" s="3" t="s">
        <v>50</v>
      </c>
      <c r="D423" s="3" t="s">
        <v>16</v>
      </c>
      <c r="E423" s="3" t="s">
        <v>25</v>
      </c>
      <c r="F423" s="3" t="s">
        <v>18</v>
      </c>
      <c r="G423" s="3" t="s">
        <v>19</v>
      </c>
      <c r="H423" s="3" t="s">
        <v>20</v>
      </c>
      <c r="I423" s="5">
        <v>799.85</v>
      </c>
      <c r="J423" s="4">
        <v>5</v>
      </c>
      <c r="K423" s="1">
        <v>21</v>
      </c>
      <c r="L423" s="4">
        <v>56.32</v>
      </c>
      <c r="M423" s="3" t="s">
        <v>28</v>
      </c>
      <c r="N423" s="3" t="s">
        <v>40</v>
      </c>
    </row>
    <row r="424" spans="1:14" x14ac:dyDescent="0.3">
      <c r="A424" s="3" t="s">
        <v>504</v>
      </c>
      <c r="B424" s="2">
        <v>45434</v>
      </c>
      <c r="C424" s="3" t="s">
        <v>50</v>
      </c>
      <c r="D424" s="3" t="s">
        <v>16</v>
      </c>
      <c r="E424" s="3" t="s">
        <v>17</v>
      </c>
      <c r="F424" s="3" t="s">
        <v>18</v>
      </c>
      <c r="G424" s="3" t="s">
        <v>26</v>
      </c>
      <c r="H424" s="3" t="s">
        <v>27</v>
      </c>
      <c r="I424" s="5">
        <v>4185.3599999999997</v>
      </c>
      <c r="J424" s="4">
        <v>9</v>
      </c>
      <c r="K424" s="1">
        <v>27</v>
      </c>
      <c r="L424" s="4">
        <v>695.6</v>
      </c>
      <c r="M424" s="3" t="s">
        <v>28</v>
      </c>
      <c r="N424" s="3" t="s">
        <v>44</v>
      </c>
    </row>
    <row r="425" spans="1:14" x14ac:dyDescent="0.3">
      <c r="A425" s="3" t="s">
        <v>505</v>
      </c>
      <c r="B425" s="2">
        <v>45459</v>
      </c>
      <c r="C425" s="3" t="s">
        <v>70</v>
      </c>
      <c r="D425" s="3" t="s">
        <v>16</v>
      </c>
      <c r="E425" s="3" t="s">
        <v>31</v>
      </c>
      <c r="F425" s="3" t="s">
        <v>32</v>
      </c>
      <c r="G425" s="3" t="s">
        <v>58</v>
      </c>
      <c r="H425" s="3" t="s">
        <v>59</v>
      </c>
      <c r="I425" s="5">
        <v>809.01</v>
      </c>
      <c r="J425" s="4">
        <v>3</v>
      </c>
      <c r="K425" s="1">
        <v>20</v>
      </c>
      <c r="L425" s="4">
        <v>107.92</v>
      </c>
      <c r="M425" s="3" t="s">
        <v>28</v>
      </c>
      <c r="N425" s="3" t="s">
        <v>40</v>
      </c>
    </row>
    <row r="426" spans="1:14" x14ac:dyDescent="0.3">
      <c r="A426" s="3" t="s">
        <v>506</v>
      </c>
      <c r="B426" s="2">
        <v>45554</v>
      </c>
      <c r="C426" s="3" t="s">
        <v>73</v>
      </c>
      <c r="D426" s="3" t="s">
        <v>38</v>
      </c>
      <c r="E426" s="3" t="s">
        <v>39</v>
      </c>
      <c r="F426" s="3" t="s">
        <v>62</v>
      </c>
      <c r="G426" s="3" t="s">
        <v>103</v>
      </c>
      <c r="H426" s="3" t="s">
        <v>104</v>
      </c>
      <c r="I426" s="5">
        <v>3162.5</v>
      </c>
      <c r="J426" s="4">
        <v>10</v>
      </c>
      <c r="K426" s="1">
        <v>9</v>
      </c>
      <c r="L426" s="4">
        <v>612.22</v>
      </c>
      <c r="M426" s="3" t="s">
        <v>21</v>
      </c>
      <c r="N426" s="3" t="s">
        <v>40</v>
      </c>
    </row>
    <row r="427" spans="1:14" x14ac:dyDescent="0.3">
      <c r="A427" s="3" t="s">
        <v>507</v>
      </c>
      <c r="B427" s="2">
        <v>45517</v>
      </c>
      <c r="C427" s="3" t="s">
        <v>133</v>
      </c>
      <c r="D427" s="3" t="s">
        <v>56</v>
      </c>
      <c r="E427" s="3" t="s">
        <v>57</v>
      </c>
      <c r="F427" s="3" t="s">
        <v>32</v>
      </c>
      <c r="G427" s="3" t="s">
        <v>47</v>
      </c>
      <c r="H427" s="3" t="s">
        <v>48</v>
      </c>
      <c r="I427" s="5">
        <v>1839.52</v>
      </c>
      <c r="J427" s="4">
        <v>8</v>
      </c>
      <c r="K427" s="1">
        <v>6</v>
      </c>
      <c r="L427" s="4">
        <v>372.79</v>
      </c>
      <c r="M427" s="3" t="s">
        <v>51</v>
      </c>
      <c r="N427" s="3" t="s">
        <v>44</v>
      </c>
    </row>
    <row r="428" spans="1:14" x14ac:dyDescent="0.3">
      <c r="A428" s="3" t="s">
        <v>508</v>
      </c>
      <c r="B428" s="2">
        <v>45672</v>
      </c>
      <c r="C428" s="3" t="s">
        <v>24</v>
      </c>
      <c r="D428" s="3" t="s">
        <v>89</v>
      </c>
      <c r="E428" s="3" t="s">
        <v>90</v>
      </c>
      <c r="F428" s="3" t="s">
        <v>32</v>
      </c>
      <c r="G428" s="3" t="s">
        <v>112</v>
      </c>
      <c r="H428" s="3" t="s">
        <v>113</v>
      </c>
      <c r="I428" s="5">
        <v>14450.88</v>
      </c>
      <c r="J428" s="4">
        <v>8</v>
      </c>
      <c r="K428" s="1">
        <v>23</v>
      </c>
      <c r="L428" s="4">
        <v>1507.94</v>
      </c>
      <c r="M428" s="3" t="s">
        <v>28</v>
      </c>
      <c r="N428" s="3" t="s">
        <v>44</v>
      </c>
    </row>
    <row r="429" spans="1:14" x14ac:dyDescent="0.3">
      <c r="A429" s="3" t="s">
        <v>509</v>
      </c>
      <c r="B429" s="2">
        <v>45664</v>
      </c>
      <c r="C429" s="3" t="s">
        <v>24</v>
      </c>
      <c r="D429" s="3" t="s">
        <v>89</v>
      </c>
      <c r="E429" s="3" t="s">
        <v>116</v>
      </c>
      <c r="F429" s="3" t="s">
        <v>62</v>
      </c>
      <c r="G429" s="3" t="s">
        <v>63</v>
      </c>
      <c r="H429" s="3" t="s">
        <v>64</v>
      </c>
      <c r="I429" s="5">
        <v>3433.4</v>
      </c>
      <c r="J429" s="4">
        <v>4</v>
      </c>
      <c r="K429" s="1">
        <v>27</v>
      </c>
      <c r="L429" s="4">
        <v>295.5</v>
      </c>
      <c r="M429" s="3" t="s">
        <v>21</v>
      </c>
      <c r="N429" s="3" t="s">
        <v>44</v>
      </c>
    </row>
    <row r="430" spans="1:14" x14ac:dyDescent="0.3">
      <c r="A430" s="3" t="s">
        <v>510</v>
      </c>
      <c r="B430" s="2">
        <v>45515</v>
      </c>
      <c r="C430" s="3" t="s">
        <v>84</v>
      </c>
      <c r="D430" s="3" t="s">
        <v>56</v>
      </c>
      <c r="E430" s="3" t="s">
        <v>61</v>
      </c>
      <c r="F430" s="3" t="s">
        <v>18</v>
      </c>
      <c r="G430" s="3" t="s">
        <v>19</v>
      </c>
      <c r="H430" s="3" t="s">
        <v>20</v>
      </c>
      <c r="I430" s="5">
        <v>1898.12</v>
      </c>
      <c r="J430" s="4">
        <v>1</v>
      </c>
      <c r="K430" s="1">
        <v>26</v>
      </c>
      <c r="L430" s="4">
        <v>215.71</v>
      </c>
      <c r="M430" s="3" t="s">
        <v>21</v>
      </c>
      <c r="N430" s="3" t="s">
        <v>35</v>
      </c>
    </row>
    <row r="431" spans="1:14" x14ac:dyDescent="0.3">
      <c r="A431" s="3" t="s">
        <v>511</v>
      </c>
      <c r="B431" s="2">
        <v>45484</v>
      </c>
      <c r="C431" s="3" t="s">
        <v>70</v>
      </c>
      <c r="D431" s="3" t="s">
        <v>89</v>
      </c>
      <c r="E431" s="3" t="s">
        <v>97</v>
      </c>
      <c r="F431" s="3" t="s">
        <v>62</v>
      </c>
      <c r="G431" s="3" t="s">
        <v>63</v>
      </c>
      <c r="H431" s="3" t="s">
        <v>64</v>
      </c>
      <c r="I431" s="5">
        <v>5968.56</v>
      </c>
      <c r="J431" s="4">
        <v>3</v>
      </c>
      <c r="K431" s="1">
        <v>10</v>
      </c>
      <c r="L431" s="4">
        <v>1257.33</v>
      </c>
      <c r="M431" s="3" t="s">
        <v>21</v>
      </c>
      <c r="N431" s="3" t="s">
        <v>35</v>
      </c>
    </row>
    <row r="432" spans="1:14" x14ac:dyDescent="0.3">
      <c r="A432" s="3" t="s">
        <v>512</v>
      </c>
      <c r="B432" s="2">
        <v>45627</v>
      </c>
      <c r="C432" s="3" t="s">
        <v>86</v>
      </c>
      <c r="D432" s="3" t="s">
        <v>56</v>
      </c>
      <c r="E432" s="3" t="s">
        <v>57</v>
      </c>
      <c r="F432" s="3" t="s">
        <v>18</v>
      </c>
      <c r="G432" s="3" t="s">
        <v>76</v>
      </c>
      <c r="H432" s="3" t="s">
        <v>77</v>
      </c>
      <c r="I432" s="5">
        <v>3195.22</v>
      </c>
      <c r="J432" s="4">
        <v>7</v>
      </c>
      <c r="K432" s="1">
        <v>29</v>
      </c>
      <c r="L432" s="4">
        <v>439.12</v>
      </c>
      <c r="M432" s="3" t="s">
        <v>51</v>
      </c>
      <c r="N432" s="3" t="s">
        <v>44</v>
      </c>
    </row>
    <row r="433" spans="1:14" x14ac:dyDescent="0.3">
      <c r="A433" s="3" t="s">
        <v>513</v>
      </c>
      <c r="B433" s="2">
        <v>45511</v>
      </c>
      <c r="C433" s="3" t="s">
        <v>30</v>
      </c>
      <c r="D433" s="3" t="s">
        <v>89</v>
      </c>
      <c r="E433" s="3" t="s">
        <v>116</v>
      </c>
      <c r="F433" s="3" t="s">
        <v>18</v>
      </c>
      <c r="G433" s="3" t="s">
        <v>76</v>
      </c>
      <c r="H433" s="3" t="s">
        <v>77</v>
      </c>
      <c r="I433" s="5">
        <v>1828.48</v>
      </c>
      <c r="J433" s="4">
        <v>2</v>
      </c>
      <c r="K433" s="1">
        <v>15</v>
      </c>
      <c r="L433" s="4">
        <v>112.01</v>
      </c>
      <c r="M433" s="3" t="s">
        <v>21</v>
      </c>
      <c r="N433" s="3" t="s">
        <v>22</v>
      </c>
    </row>
    <row r="434" spans="1:14" x14ac:dyDescent="0.3">
      <c r="A434" s="3" t="s">
        <v>514</v>
      </c>
      <c r="B434" s="2">
        <v>45432</v>
      </c>
      <c r="C434" s="3" t="s">
        <v>15</v>
      </c>
      <c r="D434" s="3" t="s">
        <v>16</v>
      </c>
      <c r="E434" s="3" t="s">
        <v>31</v>
      </c>
      <c r="F434" s="3" t="s">
        <v>18</v>
      </c>
      <c r="G434" s="3" t="s">
        <v>19</v>
      </c>
      <c r="H434" s="3" t="s">
        <v>20</v>
      </c>
      <c r="I434" s="5">
        <v>16129</v>
      </c>
      <c r="J434" s="4">
        <v>10</v>
      </c>
      <c r="K434" s="1">
        <v>19</v>
      </c>
      <c r="L434" s="4">
        <v>3056.75</v>
      </c>
      <c r="M434" s="3" t="s">
        <v>51</v>
      </c>
      <c r="N434" s="3" t="s">
        <v>22</v>
      </c>
    </row>
    <row r="435" spans="1:14" x14ac:dyDescent="0.3">
      <c r="A435" s="3" t="s">
        <v>515</v>
      </c>
      <c r="B435" s="2">
        <v>45757</v>
      </c>
      <c r="C435" s="3" t="s">
        <v>133</v>
      </c>
      <c r="D435" s="3" t="s">
        <v>16</v>
      </c>
      <c r="E435" s="3" t="s">
        <v>17</v>
      </c>
      <c r="F435" s="3" t="s">
        <v>18</v>
      </c>
      <c r="G435" s="3" t="s">
        <v>26</v>
      </c>
      <c r="H435" s="3" t="s">
        <v>27</v>
      </c>
      <c r="I435" s="5">
        <v>11391.66</v>
      </c>
      <c r="J435" s="4">
        <v>9</v>
      </c>
      <c r="K435" s="1">
        <v>26</v>
      </c>
      <c r="L435" s="4">
        <v>671.2</v>
      </c>
      <c r="M435" s="3" t="s">
        <v>51</v>
      </c>
      <c r="N435" s="3" t="s">
        <v>22</v>
      </c>
    </row>
    <row r="436" spans="1:14" x14ac:dyDescent="0.3">
      <c r="A436" s="3" t="s">
        <v>516</v>
      </c>
      <c r="B436" s="2">
        <v>45763</v>
      </c>
      <c r="C436" s="3" t="s">
        <v>73</v>
      </c>
      <c r="D436" s="3" t="s">
        <v>16</v>
      </c>
      <c r="E436" s="3" t="s">
        <v>17</v>
      </c>
      <c r="F436" s="3" t="s">
        <v>62</v>
      </c>
      <c r="G436" s="3" t="s">
        <v>103</v>
      </c>
      <c r="H436" s="3" t="s">
        <v>104</v>
      </c>
      <c r="I436" s="5">
        <v>3618.7</v>
      </c>
      <c r="J436" s="4">
        <v>5</v>
      </c>
      <c r="K436" s="1">
        <v>16</v>
      </c>
      <c r="L436" s="4">
        <v>578.73</v>
      </c>
      <c r="M436" s="3" t="s">
        <v>51</v>
      </c>
      <c r="N436" s="3" t="s">
        <v>44</v>
      </c>
    </row>
    <row r="437" spans="1:14" x14ac:dyDescent="0.3">
      <c r="A437" s="3" t="s">
        <v>517</v>
      </c>
      <c r="B437" s="2">
        <v>45602</v>
      </c>
      <c r="C437" s="3" t="s">
        <v>37</v>
      </c>
      <c r="D437" s="3" t="s">
        <v>89</v>
      </c>
      <c r="E437" s="3" t="s">
        <v>116</v>
      </c>
      <c r="F437" s="3" t="s">
        <v>32</v>
      </c>
      <c r="G437" s="3" t="s">
        <v>58</v>
      </c>
      <c r="H437" s="3" t="s">
        <v>59</v>
      </c>
      <c r="I437" s="5">
        <v>5355.15</v>
      </c>
      <c r="J437" s="4">
        <v>5</v>
      </c>
      <c r="K437" s="1">
        <v>14</v>
      </c>
      <c r="L437" s="4">
        <v>947.2</v>
      </c>
      <c r="M437" s="3" t="s">
        <v>51</v>
      </c>
      <c r="N437" s="3" t="s">
        <v>35</v>
      </c>
    </row>
    <row r="438" spans="1:14" x14ac:dyDescent="0.3">
      <c r="A438" s="3" t="s">
        <v>518</v>
      </c>
      <c r="B438" s="2">
        <v>45775</v>
      </c>
      <c r="C438" s="3" t="s">
        <v>73</v>
      </c>
      <c r="D438" s="3" t="s">
        <v>89</v>
      </c>
      <c r="E438" s="3" t="s">
        <v>102</v>
      </c>
      <c r="F438" s="3" t="s">
        <v>32</v>
      </c>
      <c r="G438" s="3" t="s">
        <v>33</v>
      </c>
      <c r="H438" s="3" t="s">
        <v>34</v>
      </c>
      <c r="I438" s="5">
        <v>3079.56</v>
      </c>
      <c r="J438" s="4">
        <v>3</v>
      </c>
      <c r="K438" s="1">
        <v>1</v>
      </c>
      <c r="L438" s="4">
        <v>437.82</v>
      </c>
      <c r="M438" s="3" t="s">
        <v>51</v>
      </c>
      <c r="N438" s="3" t="s">
        <v>40</v>
      </c>
    </row>
    <row r="439" spans="1:14" x14ac:dyDescent="0.3">
      <c r="A439" s="3" t="s">
        <v>519</v>
      </c>
      <c r="B439" s="2">
        <v>45603</v>
      </c>
      <c r="C439" s="3" t="s">
        <v>75</v>
      </c>
      <c r="D439" s="3" t="s">
        <v>38</v>
      </c>
      <c r="E439" s="3" t="s">
        <v>43</v>
      </c>
      <c r="F439" s="3" t="s">
        <v>62</v>
      </c>
      <c r="G439" s="3" t="s">
        <v>63</v>
      </c>
      <c r="H439" s="3" t="s">
        <v>64</v>
      </c>
      <c r="I439" s="5">
        <v>7547.08</v>
      </c>
      <c r="J439" s="4">
        <v>4</v>
      </c>
      <c r="K439" s="1">
        <v>30</v>
      </c>
      <c r="L439" s="4">
        <v>1319.79</v>
      </c>
      <c r="M439" s="3" t="s">
        <v>51</v>
      </c>
      <c r="N439" s="3" t="s">
        <v>22</v>
      </c>
    </row>
    <row r="440" spans="1:14" x14ac:dyDescent="0.3">
      <c r="A440" s="3" t="s">
        <v>520</v>
      </c>
      <c r="B440" s="2">
        <v>45606</v>
      </c>
      <c r="C440" s="3" t="s">
        <v>24</v>
      </c>
      <c r="D440" s="3" t="s">
        <v>56</v>
      </c>
      <c r="E440" s="3" t="s">
        <v>57</v>
      </c>
      <c r="F440" s="3" t="s">
        <v>32</v>
      </c>
      <c r="G440" s="3" t="s">
        <v>58</v>
      </c>
      <c r="H440" s="3" t="s">
        <v>59</v>
      </c>
      <c r="I440" s="5">
        <v>15011.52</v>
      </c>
      <c r="J440" s="4">
        <v>8</v>
      </c>
      <c r="K440" s="1">
        <v>11</v>
      </c>
      <c r="L440" s="4">
        <v>905.87</v>
      </c>
      <c r="M440" s="3" t="s">
        <v>28</v>
      </c>
      <c r="N440" s="3" t="s">
        <v>22</v>
      </c>
    </row>
    <row r="441" spans="1:14" x14ac:dyDescent="0.3">
      <c r="A441" s="3" t="s">
        <v>521</v>
      </c>
      <c r="B441" s="2">
        <v>45664</v>
      </c>
      <c r="C441" s="3" t="s">
        <v>30</v>
      </c>
      <c r="D441" s="3" t="s">
        <v>89</v>
      </c>
      <c r="E441" s="3" t="s">
        <v>140</v>
      </c>
      <c r="F441" s="3" t="s">
        <v>32</v>
      </c>
      <c r="G441" s="3" t="s">
        <v>112</v>
      </c>
      <c r="H441" s="3" t="s">
        <v>113</v>
      </c>
      <c r="I441" s="5">
        <v>7821.18</v>
      </c>
      <c r="J441" s="4">
        <v>9</v>
      </c>
      <c r="K441" s="1">
        <v>11</v>
      </c>
      <c r="L441" s="4">
        <v>1140.8900000000001</v>
      </c>
      <c r="M441" s="3" t="s">
        <v>51</v>
      </c>
      <c r="N441" s="3" t="s">
        <v>40</v>
      </c>
    </row>
    <row r="442" spans="1:14" x14ac:dyDescent="0.3">
      <c r="A442" s="3" t="s">
        <v>522</v>
      </c>
      <c r="B442" s="2">
        <v>45749</v>
      </c>
      <c r="C442" s="3" t="s">
        <v>30</v>
      </c>
      <c r="D442" s="3" t="s">
        <v>56</v>
      </c>
      <c r="E442" s="3" t="s">
        <v>61</v>
      </c>
      <c r="F442" s="3" t="s">
        <v>62</v>
      </c>
      <c r="G442" s="3" t="s">
        <v>103</v>
      </c>
      <c r="H442" s="3" t="s">
        <v>104</v>
      </c>
      <c r="I442" s="5">
        <v>9684.2900000000009</v>
      </c>
      <c r="J442" s="4">
        <v>7</v>
      </c>
      <c r="K442" s="1">
        <v>13</v>
      </c>
      <c r="L442" s="4">
        <v>780.24</v>
      </c>
      <c r="M442" s="3" t="s">
        <v>21</v>
      </c>
      <c r="N442" s="3" t="s">
        <v>35</v>
      </c>
    </row>
    <row r="443" spans="1:14" x14ac:dyDescent="0.3">
      <c r="A443" s="3" t="s">
        <v>523</v>
      </c>
      <c r="B443" s="2">
        <v>45548</v>
      </c>
      <c r="C443" s="3" t="s">
        <v>99</v>
      </c>
      <c r="D443" s="3" t="s">
        <v>16</v>
      </c>
      <c r="E443" s="3" t="s">
        <v>17</v>
      </c>
      <c r="F443" s="3" t="s">
        <v>62</v>
      </c>
      <c r="G443" s="3" t="s">
        <v>63</v>
      </c>
      <c r="H443" s="3" t="s">
        <v>64</v>
      </c>
      <c r="I443" s="5">
        <v>5386.98</v>
      </c>
      <c r="J443" s="4">
        <v>3</v>
      </c>
      <c r="K443" s="1">
        <v>8</v>
      </c>
      <c r="L443" s="4">
        <v>502.76</v>
      </c>
      <c r="M443" s="3" t="s">
        <v>21</v>
      </c>
      <c r="N443" s="3" t="s">
        <v>44</v>
      </c>
    </row>
    <row r="444" spans="1:14" x14ac:dyDescent="0.3">
      <c r="A444" s="3" t="s">
        <v>524</v>
      </c>
      <c r="B444" s="2">
        <v>45603</v>
      </c>
      <c r="C444" s="3" t="s">
        <v>70</v>
      </c>
      <c r="D444" s="3" t="s">
        <v>56</v>
      </c>
      <c r="E444" s="3" t="s">
        <v>57</v>
      </c>
      <c r="F444" s="3" t="s">
        <v>62</v>
      </c>
      <c r="G444" s="3" t="s">
        <v>63</v>
      </c>
      <c r="H444" s="3" t="s">
        <v>64</v>
      </c>
      <c r="I444" s="5">
        <v>806.29</v>
      </c>
      <c r="J444" s="4">
        <v>1</v>
      </c>
      <c r="K444" s="1">
        <v>16</v>
      </c>
      <c r="L444" s="4">
        <v>53.37</v>
      </c>
      <c r="M444" s="3" t="s">
        <v>21</v>
      </c>
      <c r="N444" s="3" t="s">
        <v>44</v>
      </c>
    </row>
    <row r="445" spans="1:14" x14ac:dyDescent="0.3">
      <c r="A445" s="3" t="s">
        <v>525</v>
      </c>
      <c r="B445" s="2">
        <v>45650</v>
      </c>
      <c r="C445" s="3" t="s">
        <v>101</v>
      </c>
      <c r="D445" s="3" t="s">
        <v>38</v>
      </c>
      <c r="E445" s="3" t="s">
        <v>53</v>
      </c>
      <c r="F445" s="3" t="s">
        <v>32</v>
      </c>
      <c r="G445" s="3" t="s">
        <v>33</v>
      </c>
      <c r="H445" s="3" t="s">
        <v>34</v>
      </c>
      <c r="I445" s="5">
        <v>1989.9</v>
      </c>
      <c r="J445" s="4">
        <v>9</v>
      </c>
      <c r="K445" s="1">
        <v>6</v>
      </c>
      <c r="L445" s="4">
        <v>261.93</v>
      </c>
      <c r="M445" s="3" t="s">
        <v>21</v>
      </c>
      <c r="N445" s="3" t="s">
        <v>22</v>
      </c>
    </row>
    <row r="446" spans="1:14" x14ac:dyDescent="0.3">
      <c r="A446" s="3" t="s">
        <v>526</v>
      </c>
      <c r="B446" s="2">
        <v>45766</v>
      </c>
      <c r="C446" s="3" t="s">
        <v>99</v>
      </c>
      <c r="D446" s="3" t="s">
        <v>16</v>
      </c>
      <c r="E446" s="3" t="s">
        <v>31</v>
      </c>
      <c r="F446" s="3" t="s">
        <v>62</v>
      </c>
      <c r="G446" s="3" t="s">
        <v>80</v>
      </c>
      <c r="H446" s="3" t="s">
        <v>81</v>
      </c>
      <c r="I446" s="5">
        <v>1562.72</v>
      </c>
      <c r="J446" s="4">
        <v>8</v>
      </c>
      <c r="K446" s="1">
        <v>22</v>
      </c>
      <c r="L446" s="4">
        <v>211.59</v>
      </c>
      <c r="M446" s="3" t="s">
        <v>28</v>
      </c>
      <c r="N446" s="3" t="s">
        <v>40</v>
      </c>
    </row>
    <row r="447" spans="1:14" x14ac:dyDescent="0.3">
      <c r="A447" s="3" t="s">
        <v>527</v>
      </c>
      <c r="B447" s="2">
        <v>45509</v>
      </c>
      <c r="C447" s="3" t="s">
        <v>15</v>
      </c>
      <c r="D447" s="3" t="s">
        <v>38</v>
      </c>
      <c r="E447" s="3" t="s">
        <v>43</v>
      </c>
      <c r="F447" s="3" t="s">
        <v>32</v>
      </c>
      <c r="G447" s="3" t="s">
        <v>47</v>
      </c>
      <c r="H447" s="3" t="s">
        <v>48</v>
      </c>
      <c r="I447" s="5">
        <v>7923.72</v>
      </c>
      <c r="J447" s="4">
        <v>6</v>
      </c>
      <c r="K447" s="1">
        <v>13</v>
      </c>
      <c r="L447" s="4">
        <v>458.29</v>
      </c>
      <c r="M447" s="3" t="s">
        <v>28</v>
      </c>
      <c r="N447" s="3" t="s">
        <v>22</v>
      </c>
    </row>
    <row r="448" spans="1:14" x14ac:dyDescent="0.3">
      <c r="A448" s="3" t="s">
        <v>528</v>
      </c>
      <c r="B448" s="2">
        <v>45445</v>
      </c>
      <c r="C448" s="3" t="s">
        <v>24</v>
      </c>
      <c r="D448" s="3" t="s">
        <v>56</v>
      </c>
      <c r="E448" s="3" t="s">
        <v>108</v>
      </c>
      <c r="F448" s="3" t="s">
        <v>62</v>
      </c>
      <c r="G448" s="3" t="s">
        <v>103</v>
      </c>
      <c r="H448" s="3" t="s">
        <v>104</v>
      </c>
      <c r="I448" s="5">
        <v>1859.2</v>
      </c>
      <c r="J448" s="4">
        <v>8</v>
      </c>
      <c r="K448" s="1">
        <v>3</v>
      </c>
      <c r="L448" s="4">
        <v>432.33</v>
      </c>
      <c r="M448" s="3" t="s">
        <v>51</v>
      </c>
      <c r="N448" s="3" t="s">
        <v>35</v>
      </c>
    </row>
    <row r="449" spans="1:14" x14ac:dyDescent="0.3">
      <c r="A449" s="3" t="s">
        <v>529</v>
      </c>
      <c r="B449" s="2">
        <v>45607</v>
      </c>
      <c r="C449" s="3" t="s">
        <v>73</v>
      </c>
      <c r="D449" s="3" t="s">
        <v>56</v>
      </c>
      <c r="E449" s="3" t="s">
        <v>57</v>
      </c>
      <c r="F449" s="3" t="s">
        <v>32</v>
      </c>
      <c r="G449" s="3" t="s">
        <v>47</v>
      </c>
      <c r="H449" s="3" t="s">
        <v>48</v>
      </c>
      <c r="I449" s="5">
        <v>1533.83</v>
      </c>
      <c r="J449" s="4">
        <v>1</v>
      </c>
      <c r="K449" s="1">
        <v>17</v>
      </c>
      <c r="L449" s="4">
        <v>280.70999999999998</v>
      </c>
      <c r="M449" s="3" t="s">
        <v>21</v>
      </c>
      <c r="N449" s="3" t="s">
        <v>35</v>
      </c>
    </row>
    <row r="450" spans="1:14" x14ac:dyDescent="0.3">
      <c r="A450" s="3" t="s">
        <v>530</v>
      </c>
      <c r="B450" s="2">
        <v>45567</v>
      </c>
      <c r="C450" s="3" t="s">
        <v>86</v>
      </c>
      <c r="D450" s="3" t="s">
        <v>38</v>
      </c>
      <c r="E450" s="3" t="s">
        <v>71</v>
      </c>
      <c r="F450" s="3" t="s">
        <v>18</v>
      </c>
      <c r="G450" s="3" t="s">
        <v>26</v>
      </c>
      <c r="H450" s="3" t="s">
        <v>27</v>
      </c>
      <c r="I450" s="5">
        <v>547.46</v>
      </c>
      <c r="J450" s="4">
        <v>2</v>
      </c>
      <c r="K450" s="1">
        <v>10</v>
      </c>
      <c r="L450" s="4">
        <v>107.38</v>
      </c>
      <c r="M450" s="3" t="s">
        <v>21</v>
      </c>
      <c r="N450" s="3" t="s">
        <v>40</v>
      </c>
    </row>
    <row r="451" spans="1:14" x14ac:dyDescent="0.3">
      <c r="A451" s="3" t="s">
        <v>531</v>
      </c>
      <c r="B451" s="2">
        <v>45720</v>
      </c>
      <c r="C451" s="3" t="s">
        <v>73</v>
      </c>
      <c r="D451" s="3" t="s">
        <v>56</v>
      </c>
      <c r="E451" s="3" t="s">
        <v>61</v>
      </c>
      <c r="F451" s="3" t="s">
        <v>32</v>
      </c>
      <c r="G451" s="3" t="s">
        <v>33</v>
      </c>
      <c r="H451" s="3" t="s">
        <v>34</v>
      </c>
      <c r="I451" s="5">
        <v>6749.25</v>
      </c>
      <c r="J451" s="4">
        <v>5</v>
      </c>
      <c r="K451" s="1">
        <v>23</v>
      </c>
      <c r="L451" s="4">
        <v>824.83</v>
      </c>
      <c r="M451" s="3" t="s">
        <v>21</v>
      </c>
      <c r="N451" s="3" t="s">
        <v>44</v>
      </c>
    </row>
    <row r="452" spans="1:14" x14ac:dyDescent="0.3">
      <c r="A452" s="3" t="s">
        <v>532</v>
      </c>
      <c r="B452" s="2">
        <v>45718</v>
      </c>
      <c r="C452" s="3" t="s">
        <v>50</v>
      </c>
      <c r="D452" s="3" t="s">
        <v>89</v>
      </c>
      <c r="E452" s="3" t="s">
        <v>116</v>
      </c>
      <c r="F452" s="3" t="s">
        <v>32</v>
      </c>
      <c r="G452" s="3" t="s">
        <v>112</v>
      </c>
      <c r="H452" s="3" t="s">
        <v>113</v>
      </c>
      <c r="I452" s="5">
        <v>2614.7199999999998</v>
      </c>
      <c r="J452" s="4">
        <v>4</v>
      </c>
      <c r="K452" s="1">
        <v>22</v>
      </c>
      <c r="L452" s="4">
        <v>410.09</v>
      </c>
      <c r="M452" s="3" t="s">
        <v>21</v>
      </c>
      <c r="N452" s="3" t="s">
        <v>22</v>
      </c>
    </row>
    <row r="453" spans="1:14" x14ac:dyDescent="0.3">
      <c r="A453" s="3" t="s">
        <v>533</v>
      </c>
      <c r="B453" s="2">
        <v>45753</v>
      </c>
      <c r="C453" s="3" t="s">
        <v>84</v>
      </c>
      <c r="D453" s="3" t="s">
        <v>38</v>
      </c>
      <c r="E453" s="3" t="s">
        <v>53</v>
      </c>
      <c r="F453" s="3" t="s">
        <v>32</v>
      </c>
      <c r="G453" s="3" t="s">
        <v>112</v>
      </c>
      <c r="H453" s="3" t="s">
        <v>113</v>
      </c>
      <c r="I453" s="5">
        <v>6753.56</v>
      </c>
      <c r="J453" s="4">
        <v>4</v>
      </c>
      <c r="K453" s="1">
        <v>20</v>
      </c>
      <c r="L453" s="4">
        <v>472.39</v>
      </c>
      <c r="M453" s="3" t="s">
        <v>28</v>
      </c>
      <c r="N453" s="3" t="s">
        <v>22</v>
      </c>
    </row>
    <row r="454" spans="1:14" x14ac:dyDescent="0.3">
      <c r="A454" s="3" t="s">
        <v>534</v>
      </c>
      <c r="B454" s="2">
        <v>45552</v>
      </c>
      <c r="C454" s="3" t="s">
        <v>70</v>
      </c>
      <c r="D454" s="3" t="s">
        <v>38</v>
      </c>
      <c r="E454" s="3" t="s">
        <v>53</v>
      </c>
      <c r="F454" s="3" t="s">
        <v>18</v>
      </c>
      <c r="G454" s="3" t="s">
        <v>94</v>
      </c>
      <c r="H454" s="3" t="s">
        <v>95</v>
      </c>
      <c r="I454" s="5">
        <v>6772.96</v>
      </c>
      <c r="J454" s="4">
        <v>4</v>
      </c>
      <c r="K454" s="1">
        <v>16</v>
      </c>
      <c r="L454" s="4">
        <v>798.98</v>
      </c>
      <c r="M454" s="3" t="s">
        <v>28</v>
      </c>
      <c r="N454" s="3" t="s">
        <v>40</v>
      </c>
    </row>
    <row r="455" spans="1:14" x14ac:dyDescent="0.3">
      <c r="A455" s="3" t="s">
        <v>535</v>
      </c>
      <c r="B455" s="2">
        <v>45470</v>
      </c>
      <c r="C455" s="3" t="s">
        <v>133</v>
      </c>
      <c r="D455" s="3" t="s">
        <v>56</v>
      </c>
      <c r="E455" s="3" t="s">
        <v>57</v>
      </c>
      <c r="F455" s="3" t="s">
        <v>32</v>
      </c>
      <c r="G455" s="3" t="s">
        <v>112</v>
      </c>
      <c r="H455" s="3" t="s">
        <v>113</v>
      </c>
      <c r="I455" s="5">
        <v>10265.58</v>
      </c>
      <c r="J455" s="4">
        <v>6</v>
      </c>
      <c r="K455" s="1">
        <v>29</v>
      </c>
      <c r="L455" s="4">
        <v>798.1</v>
      </c>
      <c r="M455" s="3" t="s">
        <v>28</v>
      </c>
      <c r="N455" s="3" t="s">
        <v>44</v>
      </c>
    </row>
    <row r="456" spans="1:14" x14ac:dyDescent="0.3">
      <c r="A456" s="3" t="s">
        <v>536</v>
      </c>
      <c r="B456" s="2">
        <v>45667</v>
      </c>
      <c r="C456" s="3" t="s">
        <v>50</v>
      </c>
      <c r="D456" s="3" t="s">
        <v>16</v>
      </c>
      <c r="E456" s="3" t="s">
        <v>31</v>
      </c>
      <c r="F456" s="3" t="s">
        <v>32</v>
      </c>
      <c r="G456" s="3" t="s">
        <v>58</v>
      </c>
      <c r="H456" s="3" t="s">
        <v>59</v>
      </c>
      <c r="I456" s="5">
        <v>11289.6</v>
      </c>
      <c r="J456" s="4">
        <v>7</v>
      </c>
      <c r="K456" s="1">
        <v>10</v>
      </c>
      <c r="L456" s="4">
        <v>2079.86</v>
      </c>
      <c r="M456" s="3" t="s">
        <v>28</v>
      </c>
      <c r="N456" s="3" t="s">
        <v>35</v>
      </c>
    </row>
    <row r="457" spans="1:14" x14ac:dyDescent="0.3">
      <c r="A457" s="3" t="s">
        <v>537</v>
      </c>
      <c r="B457" s="2">
        <v>45778</v>
      </c>
      <c r="C457" s="3" t="s">
        <v>30</v>
      </c>
      <c r="D457" s="3" t="s">
        <v>38</v>
      </c>
      <c r="E457" s="3" t="s">
        <v>39</v>
      </c>
      <c r="F457" s="3" t="s">
        <v>18</v>
      </c>
      <c r="G457" s="3" t="s">
        <v>94</v>
      </c>
      <c r="H457" s="3" t="s">
        <v>95</v>
      </c>
      <c r="I457" s="5">
        <v>3249.63</v>
      </c>
      <c r="J457" s="4">
        <v>3</v>
      </c>
      <c r="K457" s="1">
        <v>6</v>
      </c>
      <c r="L457" s="4">
        <v>499.06</v>
      </c>
      <c r="M457" s="3" t="s">
        <v>51</v>
      </c>
      <c r="N457" s="3" t="s">
        <v>22</v>
      </c>
    </row>
    <row r="458" spans="1:14" x14ac:dyDescent="0.3">
      <c r="A458" s="3" t="s">
        <v>538</v>
      </c>
      <c r="B458" s="2">
        <v>45449</v>
      </c>
      <c r="C458" s="3" t="s">
        <v>70</v>
      </c>
      <c r="D458" s="3" t="s">
        <v>56</v>
      </c>
      <c r="E458" s="3" t="s">
        <v>61</v>
      </c>
      <c r="F458" s="3" t="s">
        <v>18</v>
      </c>
      <c r="G458" s="3" t="s">
        <v>19</v>
      </c>
      <c r="H458" s="3" t="s">
        <v>20</v>
      </c>
      <c r="I458" s="5">
        <v>1781.29</v>
      </c>
      <c r="J458" s="4">
        <v>1</v>
      </c>
      <c r="K458" s="1">
        <v>15</v>
      </c>
      <c r="L458" s="4">
        <v>185.71</v>
      </c>
      <c r="M458" s="3" t="s">
        <v>21</v>
      </c>
      <c r="N458" s="3" t="s">
        <v>40</v>
      </c>
    </row>
    <row r="459" spans="1:14" x14ac:dyDescent="0.3">
      <c r="A459" s="3" t="s">
        <v>539</v>
      </c>
      <c r="B459" s="2">
        <v>45426</v>
      </c>
      <c r="C459" s="3" t="s">
        <v>15</v>
      </c>
      <c r="D459" s="3" t="s">
        <v>16</v>
      </c>
      <c r="E459" s="3" t="s">
        <v>17</v>
      </c>
      <c r="F459" s="3" t="s">
        <v>32</v>
      </c>
      <c r="G459" s="3" t="s">
        <v>112</v>
      </c>
      <c r="H459" s="3" t="s">
        <v>113</v>
      </c>
      <c r="I459" s="5">
        <v>6193.14</v>
      </c>
      <c r="J459" s="4">
        <v>6</v>
      </c>
      <c r="K459" s="1">
        <v>13</v>
      </c>
      <c r="L459" s="4">
        <v>809.53</v>
      </c>
      <c r="M459" s="3" t="s">
        <v>21</v>
      </c>
      <c r="N459" s="3" t="s">
        <v>22</v>
      </c>
    </row>
    <row r="460" spans="1:14" x14ac:dyDescent="0.3">
      <c r="A460" s="3" t="s">
        <v>540</v>
      </c>
      <c r="B460" s="2">
        <v>45578</v>
      </c>
      <c r="C460" s="3" t="s">
        <v>99</v>
      </c>
      <c r="D460" s="3" t="s">
        <v>38</v>
      </c>
      <c r="E460" s="3" t="s">
        <v>53</v>
      </c>
      <c r="F460" s="3" t="s">
        <v>32</v>
      </c>
      <c r="G460" s="3" t="s">
        <v>112</v>
      </c>
      <c r="H460" s="3" t="s">
        <v>113</v>
      </c>
      <c r="I460" s="5">
        <v>2979.78</v>
      </c>
      <c r="J460" s="4">
        <v>3</v>
      </c>
      <c r="K460" s="1">
        <v>2</v>
      </c>
      <c r="L460" s="4">
        <v>632.73</v>
      </c>
      <c r="M460" s="3" t="s">
        <v>28</v>
      </c>
      <c r="N460" s="3" t="s">
        <v>40</v>
      </c>
    </row>
    <row r="461" spans="1:14" x14ac:dyDescent="0.3">
      <c r="A461" s="3" t="s">
        <v>541</v>
      </c>
      <c r="B461" s="2">
        <v>45626</v>
      </c>
      <c r="C461" s="3" t="s">
        <v>15</v>
      </c>
      <c r="D461" s="3" t="s">
        <v>89</v>
      </c>
      <c r="E461" s="3" t="s">
        <v>116</v>
      </c>
      <c r="F461" s="3" t="s">
        <v>62</v>
      </c>
      <c r="G461" s="3" t="s">
        <v>63</v>
      </c>
      <c r="H461" s="3" t="s">
        <v>64</v>
      </c>
      <c r="I461" s="5">
        <v>1562.9</v>
      </c>
      <c r="J461" s="4">
        <v>1</v>
      </c>
      <c r="K461" s="1">
        <v>11</v>
      </c>
      <c r="L461" s="4">
        <v>226.19</v>
      </c>
      <c r="M461" s="3" t="s">
        <v>21</v>
      </c>
      <c r="N461" s="3" t="s">
        <v>40</v>
      </c>
    </row>
    <row r="462" spans="1:14" x14ac:dyDescent="0.3">
      <c r="A462" s="3" t="s">
        <v>542</v>
      </c>
      <c r="B462" s="2">
        <v>45757</v>
      </c>
      <c r="C462" s="3" t="s">
        <v>99</v>
      </c>
      <c r="D462" s="3" t="s">
        <v>89</v>
      </c>
      <c r="E462" s="3" t="s">
        <v>102</v>
      </c>
      <c r="F462" s="3" t="s">
        <v>18</v>
      </c>
      <c r="G462" s="3" t="s">
        <v>19</v>
      </c>
      <c r="H462" s="3" t="s">
        <v>20</v>
      </c>
      <c r="I462" s="5">
        <v>11724.48</v>
      </c>
      <c r="J462" s="4">
        <v>8</v>
      </c>
      <c r="K462" s="1">
        <v>21</v>
      </c>
      <c r="L462" s="4">
        <v>824.02</v>
      </c>
      <c r="M462" s="3" t="s">
        <v>51</v>
      </c>
      <c r="N462" s="3" t="s">
        <v>35</v>
      </c>
    </row>
    <row r="463" spans="1:14" x14ac:dyDescent="0.3">
      <c r="A463" s="3" t="s">
        <v>543</v>
      </c>
      <c r="B463" s="2">
        <v>45765</v>
      </c>
      <c r="C463" s="3" t="s">
        <v>37</v>
      </c>
      <c r="D463" s="3" t="s">
        <v>89</v>
      </c>
      <c r="E463" s="3" t="s">
        <v>90</v>
      </c>
      <c r="F463" s="3" t="s">
        <v>32</v>
      </c>
      <c r="G463" s="3" t="s">
        <v>33</v>
      </c>
      <c r="H463" s="3" t="s">
        <v>34</v>
      </c>
      <c r="I463" s="5">
        <v>6873.28</v>
      </c>
      <c r="J463" s="4">
        <v>8</v>
      </c>
      <c r="K463" s="1">
        <v>5</v>
      </c>
      <c r="L463" s="4">
        <v>942.15</v>
      </c>
      <c r="M463" s="3" t="s">
        <v>21</v>
      </c>
      <c r="N463" s="3" t="s">
        <v>40</v>
      </c>
    </row>
    <row r="464" spans="1:14" x14ac:dyDescent="0.3">
      <c r="A464" s="3" t="s">
        <v>544</v>
      </c>
      <c r="B464" s="2">
        <v>45654</v>
      </c>
      <c r="C464" s="3" t="s">
        <v>15</v>
      </c>
      <c r="D464" s="3" t="s">
        <v>38</v>
      </c>
      <c r="E464" s="3" t="s">
        <v>43</v>
      </c>
      <c r="F464" s="3" t="s">
        <v>62</v>
      </c>
      <c r="G464" s="3" t="s">
        <v>80</v>
      </c>
      <c r="H464" s="3" t="s">
        <v>81</v>
      </c>
      <c r="I464" s="5">
        <v>19101.599999999999</v>
      </c>
      <c r="J464" s="4">
        <v>10</v>
      </c>
      <c r="K464" s="1">
        <v>15</v>
      </c>
      <c r="L464" s="4">
        <v>3452.88</v>
      </c>
      <c r="M464" s="3" t="s">
        <v>51</v>
      </c>
      <c r="N464" s="3" t="s">
        <v>35</v>
      </c>
    </row>
    <row r="465" spans="1:14" x14ac:dyDescent="0.3">
      <c r="A465" s="3" t="s">
        <v>545</v>
      </c>
      <c r="B465" s="2">
        <v>45730</v>
      </c>
      <c r="C465" s="3" t="s">
        <v>30</v>
      </c>
      <c r="D465" s="3" t="s">
        <v>56</v>
      </c>
      <c r="E465" s="3" t="s">
        <v>108</v>
      </c>
      <c r="F465" s="3" t="s">
        <v>32</v>
      </c>
      <c r="G465" s="3" t="s">
        <v>112</v>
      </c>
      <c r="H465" s="3" t="s">
        <v>113</v>
      </c>
      <c r="I465" s="5">
        <v>1723.88</v>
      </c>
      <c r="J465" s="4">
        <v>1</v>
      </c>
      <c r="K465" s="1">
        <v>12</v>
      </c>
      <c r="L465" s="4">
        <v>216.23</v>
      </c>
      <c r="M465" s="3" t="s">
        <v>28</v>
      </c>
      <c r="N465" s="3" t="s">
        <v>44</v>
      </c>
    </row>
    <row r="466" spans="1:14" x14ac:dyDescent="0.3">
      <c r="A466" s="3" t="s">
        <v>546</v>
      </c>
      <c r="B466" s="2">
        <v>45774</v>
      </c>
      <c r="C466" s="3" t="s">
        <v>15</v>
      </c>
      <c r="D466" s="3" t="s">
        <v>38</v>
      </c>
      <c r="E466" s="3" t="s">
        <v>53</v>
      </c>
      <c r="F466" s="3" t="s">
        <v>18</v>
      </c>
      <c r="G466" s="3" t="s">
        <v>76</v>
      </c>
      <c r="H466" s="3" t="s">
        <v>77</v>
      </c>
      <c r="I466" s="5">
        <v>4581</v>
      </c>
      <c r="J466" s="4">
        <v>10</v>
      </c>
      <c r="K466" s="1">
        <v>28</v>
      </c>
      <c r="L466" s="4">
        <v>287.27</v>
      </c>
      <c r="M466" s="3" t="s">
        <v>21</v>
      </c>
      <c r="N466" s="3" t="s">
        <v>35</v>
      </c>
    </row>
    <row r="467" spans="1:14" x14ac:dyDescent="0.3">
      <c r="A467" s="3" t="s">
        <v>547</v>
      </c>
      <c r="B467" s="2">
        <v>45587</v>
      </c>
      <c r="C467" s="3" t="s">
        <v>75</v>
      </c>
      <c r="D467" s="3" t="s">
        <v>16</v>
      </c>
      <c r="E467" s="3" t="s">
        <v>17</v>
      </c>
      <c r="F467" s="3" t="s">
        <v>62</v>
      </c>
      <c r="G467" s="3" t="s">
        <v>67</v>
      </c>
      <c r="H467" s="3" t="s">
        <v>68</v>
      </c>
      <c r="I467" s="5">
        <v>3902.22</v>
      </c>
      <c r="J467" s="4">
        <v>6</v>
      </c>
      <c r="K467" s="1">
        <v>3</v>
      </c>
      <c r="L467" s="4">
        <v>863.68</v>
      </c>
      <c r="M467" s="3" t="s">
        <v>21</v>
      </c>
      <c r="N467" s="3" t="s">
        <v>22</v>
      </c>
    </row>
    <row r="468" spans="1:14" x14ac:dyDescent="0.3">
      <c r="A468" s="3" t="s">
        <v>548</v>
      </c>
      <c r="B468" s="2">
        <v>45707</v>
      </c>
      <c r="C468" s="3" t="s">
        <v>15</v>
      </c>
      <c r="D468" s="3" t="s">
        <v>38</v>
      </c>
      <c r="E468" s="3" t="s">
        <v>39</v>
      </c>
      <c r="F468" s="3" t="s">
        <v>32</v>
      </c>
      <c r="G468" s="3" t="s">
        <v>33</v>
      </c>
      <c r="H468" s="3" t="s">
        <v>34</v>
      </c>
      <c r="I468" s="5">
        <v>1888.88</v>
      </c>
      <c r="J468" s="4">
        <v>7</v>
      </c>
      <c r="K468" s="1">
        <v>0</v>
      </c>
      <c r="L468" s="4">
        <v>304.52</v>
      </c>
      <c r="M468" s="3" t="s">
        <v>28</v>
      </c>
      <c r="N468" s="3" t="s">
        <v>44</v>
      </c>
    </row>
    <row r="469" spans="1:14" x14ac:dyDescent="0.3">
      <c r="A469" s="3" t="s">
        <v>549</v>
      </c>
      <c r="B469" s="2">
        <v>45770</v>
      </c>
      <c r="C469" s="3" t="s">
        <v>42</v>
      </c>
      <c r="D469" s="3" t="s">
        <v>16</v>
      </c>
      <c r="E469" s="3" t="s">
        <v>31</v>
      </c>
      <c r="F469" s="3" t="s">
        <v>18</v>
      </c>
      <c r="G469" s="3" t="s">
        <v>76</v>
      </c>
      <c r="H469" s="3" t="s">
        <v>77</v>
      </c>
      <c r="I469" s="5">
        <v>1120.5899999999999</v>
      </c>
      <c r="J469" s="4">
        <v>9</v>
      </c>
      <c r="K469" s="1">
        <v>16</v>
      </c>
      <c r="L469" s="4">
        <v>102.41</v>
      </c>
      <c r="M469" s="3" t="s">
        <v>28</v>
      </c>
      <c r="N469" s="3" t="s">
        <v>22</v>
      </c>
    </row>
    <row r="470" spans="1:14" x14ac:dyDescent="0.3">
      <c r="A470" s="3" t="s">
        <v>550</v>
      </c>
      <c r="B470" s="2">
        <v>45611</v>
      </c>
      <c r="C470" s="3" t="s">
        <v>37</v>
      </c>
      <c r="D470" s="3" t="s">
        <v>56</v>
      </c>
      <c r="E470" s="3" t="s">
        <v>108</v>
      </c>
      <c r="F470" s="3" t="s">
        <v>32</v>
      </c>
      <c r="G470" s="3" t="s">
        <v>112</v>
      </c>
      <c r="H470" s="3" t="s">
        <v>113</v>
      </c>
      <c r="I470" s="5">
        <v>3132.08</v>
      </c>
      <c r="J470" s="4">
        <v>7</v>
      </c>
      <c r="K470" s="1">
        <v>7.0000000000000009</v>
      </c>
      <c r="L470" s="4">
        <v>669.01</v>
      </c>
      <c r="M470" s="3" t="s">
        <v>51</v>
      </c>
      <c r="N470" s="3" t="s">
        <v>44</v>
      </c>
    </row>
    <row r="471" spans="1:14" x14ac:dyDescent="0.3">
      <c r="A471" s="3" t="s">
        <v>551</v>
      </c>
      <c r="B471" s="2">
        <v>45498</v>
      </c>
      <c r="C471" s="3" t="s">
        <v>99</v>
      </c>
      <c r="D471" s="3" t="s">
        <v>56</v>
      </c>
      <c r="E471" s="3" t="s">
        <v>57</v>
      </c>
      <c r="F471" s="3" t="s">
        <v>18</v>
      </c>
      <c r="G471" s="3" t="s">
        <v>19</v>
      </c>
      <c r="H471" s="3" t="s">
        <v>20</v>
      </c>
      <c r="I471" s="5">
        <v>2402.8000000000002</v>
      </c>
      <c r="J471" s="4">
        <v>10</v>
      </c>
      <c r="K471" s="1">
        <v>19</v>
      </c>
      <c r="L471" s="4">
        <v>191.63</v>
      </c>
      <c r="M471" s="3" t="s">
        <v>28</v>
      </c>
      <c r="N471" s="3" t="s">
        <v>35</v>
      </c>
    </row>
    <row r="472" spans="1:14" x14ac:dyDescent="0.3">
      <c r="A472" s="3" t="s">
        <v>552</v>
      </c>
      <c r="B472" s="2">
        <v>45763</v>
      </c>
      <c r="C472" s="3" t="s">
        <v>101</v>
      </c>
      <c r="D472" s="3" t="s">
        <v>89</v>
      </c>
      <c r="E472" s="3" t="s">
        <v>97</v>
      </c>
      <c r="F472" s="3" t="s">
        <v>62</v>
      </c>
      <c r="G472" s="3" t="s">
        <v>67</v>
      </c>
      <c r="H472" s="3" t="s">
        <v>68</v>
      </c>
      <c r="I472" s="5">
        <v>2426.02</v>
      </c>
      <c r="J472" s="4">
        <v>2</v>
      </c>
      <c r="K472" s="1">
        <v>27</v>
      </c>
      <c r="L472" s="4">
        <v>267.33</v>
      </c>
      <c r="M472" s="3" t="s">
        <v>51</v>
      </c>
      <c r="N472" s="3" t="s">
        <v>22</v>
      </c>
    </row>
    <row r="473" spans="1:14" x14ac:dyDescent="0.3">
      <c r="A473" s="3" t="s">
        <v>553</v>
      </c>
      <c r="B473" s="2">
        <v>45729</v>
      </c>
      <c r="C473" s="3" t="s">
        <v>133</v>
      </c>
      <c r="D473" s="3" t="s">
        <v>56</v>
      </c>
      <c r="E473" s="3" t="s">
        <v>61</v>
      </c>
      <c r="F473" s="3" t="s">
        <v>18</v>
      </c>
      <c r="G473" s="3" t="s">
        <v>26</v>
      </c>
      <c r="H473" s="3" t="s">
        <v>27</v>
      </c>
      <c r="I473" s="5">
        <v>2629.72</v>
      </c>
      <c r="J473" s="4">
        <v>2</v>
      </c>
      <c r="K473" s="1">
        <v>29</v>
      </c>
      <c r="L473" s="4">
        <v>430.2</v>
      </c>
      <c r="M473" s="3" t="s">
        <v>28</v>
      </c>
      <c r="N473" s="3" t="s">
        <v>40</v>
      </c>
    </row>
    <row r="474" spans="1:14" x14ac:dyDescent="0.3">
      <c r="A474" s="3" t="s">
        <v>554</v>
      </c>
      <c r="B474" s="2">
        <v>45656</v>
      </c>
      <c r="C474" s="3" t="s">
        <v>84</v>
      </c>
      <c r="D474" s="3" t="s">
        <v>38</v>
      </c>
      <c r="E474" s="3" t="s">
        <v>53</v>
      </c>
      <c r="F474" s="3" t="s">
        <v>32</v>
      </c>
      <c r="G474" s="3" t="s">
        <v>58</v>
      </c>
      <c r="H474" s="3" t="s">
        <v>59</v>
      </c>
      <c r="I474" s="5">
        <v>3678.78</v>
      </c>
      <c r="J474" s="4">
        <v>7</v>
      </c>
      <c r="K474" s="1">
        <v>28</v>
      </c>
      <c r="L474" s="4">
        <v>625.54999999999995</v>
      </c>
      <c r="M474" s="3" t="s">
        <v>28</v>
      </c>
      <c r="N474" s="3" t="s">
        <v>35</v>
      </c>
    </row>
    <row r="475" spans="1:14" x14ac:dyDescent="0.3">
      <c r="A475" s="3" t="s">
        <v>555</v>
      </c>
      <c r="B475" s="2">
        <v>45647</v>
      </c>
      <c r="C475" s="3" t="s">
        <v>75</v>
      </c>
      <c r="D475" s="3" t="s">
        <v>16</v>
      </c>
      <c r="E475" s="3" t="s">
        <v>17</v>
      </c>
      <c r="F475" s="3" t="s">
        <v>62</v>
      </c>
      <c r="G475" s="3" t="s">
        <v>80</v>
      </c>
      <c r="H475" s="3" t="s">
        <v>81</v>
      </c>
      <c r="I475" s="5">
        <v>6706</v>
      </c>
      <c r="J475" s="4">
        <v>7</v>
      </c>
      <c r="K475" s="1">
        <v>16</v>
      </c>
      <c r="L475" s="4">
        <v>1322.59</v>
      </c>
      <c r="M475" s="3" t="s">
        <v>28</v>
      </c>
      <c r="N475" s="3" t="s">
        <v>22</v>
      </c>
    </row>
    <row r="476" spans="1:14" x14ac:dyDescent="0.3">
      <c r="A476" s="3" t="s">
        <v>556</v>
      </c>
      <c r="B476" s="2">
        <v>45667</v>
      </c>
      <c r="C476" s="3" t="s">
        <v>15</v>
      </c>
      <c r="D476" s="3" t="s">
        <v>56</v>
      </c>
      <c r="E476" s="3" t="s">
        <v>61</v>
      </c>
      <c r="F476" s="3" t="s">
        <v>32</v>
      </c>
      <c r="G476" s="3" t="s">
        <v>47</v>
      </c>
      <c r="H476" s="3" t="s">
        <v>48</v>
      </c>
      <c r="I476" s="5">
        <v>11771.37</v>
      </c>
      <c r="J476" s="4">
        <v>9</v>
      </c>
      <c r="K476" s="1">
        <v>8</v>
      </c>
      <c r="L476" s="4">
        <v>554.23</v>
      </c>
      <c r="M476" s="3" t="s">
        <v>21</v>
      </c>
      <c r="N476" s="3" t="s">
        <v>40</v>
      </c>
    </row>
    <row r="477" spans="1:14" x14ac:dyDescent="0.3">
      <c r="A477" s="3" t="s">
        <v>557</v>
      </c>
      <c r="B477" s="2">
        <v>45540</v>
      </c>
      <c r="C477" s="3" t="s">
        <v>86</v>
      </c>
      <c r="D477" s="3" t="s">
        <v>56</v>
      </c>
      <c r="E477" s="3" t="s">
        <v>61</v>
      </c>
      <c r="F477" s="3" t="s">
        <v>18</v>
      </c>
      <c r="G477" s="3" t="s">
        <v>26</v>
      </c>
      <c r="H477" s="3" t="s">
        <v>27</v>
      </c>
      <c r="I477" s="5">
        <v>12484.64</v>
      </c>
      <c r="J477" s="4">
        <v>8</v>
      </c>
      <c r="K477" s="1">
        <v>23</v>
      </c>
      <c r="L477" s="4">
        <v>1533.35</v>
      </c>
      <c r="M477" s="3" t="s">
        <v>51</v>
      </c>
      <c r="N477" s="3" t="s">
        <v>44</v>
      </c>
    </row>
    <row r="478" spans="1:14" x14ac:dyDescent="0.3">
      <c r="A478" s="3" t="s">
        <v>558</v>
      </c>
      <c r="B478" s="2">
        <v>45530</v>
      </c>
      <c r="C478" s="3" t="s">
        <v>75</v>
      </c>
      <c r="D478" s="3" t="s">
        <v>89</v>
      </c>
      <c r="E478" s="3" t="s">
        <v>97</v>
      </c>
      <c r="F478" s="3" t="s">
        <v>32</v>
      </c>
      <c r="G478" s="3" t="s">
        <v>58</v>
      </c>
      <c r="H478" s="3" t="s">
        <v>59</v>
      </c>
      <c r="I478" s="5">
        <v>11969.04</v>
      </c>
      <c r="J478" s="4">
        <v>8</v>
      </c>
      <c r="K478" s="1">
        <v>21</v>
      </c>
      <c r="L478" s="4">
        <v>1715.91</v>
      </c>
      <c r="M478" s="3" t="s">
        <v>21</v>
      </c>
      <c r="N478" s="3" t="s">
        <v>35</v>
      </c>
    </row>
    <row r="479" spans="1:14" x14ac:dyDescent="0.3">
      <c r="A479" s="3" t="s">
        <v>559</v>
      </c>
      <c r="B479" s="2">
        <v>45465</v>
      </c>
      <c r="C479" s="3" t="s">
        <v>66</v>
      </c>
      <c r="D479" s="3" t="s">
        <v>89</v>
      </c>
      <c r="E479" s="3" t="s">
        <v>97</v>
      </c>
      <c r="F479" s="3" t="s">
        <v>32</v>
      </c>
      <c r="G479" s="3" t="s">
        <v>58</v>
      </c>
      <c r="H479" s="3" t="s">
        <v>59</v>
      </c>
      <c r="I479" s="5">
        <v>15043.5</v>
      </c>
      <c r="J479" s="4">
        <v>9</v>
      </c>
      <c r="K479" s="1">
        <v>26</v>
      </c>
      <c r="L479" s="4">
        <v>1197.47</v>
      </c>
      <c r="M479" s="3" t="s">
        <v>21</v>
      </c>
      <c r="N479" s="3" t="s">
        <v>35</v>
      </c>
    </row>
    <row r="480" spans="1:14" x14ac:dyDescent="0.3">
      <c r="A480" s="3" t="s">
        <v>560</v>
      </c>
      <c r="B480" s="2">
        <v>45642</v>
      </c>
      <c r="C480" s="3" t="s">
        <v>73</v>
      </c>
      <c r="D480" s="3" t="s">
        <v>38</v>
      </c>
      <c r="E480" s="3" t="s">
        <v>71</v>
      </c>
      <c r="F480" s="3" t="s">
        <v>62</v>
      </c>
      <c r="G480" s="3" t="s">
        <v>67</v>
      </c>
      <c r="H480" s="3" t="s">
        <v>68</v>
      </c>
      <c r="I480" s="5">
        <v>1383.89</v>
      </c>
      <c r="J480" s="4">
        <v>1</v>
      </c>
      <c r="K480" s="1">
        <v>29</v>
      </c>
      <c r="L480" s="4">
        <v>200.29</v>
      </c>
      <c r="M480" s="3" t="s">
        <v>51</v>
      </c>
      <c r="N480" s="3" t="s">
        <v>44</v>
      </c>
    </row>
    <row r="481" spans="1:14" x14ac:dyDescent="0.3">
      <c r="A481" s="3" t="s">
        <v>561</v>
      </c>
      <c r="B481" s="2">
        <v>45452</v>
      </c>
      <c r="C481" s="3" t="s">
        <v>73</v>
      </c>
      <c r="D481" s="3" t="s">
        <v>38</v>
      </c>
      <c r="E481" s="3" t="s">
        <v>53</v>
      </c>
      <c r="F481" s="3" t="s">
        <v>32</v>
      </c>
      <c r="G481" s="3" t="s">
        <v>33</v>
      </c>
      <c r="H481" s="3" t="s">
        <v>34</v>
      </c>
      <c r="I481" s="5">
        <v>3145.7</v>
      </c>
      <c r="J481" s="4">
        <v>2</v>
      </c>
      <c r="K481" s="1">
        <v>27</v>
      </c>
      <c r="L481" s="4">
        <v>420.84</v>
      </c>
      <c r="M481" s="3" t="s">
        <v>28</v>
      </c>
      <c r="N481" s="3" t="s">
        <v>22</v>
      </c>
    </row>
    <row r="482" spans="1:14" x14ac:dyDescent="0.3">
      <c r="A482" s="3" t="s">
        <v>562</v>
      </c>
      <c r="B482" s="2">
        <v>45759</v>
      </c>
      <c r="C482" s="3" t="s">
        <v>99</v>
      </c>
      <c r="D482" s="3" t="s">
        <v>89</v>
      </c>
      <c r="E482" s="3" t="s">
        <v>97</v>
      </c>
      <c r="F482" s="3" t="s">
        <v>62</v>
      </c>
      <c r="G482" s="3" t="s">
        <v>103</v>
      </c>
      <c r="H482" s="3" t="s">
        <v>104</v>
      </c>
      <c r="I482" s="5">
        <v>9973.44</v>
      </c>
      <c r="J482" s="4">
        <v>9</v>
      </c>
      <c r="K482" s="1">
        <v>3</v>
      </c>
      <c r="L482" s="4">
        <v>1481.17</v>
      </c>
      <c r="M482" s="3" t="s">
        <v>51</v>
      </c>
      <c r="N482" s="3" t="s">
        <v>35</v>
      </c>
    </row>
    <row r="483" spans="1:14" x14ac:dyDescent="0.3">
      <c r="A483" s="3" t="s">
        <v>563</v>
      </c>
      <c r="B483" s="2">
        <v>45636</v>
      </c>
      <c r="C483" s="3" t="s">
        <v>42</v>
      </c>
      <c r="D483" s="3" t="s">
        <v>38</v>
      </c>
      <c r="E483" s="3" t="s">
        <v>71</v>
      </c>
      <c r="F483" s="3" t="s">
        <v>32</v>
      </c>
      <c r="G483" s="3" t="s">
        <v>47</v>
      </c>
      <c r="H483" s="3" t="s">
        <v>48</v>
      </c>
      <c r="I483" s="5">
        <v>761.84</v>
      </c>
      <c r="J483" s="4">
        <v>1</v>
      </c>
      <c r="K483" s="1">
        <v>3</v>
      </c>
      <c r="L483" s="4">
        <v>166.02</v>
      </c>
      <c r="M483" s="3" t="s">
        <v>28</v>
      </c>
      <c r="N483" s="3" t="s">
        <v>22</v>
      </c>
    </row>
    <row r="484" spans="1:14" x14ac:dyDescent="0.3">
      <c r="A484" s="3" t="s">
        <v>564</v>
      </c>
      <c r="B484" s="2">
        <v>45501</v>
      </c>
      <c r="C484" s="3" t="s">
        <v>84</v>
      </c>
      <c r="D484" s="3" t="s">
        <v>56</v>
      </c>
      <c r="E484" s="3" t="s">
        <v>57</v>
      </c>
      <c r="F484" s="3" t="s">
        <v>32</v>
      </c>
      <c r="G484" s="3" t="s">
        <v>58</v>
      </c>
      <c r="H484" s="3" t="s">
        <v>59</v>
      </c>
      <c r="I484" s="5">
        <v>8936.15</v>
      </c>
      <c r="J484" s="4">
        <v>5</v>
      </c>
      <c r="K484" s="1">
        <v>18</v>
      </c>
      <c r="L484" s="4">
        <v>1054.9100000000001</v>
      </c>
      <c r="M484" s="3" t="s">
        <v>21</v>
      </c>
      <c r="N484" s="3" t="s">
        <v>44</v>
      </c>
    </row>
    <row r="485" spans="1:14" x14ac:dyDescent="0.3">
      <c r="A485" s="3" t="s">
        <v>565</v>
      </c>
      <c r="B485" s="2">
        <v>45561</v>
      </c>
      <c r="C485" s="3" t="s">
        <v>99</v>
      </c>
      <c r="D485" s="3" t="s">
        <v>89</v>
      </c>
      <c r="E485" s="3" t="s">
        <v>102</v>
      </c>
      <c r="F485" s="3" t="s">
        <v>18</v>
      </c>
      <c r="G485" s="3" t="s">
        <v>76</v>
      </c>
      <c r="H485" s="3" t="s">
        <v>77</v>
      </c>
      <c r="I485" s="5">
        <v>2313.46</v>
      </c>
      <c r="J485" s="4">
        <v>2</v>
      </c>
      <c r="K485" s="1">
        <v>11</v>
      </c>
      <c r="L485" s="4">
        <v>222.39</v>
      </c>
      <c r="M485" s="3" t="s">
        <v>28</v>
      </c>
      <c r="N485" s="3" t="s">
        <v>40</v>
      </c>
    </row>
    <row r="486" spans="1:14" x14ac:dyDescent="0.3">
      <c r="A486" s="3" t="s">
        <v>566</v>
      </c>
      <c r="B486" s="2">
        <v>45499</v>
      </c>
      <c r="C486" s="3" t="s">
        <v>50</v>
      </c>
      <c r="D486" s="3" t="s">
        <v>89</v>
      </c>
      <c r="E486" s="3" t="s">
        <v>140</v>
      </c>
      <c r="F486" s="3" t="s">
        <v>32</v>
      </c>
      <c r="G486" s="3" t="s">
        <v>58</v>
      </c>
      <c r="H486" s="3" t="s">
        <v>59</v>
      </c>
      <c r="I486" s="5">
        <v>1281.55</v>
      </c>
      <c r="J486" s="4">
        <v>5</v>
      </c>
      <c r="K486" s="1">
        <v>10</v>
      </c>
      <c r="L486" s="4">
        <v>222.4</v>
      </c>
      <c r="M486" s="3" t="s">
        <v>21</v>
      </c>
      <c r="N486" s="3" t="s">
        <v>22</v>
      </c>
    </row>
    <row r="487" spans="1:14" x14ac:dyDescent="0.3">
      <c r="A487" s="3" t="s">
        <v>567</v>
      </c>
      <c r="B487" s="2">
        <v>45504</v>
      </c>
      <c r="C487" s="3" t="s">
        <v>75</v>
      </c>
      <c r="D487" s="3" t="s">
        <v>56</v>
      </c>
      <c r="E487" s="3" t="s">
        <v>61</v>
      </c>
      <c r="F487" s="3" t="s">
        <v>18</v>
      </c>
      <c r="G487" s="3" t="s">
        <v>94</v>
      </c>
      <c r="H487" s="3" t="s">
        <v>95</v>
      </c>
      <c r="I487" s="5">
        <v>530.74</v>
      </c>
      <c r="J487" s="4">
        <v>2</v>
      </c>
      <c r="K487" s="1">
        <v>26</v>
      </c>
      <c r="L487" s="4">
        <v>28.29</v>
      </c>
      <c r="M487" s="3" t="s">
        <v>51</v>
      </c>
      <c r="N487" s="3" t="s">
        <v>22</v>
      </c>
    </row>
    <row r="488" spans="1:14" x14ac:dyDescent="0.3">
      <c r="A488" s="3" t="s">
        <v>568</v>
      </c>
      <c r="B488" s="2">
        <v>45673</v>
      </c>
      <c r="C488" s="3" t="s">
        <v>101</v>
      </c>
      <c r="D488" s="3" t="s">
        <v>89</v>
      </c>
      <c r="E488" s="3" t="s">
        <v>140</v>
      </c>
      <c r="F488" s="3" t="s">
        <v>18</v>
      </c>
      <c r="G488" s="3" t="s">
        <v>26</v>
      </c>
      <c r="H488" s="3" t="s">
        <v>27</v>
      </c>
      <c r="I488" s="5">
        <v>491.79</v>
      </c>
      <c r="J488" s="4">
        <v>3</v>
      </c>
      <c r="K488" s="1">
        <v>26</v>
      </c>
      <c r="L488" s="4">
        <v>87.76</v>
      </c>
      <c r="M488" s="3" t="s">
        <v>21</v>
      </c>
      <c r="N488" s="3" t="s">
        <v>44</v>
      </c>
    </row>
    <row r="489" spans="1:14" x14ac:dyDescent="0.3">
      <c r="A489" s="3" t="s">
        <v>569</v>
      </c>
      <c r="B489" s="2">
        <v>45488</v>
      </c>
      <c r="C489" s="3" t="s">
        <v>75</v>
      </c>
      <c r="D489" s="3" t="s">
        <v>89</v>
      </c>
      <c r="E489" s="3" t="s">
        <v>140</v>
      </c>
      <c r="F489" s="3" t="s">
        <v>32</v>
      </c>
      <c r="G489" s="3" t="s">
        <v>112</v>
      </c>
      <c r="H489" s="3" t="s">
        <v>113</v>
      </c>
      <c r="I489" s="5">
        <v>3736.05</v>
      </c>
      <c r="J489" s="4">
        <v>3</v>
      </c>
      <c r="K489" s="1">
        <v>18</v>
      </c>
      <c r="L489" s="4">
        <v>717.16</v>
      </c>
      <c r="M489" s="3" t="s">
        <v>28</v>
      </c>
      <c r="N489" s="3" t="s">
        <v>44</v>
      </c>
    </row>
    <row r="490" spans="1:14" x14ac:dyDescent="0.3">
      <c r="A490" s="3" t="s">
        <v>570</v>
      </c>
      <c r="B490" s="2">
        <v>45763</v>
      </c>
      <c r="C490" s="3" t="s">
        <v>42</v>
      </c>
      <c r="D490" s="3" t="s">
        <v>56</v>
      </c>
      <c r="E490" s="3" t="s">
        <v>57</v>
      </c>
      <c r="F490" s="3" t="s">
        <v>62</v>
      </c>
      <c r="G490" s="3" t="s">
        <v>63</v>
      </c>
      <c r="H490" s="3" t="s">
        <v>64</v>
      </c>
      <c r="I490" s="5">
        <v>7353.8</v>
      </c>
      <c r="J490" s="4">
        <v>10</v>
      </c>
      <c r="K490" s="1">
        <v>3</v>
      </c>
      <c r="L490" s="4">
        <v>455.34</v>
      </c>
      <c r="M490" s="3" t="s">
        <v>21</v>
      </c>
      <c r="N490" s="3" t="s">
        <v>22</v>
      </c>
    </row>
    <row r="491" spans="1:14" x14ac:dyDescent="0.3">
      <c r="A491" s="3" t="s">
        <v>571</v>
      </c>
      <c r="B491" s="2">
        <v>45443</v>
      </c>
      <c r="C491" s="3" t="s">
        <v>50</v>
      </c>
      <c r="D491" s="3" t="s">
        <v>56</v>
      </c>
      <c r="E491" s="3" t="s">
        <v>61</v>
      </c>
      <c r="F491" s="3" t="s">
        <v>32</v>
      </c>
      <c r="G491" s="3" t="s">
        <v>47</v>
      </c>
      <c r="H491" s="3" t="s">
        <v>48</v>
      </c>
      <c r="I491" s="5">
        <v>1414.56</v>
      </c>
      <c r="J491" s="4">
        <v>4</v>
      </c>
      <c r="K491" s="1">
        <v>16</v>
      </c>
      <c r="L491" s="4">
        <v>234.02</v>
      </c>
      <c r="M491" s="3" t="s">
        <v>21</v>
      </c>
      <c r="N491" s="3" t="s">
        <v>44</v>
      </c>
    </row>
    <row r="492" spans="1:14" x14ac:dyDescent="0.3">
      <c r="A492" s="3" t="s">
        <v>572</v>
      </c>
      <c r="B492" s="2">
        <v>45536</v>
      </c>
      <c r="C492" s="3" t="s">
        <v>42</v>
      </c>
      <c r="D492" s="3" t="s">
        <v>38</v>
      </c>
      <c r="E492" s="3" t="s">
        <v>53</v>
      </c>
      <c r="F492" s="3" t="s">
        <v>62</v>
      </c>
      <c r="G492" s="3" t="s">
        <v>80</v>
      </c>
      <c r="H492" s="3" t="s">
        <v>81</v>
      </c>
      <c r="I492" s="5">
        <v>9984.33</v>
      </c>
      <c r="J492" s="4">
        <v>9</v>
      </c>
      <c r="K492" s="1">
        <v>21</v>
      </c>
      <c r="L492" s="4">
        <v>898.2</v>
      </c>
      <c r="M492" s="3" t="s">
        <v>28</v>
      </c>
      <c r="N492" s="3" t="s">
        <v>44</v>
      </c>
    </row>
    <row r="493" spans="1:14" x14ac:dyDescent="0.3">
      <c r="A493" s="3" t="s">
        <v>573</v>
      </c>
      <c r="B493" s="2">
        <v>45451</v>
      </c>
      <c r="C493" s="3" t="s">
        <v>101</v>
      </c>
      <c r="D493" s="3" t="s">
        <v>56</v>
      </c>
      <c r="E493" s="3" t="s">
        <v>108</v>
      </c>
      <c r="F493" s="3" t="s">
        <v>62</v>
      </c>
      <c r="G493" s="3" t="s">
        <v>80</v>
      </c>
      <c r="H493" s="3" t="s">
        <v>81</v>
      </c>
      <c r="I493" s="5">
        <v>2103.2600000000002</v>
      </c>
      <c r="J493" s="4">
        <v>2</v>
      </c>
      <c r="K493" s="1">
        <v>25</v>
      </c>
      <c r="L493" s="4">
        <v>99.21</v>
      </c>
      <c r="M493" s="3" t="s">
        <v>28</v>
      </c>
      <c r="N493" s="3" t="s">
        <v>40</v>
      </c>
    </row>
    <row r="494" spans="1:14" x14ac:dyDescent="0.3">
      <c r="A494" s="3" t="s">
        <v>574</v>
      </c>
      <c r="B494" s="2">
        <v>45525</v>
      </c>
      <c r="C494" s="3" t="s">
        <v>66</v>
      </c>
      <c r="D494" s="3" t="s">
        <v>16</v>
      </c>
      <c r="E494" s="3" t="s">
        <v>31</v>
      </c>
      <c r="F494" s="3" t="s">
        <v>18</v>
      </c>
      <c r="G494" s="3" t="s">
        <v>94</v>
      </c>
      <c r="H494" s="3" t="s">
        <v>95</v>
      </c>
      <c r="I494" s="5">
        <v>7538.86</v>
      </c>
      <c r="J494" s="4">
        <v>7</v>
      </c>
      <c r="K494" s="1">
        <v>13</v>
      </c>
      <c r="L494" s="4">
        <v>716.85</v>
      </c>
      <c r="M494" s="3" t="s">
        <v>51</v>
      </c>
      <c r="N494" s="3" t="s">
        <v>40</v>
      </c>
    </row>
    <row r="495" spans="1:14" x14ac:dyDescent="0.3">
      <c r="A495" s="3" t="s">
        <v>575</v>
      </c>
      <c r="B495" s="2">
        <v>45531</v>
      </c>
      <c r="C495" s="3" t="s">
        <v>37</v>
      </c>
      <c r="D495" s="3" t="s">
        <v>56</v>
      </c>
      <c r="E495" s="3" t="s">
        <v>61</v>
      </c>
      <c r="F495" s="3" t="s">
        <v>18</v>
      </c>
      <c r="G495" s="3" t="s">
        <v>94</v>
      </c>
      <c r="H495" s="3" t="s">
        <v>95</v>
      </c>
      <c r="I495" s="5">
        <v>2970.4</v>
      </c>
      <c r="J495" s="4">
        <v>4</v>
      </c>
      <c r="K495" s="1">
        <v>6</v>
      </c>
      <c r="L495" s="4">
        <v>386.71</v>
      </c>
      <c r="M495" s="3" t="s">
        <v>28</v>
      </c>
      <c r="N495" s="3" t="s">
        <v>35</v>
      </c>
    </row>
    <row r="496" spans="1:14" x14ac:dyDescent="0.3">
      <c r="A496" s="3" t="s">
        <v>576</v>
      </c>
      <c r="B496" s="2">
        <v>45655</v>
      </c>
      <c r="C496" s="3" t="s">
        <v>30</v>
      </c>
      <c r="D496" s="3" t="s">
        <v>89</v>
      </c>
      <c r="E496" s="3" t="s">
        <v>97</v>
      </c>
      <c r="F496" s="3" t="s">
        <v>18</v>
      </c>
      <c r="G496" s="3" t="s">
        <v>76</v>
      </c>
      <c r="H496" s="3" t="s">
        <v>77</v>
      </c>
      <c r="I496" s="5">
        <v>5463.93</v>
      </c>
      <c r="J496" s="4">
        <v>3</v>
      </c>
      <c r="K496" s="1">
        <v>7.0000000000000009</v>
      </c>
      <c r="L496" s="4">
        <v>754.17</v>
      </c>
      <c r="M496" s="3" t="s">
        <v>21</v>
      </c>
      <c r="N496" s="3" t="s">
        <v>44</v>
      </c>
    </row>
    <row r="497" spans="1:14" x14ac:dyDescent="0.3">
      <c r="A497" s="3" t="s">
        <v>577</v>
      </c>
      <c r="B497" s="2">
        <v>45646</v>
      </c>
      <c r="C497" s="3" t="s">
        <v>15</v>
      </c>
      <c r="D497" s="3" t="s">
        <v>38</v>
      </c>
      <c r="E497" s="3" t="s">
        <v>39</v>
      </c>
      <c r="F497" s="3" t="s">
        <v>62</v>
      </c>
      <c r="G497" s="3" t="s">
        <v>103</v>
      </c>
      <c r="H497" s="3" t="s">
        <v>104</v>
      </c>
      <c r="I497" s="5">
        <v>14389.68</v>
      </c>
      <c r="J497" s="4">
        <v>8</v>
      </c>
      <c r="K497" s="1">
        <v>20</v>
      </c>
      <c r="L497" s="4">
        <v>2077</v>
      </c>
      <c r="M497" s="3" t="s">
        <v>28</v>
      </c>
      <c r="N497" s="3" t="s">
        <v>35</v>
      </c>
    </row>
    <row r="498" spans="1:14" x14ac:dyDescent="0.3">
      <c r="A498" s="3" t="s">
        <v>578</v>
      </c>
      <c r="B498" s="2">
        <v>45662</v>
      </c>
      <c r="C498" s="3" t="s">
        <v>50</v>
      </c>
      <c r="D498" s="3" t="s">
        <v>38</v>
      </c>
      <c r="E498" s="3" t="s">
        <v>53</v>
      </c>
      <c r="F498" s="3" t="s">
        <v>62</v>
      </c>
      <c r="G498" s="3" t="s">
        <v>80</v>
      </c>
      <c r="H498" s="3" t="s">
        <v>81</v>
      </c>
      <c r="I498" s="5">
        <v>4511.71</v>
      </c>
      <c r="J498" s="4">
        <v>7</v>
      </c>
      <c r="K498" s="1">
        <v>16</v>
      </c>
      <c r="L498" s="4">
        <v>356.29</v>
      </c>
      <c r="M498" s="3" t="s">
        <v>21</v>
      </c>
      <c r="N498" s="3" t="s">
        <v>44</v>
      </c>
    </row>
    <row r="499" spans="1:14" x14ac:dyDescent="0.3">
      <c r="A499" s="3" t="s">
        <v>579</v>
      </c>
      <c r="B499" s="2">
        <v>45531</v>
      </c>
      <c r="C499" s="3" t="s">
        <v>50</v>
      </c>
      <c r="D499" s="3" t="s">
        <v>89</v>
      </c>
      <c r="E499" s="3" t="s">
        <v>97</v>
      </c>
      <c r="F499" s="3" t="s">
        <v>18</v>
      </c>
      <c r="G499" s="3" t="s">
        <v>76</v>
      </c>
      <c r="H499" s="3" t="s">
        <v>77</v>
      </c>
      <c r="I499" s="5">
        <v>1581.54</v>
      </c>
      <c r="J499" s="4">
        <v>6</v>
      </c>
      <c r="K499" s="1">
        <v>27</v>
      </c>
      <c r="L499" s="4">
        <v>158.66</v>
      </c>
      <c r="M499" s="3" t="s">
        <v>51</v>
      </c>
      <c r="N499" s="3" t="s">
        <v>44</v>
      </c>
    </row>
    <row r="500" spans="1:14" x14ac:dyDescent="0.3">
      <c r="A500" s="3" t="s">
        <v>580</v>
      </c>
      <c r="B500" s="2">
        <v>45720</v>
      </c>
      <c r="C500" s="3" t="s">
        <v>101</v>
      </c>
      <c r="D500" s="3" t="s">
        <v>38</v>
      </c>
      <c r="E500" s="3" t="s">
        <v>39</v>
      </c>
      <c r="F500" s="3" t="s">
        <v>18</v>
      </c>
      <c r="G500" s="3" t="s">
        <v>26</v>
      </c>
      <c r="H500" s="3" t="s">
        <v>27</v>
      </c>
      <c r="I500" s="5">
        <v>4494.21</v>
      </c>
      <c r="J500" s="4">
        <v>3</v>
      </c>
      <c r="K500" s="1">
        <v>26</v>
      </c>
      <c r="L500" s="4">
        <v>653.80999999999995</v>
      </c>
      <c r="M500" s="3" t="s">
        <v>51</v>
      </c>
      <c r="N500" s="3" t="s">
        <v>35</v>
      </c>
    </row>
    <row r="501" spans="1:14" x14ac:dyDescent="0.3">
      <c r="A501" s="3" t="s">
        <v>581</v>
      </c>
      <c r="B501" s="2">
        <v>45479</v>
      </c>
      <c r="C501" s="3" t="s">
        <v>15</v>
      </c>
      <c r="D501" s="3" t="s">
        <v>56</v>
      </c>
      <c r="E501" s="3" t="s">
        <v>61</v>
      </c>
      <c r="F501" s="3" t="s">
        <v>18</v>
      </c>
      <c r="G501" s="3" t="s">
        <v>94</v>
      </c>
      <c r="H501" s="3" t="s">
        <v>95</v>
      </c>
      <c r="I501" s="5">
        <v>6534.72</v>
      </c>
      <c r="J501" s="4">
        <v>8</v>
      </c>
      <c r="K501" s="1">
        <v>1</v>
      </c>
      <c r="L501" s="4">
        <v>1102.28</v>
      </c>
      <c r="M501" s="3" t="s">
        <v>28</v>
      </c>
      <c r="N501" s="3" t="s">
        <v>40</v>
      </c>
    </row>
    <row r="502" spans="1:14" x14ac:dyDescent="0.3">
      <c r="A502" s="3" t="s">
        <v>582</v>
      </c>
      <c r="B502" s="2">
        <v>45531</v>
      </c>
      <c r="C502" s="3" t="s">
        <v>24</v>
      </c>
      <c r="D502" s="3" t="s">
        <v>89</v>
      </c>
      <c r="E502" s="3" t="s">
        <v>97</v>
      </c>
      <c r="F502" s="3" t="s">
        <v>32</v>
      </c>
      <c r="G502" s="3" t="s">
        <v>112</v>
      </c>
      <c r="H502" s="3" t="s">
        <v>113</v>
      </c>
      <c r="I502" s="5">
        <v>6106.1</v>
      </c>
      <c r="J502" s="4">
        <v>7</v>
      </c>
      <c r="K502" s="1">
        <v>14</v>
      </c>
      <c r="L502" s="4">
        <v>1300.79</v>
      </c>
      <c r="M502" s="3" t="s">
        <v>21</v>
      </c>
      <c r="N502" s="3" t="s">
        <v>22</v>
      </c>
    </row>
    <row r="503" spans="1:14" x14ac:dyDescent="0.3">
      <c r="A503" s="3" t="s">
        <v>583</v>
      </c>
      <c r="B503" s="2">
        <v>45546</v>
      </c>
      <c r="C503" s="3" t="s">
        <v>70</v>
      </c>
      <c r="D503" s="3" t="s">
        <v>38</v>
      </c>
      <c r="E503" s="3" t="s">
        <v>43</v>
      </c>
      <c r="F503" s="3" t="s">
        <v>18</v>
      </c>
      <c r="G503" s="3" t="s">
        <v>19</v>
      </c>
      <c r="H503" s="3" t="s">
        <v>20</v>
      </c>
      <c r="I503" s="5">
        <v>2830.18</v>
      </c>
      <c r="J503" s="4">
        <v>2</v>
      </c>
      <c r="K503" s="1">
        <v>10</v>
      </c>
      <c r="L503" s="4">
        <v>175.67</v>
      </c>
      <c r="M503" s="3" t="s">
        <v>51</v>
      </c>
      <c r="N503" s="3" t="s">
        <v>35</v>
      </c>
    </row>
    <row r="504" spans="1:14" x14ac:dyDescent="0.3">
      <c r="A504" s="3" t="s">
        <v>584</v>
      </c>
      <c r="B504" s="2">
        <v>45513</v>
      </c>
      <c r="C504" s="3" t="s">
        <v>30</v>
      </c>
      <c r="D504" s="3" t="s">
        <v>56</v>
      </c>
      <c r="E504" s="3" t="s">
        <v>61</v>
      </c>
      <c r="F504" s="3" t="s">
        <v>18</v>
      </c>
      <c r="G504" s="3" t="s">
        <v>94</v>
      </c>
      <c r="H504" s="3" t="s">
        <v>95</v>
      </c>
      <c r="I504" s="5">
        <v>437.66</v>
      </c>
      <c r="J504" s="4">
        <v>1</v>
      </c>
      <c r="K504" s="1">
        <v>19</v>
      </c>
      <c r="L504" s="4">
        <v>67.23</v>
      </c>
      <c r="M504" s="3" t="s">
        <v>28</v>
      </c>
      <c r="N504" s="3" t="s">
        <v>40</v>
      </c>
    </row>
    <row r="505" spans="1:14" x14ac:dyDescent="0.3">
      <c r="A505" s="3" t="s">
        <v>585</v>
      </c>
      <c r="B505" s="2">
        <v>45710</v>
      </c>
      <c r="C505" s="3" t="s">
        <v>66</v>
      </c>
      <c r="D505" s="3" t="s">
        <v>16</v>
      </c>
      <c r="E505" s="3" t="s">
        <v>31</v>
      </c>
      <c r="F505" s="3" t="s">
        <v>62</v>
      </c>
      <c r="G505" s="3" t="s">
        <v>63</v>
      </c>
      <c r="H505" s="3" t="s">
        <v>64</v>
      </c>
      <c r="I505" s="5">
        <v>749.52</v>
      </c>
      <c r="J505" s="4">
        <v>3</v>
      </c>
      <c r="K505" s="1">
        <v>29</v>
      </c>
      <c r="L505" s="4">
        <v>74.08</v>
      </c>
      <c r="M505" s="3" t="s">
        <v>51</v>
      </c>
      <c r="N505" s="3" t="s">
        <v>40</v>
      </c>
    </row>
    <row r="506" spans="1:14" x14ac:dyDescent="0.3">
      <c r="A506" s="3" t="s">
        <v>586</v>
      </c>
      <c r="B506" s="2">
        <v>45757</v>
      </c>
      <c r="C506" s="3" t="s">
        <v>99</v>
      </c>
      <c r="D506" s="3" t="s">
        <v>38</v>
      </c>
      <c r="E506" s="3" t="s">
        <v>39</v>
      </c>
      <c r="F506" s="3" t="s">
        <v>18</v>
      </c>
      <c r="G506" s="3" t="s">
        <v>19</v>
      </c>
      <c r="H506" s="3" t="s">
        <v>20</v>
      </c>
      <c r="I506" s="5">
        <v>8828</v>
      </c>
      <c r="J506" s="4">
        <v>10</v>
      </c>
      <c r="K506" s="1">
        <v>13</v>
      </c>
      <c r="L506" s="4">
        <v>497.23</v>
      </c>
      <c r="M506" s="3" t="s">
        <v>21</v>
      </c>
      <c r="N506" s="3" t="s">
        <v>35</v>
      </c>
    </row>
    <row r="507" spans="1:14" x14ac:dyDescent="0.3">
      <c r="A507" s="3" t="s">
        <v>587</v>
      </c>
      <c r="B507" s="2">
        <v>45580</v>
      </c>
      <c r="C507" s="3" t="s">
        <v>75</v>
      </c>
      <c r="D507" s="3" t="s">
        <v>16</v>
      </c>
      <c r="E507" s="3" t="s">
        <v>17</v>
      </c>
      <c r="F507" s="3" t="s">
        <v>18</v>
      </c>
      <c r="G507" s="3" t="s">
        <v>26</v>
      </c>
      <c r="H507" s="3" t="s">
        <v>27</v>
      </c>
      <c r="I507" s="5">
        <v>14981.92</v>
      </c>
      <c r="J507" s="4">
        <v>8</v>
      </c>
      <c r="K507" s="1">
        <v>7.0000000000000009</v>
      </c>
      <c r="L507" s="4">
        <v>2340.39</v>
      </c>
      <c r="M507" s="3" t="s">
        <v>21</v>
      </c>
      <c r="N507" s="3" t="s">
        <v>22</v>
      </c>
    </row>
    <row r="508" spans="1:14" x14ac:dyDescent="0.3">
      <c r="A508" s="3" t="s">
        <v>588</v>
      </c>
      <c r="B508" s="2">
        <v>45514</v>
      </c>
      <c r="C508" s="3" t="s">
        <v>86</v>
      </c>
      <c r="D508" s="3" t="s">
        <v>38</v>
      </c>
      <c r="E508" s="3" t="s">
        <v>71</v>
      </c>
      <c r="F508" s="3" t="s">
        <v>62</v>
      </c>
      <c r="G508" s="3" t="s">
        <v>63</v>
      </c>
      <c r="H508" s="3" t="s">
        <v>64</v>
      </c>
      <c r="I508" s="5">
        <v>11329.52</v>
      </c>
      <c r="J508" s="4">
        <v>8</v>
      </c>
      <c r="K508" s="1">
        <v>5</v>
      </c>
      <c r="L508" s="4">
        <v>2116.16</v>
      </c>
      <c r="M508" s="3" t="s">
        <v>28</v>
      </c>
      <c r="N508" s="3" t="s">
        <v>22</v>
      </c>
    </row>
    <row r="509" spans="1:14" x14ac:dyDescent="0.3">
      <c r="A509" s="3" t="s">
        <v>589</v>
      </c>
      <c r="B509" s="2">
        <v>45675</v>
      </c>
      <c r="C509" s="3" t="s">
        <v>70</v>
      </c>
      <c r="D509" s="3" t="s">
        <v>56</v>
      </c>
      <c r="E509" s="3" t="s">
        <v>108</v>
      </c>
      <c r="F509" s="3" t="s">
        <v>18</v>
      </c>
      <c r="G509" s="3" t="s">
        <v>76</v>
      </c>
      <c r="H509" s="3" t="s">
        <v>77</v>
      </c>
      <c r="I509" s="5">
        <v>9266.8799999999992</v>
      </c>
      <c r="J509" s="4">
        <v>8</v>
      </c>
      <c r="K509" s="1">
        <v>0</v>
      </c>
      <c r="L509" s="4">
        <v>1156.0999999999999</v>
      </c>
      <c r="M509" s="3" t="s">
        <v>21</v>
      </c>
      <c r="N509" s="3" t="s">
        <v>22</v>
      </c>
    </row>
    <row r="510" spans="1:14" x14ac:dyDescent="0.3">
      <c r="A510" s="3" t="s">
        <v>590</v>
      </c>
      <c r="B510" s="2">
        <v>45635</v>
      </c>
      <c r="C510" s="3" t="s">
        <v>84</v>
      </c>
      <c r="D510" s="3" t="s">
        <v>56</v>
      </c>
      <c r="E510" s="3" t="s">
        <v>108</v>
      </c>
      <c r="F510" s="3" t="s">
        <v>32</v>
      </c>
      <c r="G510" s="3" t="s">
        <v>58</v>
      </c>
      <c r="H510" s="3" t="s">
        <v>59</v>
      </c>
      <c r="I510" s="5">
        <v>272.92</v>
      </c>
      <c r="J510" s="4">
        <v>1</v>
      </c>
      <c r="K510" s="1">
        <v>28</v>
      </c>
      <c r="L510" s="4">
        <v>10.89</v>
      </c>
      <c r="M510" s="3" t="s">
        <v>21</v>
      </c>
      <c r="N510" s="3" t="s">
        <v>44</v>
      </c>
    </row>
    <row r="511" spans="1:14" x14ac:dyDescent="0.3">
      <c r="A511" s="3" t="s">
        <v>591</v>
      </c>
      <c r="B511" s="2">
        <v>45745</v>
      </c>
      <c r="C511" s="3" t="s">
        <v>42</v>
      </c>
      <c r="D511" s="3" t="s">
        <v>16</v>
      </c>
      <c r="E511" s="3" t="s">
        <v>25</v>
      </c>
      <c r="F511" s="3" t="s">
        <v>32</v>
      </c>
      <c r="G511" s="3" t="s">
        <v>112</v>
      </c>
      <c r="H511" s="3" t="s">
        <v>113</v>
      </c>
      <c r="I511" s="5">
        <v>4504.24</v>
      </c>
      <c r="J511" s="4">
        <v>8</v>
      </c>
      <c r="K511" s="1">
        <v>17</v>
      </c>
      <c r="L511" s="4">
        <v>247.2</v>
      </c>
      <c r="M511" s="3" t="s">
        <v>28</v>
      </c>
      <c r="N511" s="3" t="s">
        <v>35</v>
      </c>
    </row>
    <row r="512" spans="1:14" x14ac:dyDescent="0.3">
      <c r="A512" s="3" t="s">
        <v>592</v>
      </c>
      <c r="B512" s="2">
        <v>45788</v>
      </c>
      <c r="C512" s="3" t="s">
        <v>37</v>
      </c>
      <c r="D512" s="3" t="s">
        <v>38</v>
      </c>
      <c r="E512" s="3" t="s">
        <v>39</v>
      </c>
      <c r="F512" s="3" t="s">
        <v>18</v>
      </c>
      <c r="G512" s="3" t="s">
        <v>26</v>
      </c>
      <c r="H512" s="3" t="s">
        <v>27</v>
      </c>
      <c r="I512" s="5">
        <v>10977.06</v>
      </c>
      <c r="J512" s="4">
        <v>6</v>
      </c>
      <c r="K512" s="1">
        <v>25</v>
      </c>
      <c r="L512" s="4">
        <v>1104.0899999999999</v>
      </c>
      <c r="M512" s="3" t="s">
        <v>28</v>
      </c>
      <c r="N512" s="3" t="s">
        <v>35</v>
      </c>
    </row>
    <row r="513" spans="1:14" x14ac:dyDescent="0.3">
      <c r="A513" s="3" t="s">
        <v>593</v>
      </c>
      <c r="B513" s="2">
        <v>45700</v>
      </c>
      <c r="C513" s="3" t="s">
        <v>37</v>
      </c>
      <c r="D513" s="3" t="s">
        <v>89</v>
      </c>
      <c r="E513" s="3" t="s">
        <v>140</v>
      </c>
      <c r="F513" s="3" t="s">
        <v>62</v>
      </c>
      <c r="G513" s="3" t="s">
        <v>103</v>
      </c>
      <c r="H513" s="3" t="s">
        <v>104</v>
      </c>
      <c r="I513" s="5">
        <v>2171.56</v>
      </c>
      <c r="J513" s="4">
        <v>2</v>
      </c>
      <c r="K513" s="1">
        <v>13</v>
      </c>
      <c r="L513" s="4">
        <v>280.95999999999998</v>
      </c>
      <c r="M513" s="3" t="s">
        <v>21</v>
      </c>
      <c r="N513" s="3" t="s">
        <v>40</v>
      </c>
    </row>
    <row r="514" spans="1:14" x14ac:dyDescent="0.3">
      <c r="A514" s="3" t="s">
        <v>594</v>
      </c>
      <c r="B514" s="2">
        <v>45738</v>
      </c>
      <c r="C514" s="3" t="s">
        <v>86</v>
      </c>
      <c r="D514" s="3" t="s">
        <v>56</v>
      </c>
      <c r="E514" s="3" t="s">
        <v>57</v>
      </c>
      <c r="F514" s="3" t="s">
        <v>18</v>
      </c>
      <c r="G514" s="3" t="s">
        <v>76</v>
      </c>
      <c r="H514" s="3" t="s">
        <v>77</v>
      </c>
      <c r="I514" s="5">
        <v>11193.66</v>
      </c>
      <c r="J514" s="4">
        <v>6</v>
      </c>
      <c r="K514" s="1">
        <v>22</v>
      </c>
      <c r="L514" s="4">
        <v>1395.31</v>
      </c>
      <c r="M514" s="3" t="s">
        <v>51</v>
      </c>
      <c r="N514" s="3" t="s">
        <v>35</v>
      </c>
    </row>
    <row r="515" spans="1:14" x14ac:dyDescent="0.3">
      <c r="A515" s="3" t="s">
        <v>595</v>
      </c>
      <c r="B515" s="2">
        <v>45500</v>
      </c>
      <c r="C515" s="3" t="s">
        <v>75</v>
      </c>
      <c r="D515" s="3" t="s">
        <v>38</v>
      </c>
      <c r="E515" s="3" t="s">
        <v>53</v>
      </c>
      <c r="F515" s="3" t="s">
        <v>62</v>
      </c>
      <c r="G515" s="3" t="s">
        <v>63</v>
      </c>
      <c r="H515" s="3" t="s">
        <v>64</v>
      </c>
      <c r="I515" s="5">
        <v>4010.25</v>
      </c>
      <c r="J515" s="4">
        <v>3</v>
      </c>
      <c r="K515" s="1">
        <v>26</v>
      </c>
      <c r="L515" s="4">
        <v>727.88</v>
      </c>
      <c r="M515" s="3" t="s">
        <v>21</v>
      </c>
      <c r="N515" s="3" t="s">
        <v>22</v>
      </c>
    </row>
    <row r="516" spans="1:14" x14ac:dyDescent="0.3">
      <c r="A516" s="3" t="s">
        <v>596</v>
      </c>
      <c r="B516" s="2">
        <v>45487</v>
      </c>
      <c r="C516" s="3" t="s">
        <v>70</v>
      </c>
      <c r="D516" s="3" t="s">
        <v>56</v>
      </c>
      <c r="E516" s="3" t="s">
        <v>61</v>
      </c>
      <c r="F516" s="3" t="s">
        <v>62</v>
      </c>
      <c r="G516" s="3" t="s">
        <v>80</v>
      </c>
      <c r="H516" s="3" t="s">
        <v>81</v>
      </c>
      <c r="I516" s="5">
        <v>4750.32</v>
      </c>
      <c r="J516" s="4">
        <v>4</v>
      </c>
      <c r="K516" s="1">
        <v>4</v>
      </c>
      <c r="L516" s="4">
        <v>734.25</v>
      </c>
      <c r="M516" s="3" t="s">
        <v>28</v>
      </c>
      <c r="N516" s="3" t="s">
        <v>35</v>
      </c>
    </row>
    <row r="517" spans="1:14" x14ac:dyDescent="0.3">
      <c r="A517" s="3" t="s">
        <v>597</v>
      </c>
      <c r="B517" s="2">
        <v>45575</v>
      </c>
      <c r="C517" s="3" t="s">
        <v>99</v>
      </c>
      <c r="D517" s="3" t="s">
        <v>56</v>
      </c>
      <c r="E517" s="3" t="s">
        <v>108</v>
      </c>
      <c r="F517" s="3" t="s">
        <v>18</v>
      </c>
      <c r="G517" s="3" t="s">
        <v>76</v>
      </c>
      <c r="H517" s="3" t="s">
        <v>77</v>
      </c>
      <c r="I517" s="5">
        <v>10634.96</v>
      </c>
      <c r="J517" s="4">
        <v>7</v>
      </c>
      <c r="K517" s="1">
        <v>26</v>
      </c>
      <c r="L517" s="4">
        <v>1835.22</v>
      </c>
      <c r="M517" s="3" t="s">
        <v>28</v>
      </c>
      <c r="N517" s="3" t="s">
        <v>35</v>
      </c>
    </row>
    <row r="518" spans="1:14" x14ac:dyDescent="0.3">
      <c r="A518" s="3" t="s">
        <v>598</v>
      </c>
      <c r="B518" s="2">
        <v>45566</v>
      </c>
      <c r="C518" s="3" t="s">
        <v>30</v>
      </c>
      <c r="D518" s="3" t="s">
        <v>56</v>
      </c>
      <c r="E518" s="3" t="s">
        <v>57</v>
      </c>
      <c r="F518" s="3" t="s">
        <v>62</v>
      </c>
      <c r="G518" s="3" t="s">
        <v>80</v>
      </c>
      <c r="H518" s="3" t="s">
        <v>81</v>
      </c>
      <c r="I518" s="5">
        <v>8077.59</v>
      </c>
      <c r="J518" s="4">
        <v>9</v>
      </c>
      <c r="K518" s="1">
        <v>14</v>
      </c>
      <c r="L518" s="4">
        <v>1715</v>
      </c>
      <c r="M518" s="3" t="s">
        <v>51</v>
      </c>
      <c r="N518" s="3" t="s">
        <v>40</v>
      </c>
    </row>
    <row r="519" spans="1:14" x14ac:dyDescent="0.3">
      <c r="A519" s="3" t="s">
        <v>599</v>
      </c>
      <c r="B519" s="2">
        <v>45517</v>
      </c>
      <c r="C519" s="3" t="s">
        <v>42</v>
      </c>
      <c r="D519" s="3" t="s">
        <v>56</v>
      </c>
      <c r="E519" s="3" t="s">
        <v>108</v>
      </c>
      <c r="F519" s="3" t="s">
        <v>18</v>
      </c>
      <c r="G519" s="3" t="s">
        <v>94</v>
      </c>
      <c r="H519" s="3" t="s">
        <v>95</v>
      </c>
      <c r="I519" s="5">
        <v>6500.83</v>
      </c>
      <c r="J519" s="4">
        <v>7</v>
      </c>
      <c r="K519" s="1">
        <v>4</v>
      </c>
      <c r="L519" s="4">
        <v>487.42</v>
      </c>
      <c r="M519" s="3" t="s">
        <v>28</v>
      </c>
      <c r="N519" s="3" t="s">
        <v>35</v>
      </c>
    </row>
    <row r="520" spans="1:14" x14ac:dyDescent="0.3">
      <c r="A520" s="3" t="s">
        <v>600</v>
      </c>
      <c r="B520" s="2">
        <v>45773</v>
      </c>
      <c r="C520" s="3" t="s">
        <v>101</v>
      </c>
      <c r="D520" s="3" t="s">
        <v>56</v>
      </c>
      <c r="E520" s="3" t="s">
        <v>61</v>
      </c>
      <c r="F520" s="3" t="s">
        <v>18</v>
      </c>
      <c r="G520" s="3" t="s">
        <v>26</v>
      </c>
      <c r="H520" s="3" t="s">
        <v>27</v>
      </c>
      <c r="I520" s="5">
        <v>1274.67</v>
      </c>
      <c r="J520" s="4">
        <v>1</v>
      </c>
      <c r="K520" s="1">
        <v>29</v>
      </c>
      <c r="L520" s="4">
        <v>80.58</v>
      </c>
      <c r="M520" s="3" t="s">
        <v>21</v>
      </c>
      <c r="N520" s="3" t="s">
        <v>44</v>
      </c>
    </row>
    <row r="521" spans="1:14" x14ac:dyDescent="0.3">
      <c r="A521" s="3" t="s">
        <v>601</v>
      </c>
      <c r="B521" s="2">
        <v>45432</v>
      </c>
      <c r="C521" s="3" t="s">
        <v>50</v>
      </c>
      <c r="D521" s="3" t="s">
        <v>56</v>
      </c>
      <c r="E521" s="3" t="s">
        <v>57</v>
      </c>
      <c r="F521" s="3" t="s">
        <v>18</v>
      </c>
      <c r="G521" s="3" t="s">
        <v>26</v>
      </c>
      <c r="H521" s="3" t="s">
        <v>27</v>
      </c>
      <c r="I521" s="5">
        <v>691.44</v>
      </c>
      <c r="J521" s="4">
        <v>1</v>
      </c>
      <c r="K521" s="1">
        <v>7.0000000000000009</v>
      </c>
      <c r="L521" s="4">
        <v>70.819999999999993</v>
      </c>
      <c r="M521" s="3" t="s">
        <v>21</v>
      </c>
      <c r="N521" s="3" t="s">
        <v>40</v>
      </c>
    </row>
    <row r="522" spans="1:14" x14ac:dyDescent="0.3">
      <c r="A522" s="3" t="s">
        <v>602</v>
      </c>
      <c r="B522" s="2">
        <v>45522</v>
      </c>
      <c r="C522" s="3" t="s">
        <v>75</v>
      </c>
      <c r="D522" s="3" t="s">
        <v>56</v>
      </c>
      <c r="E522" s="3" t="s">
        <v>57</v>
      </c>
      <c r="F522" s="3" t="s">
        <v>62</v>
      </c>
      <c r="G522" s="3" t="s">
        <v>80</v>
      </c>
      <c r="H522" s="3" t="s">
        <v>81</v>
      </c>
      <c r="I522" s="5">
        <v>4727.04</v>
      </c>
      <c r="J522" s="4">
        <v>8</v>
      </c>
      <c r="K522" s="1">
        <v>7.0000000000000009</v>
      </c>
      <c r="L522" s="4">
        <v>897.77</v>
      </c>
      <c r="M522" s="3" t="s">
        <v>51</v>
      </c>
      <c r="N522" s="3" t="s">
        <v>44</v>
      </c>
    </row>
    <row r="523" spans="1:14" x14ac:dyDescent="0.3">
      <c r="A523" s="3" t="s">
        <v>603</v>
      </c>
      <c r="B523" s="2">
        <v>45587</v>
      </c>
      <c r="C523" s="3" t="s">
        <v>24</v>
      </c>
      <c r="D523" s="3" t="s">
        <v>38</v>
      </c>
      <c r="E523" s="3" t="s">
        <v>39</v>
      </c>
      <c r="F523" s="3" t="s">
        <v>62</v>
      </c>
      <c r="G523" s="3" t="s">
        <v>80</v>
      </c>
      <c r="H523" s="3" t="s">
        <v>81</v>
      </c>
      <c r="I523" s="5">
        <v>1537.62</v>
      </c>
      <c r="J523" s="4">
        <v>2</v>
      </c>
      <c r="K523" s="1">
        <v>16</v>
      </c>
      <c r="L523" s="4">
        <v>200.98</v>
      </c>
      <c r="M523" s="3" t="s">
        <v>51</v>
      </c>
      <c r="N523" s="3" t="s">
        <v>35</v>
      </c>
    </row>
    <row r="524" spans="1:14" x14ac:dyDescent="0.3">
      <c r="A524" s="3" t="s">
        <v>604</v>
      </c>
      <c r="B524" s="2">
        <v>45527</v>
      </c>
      <c r="C524" s="3" t="s">
        <v>30</v>
      </c>
      <c r="D524" s="3" t="s">
        <v>16</v>
      </c>
      <c r="E524" s="3" t="s">
        <v>17</v>
      </c>
      <c r="F524" s="3" t="s">
        <v>32</v>
      </c>
      <c r="G524" s="3" t="s">
        <v>58</v>
      </c>
      <c r="H524" s="3" t="s">
        <v>59</v>
      </c>
      <c r="I524" s="5">
        <v>1810.43</v>
      </c>
      <c r="J524" s="4">
        <v>1</v>
      </c>
      <c r="K524" s="1">
        <v>23</v>
      </c>
      <c r="L524" s="4">
        <v>137.33000000000001</v>
      </c>
      <c r="M524" s="3" t="s">
        <v>51</v>
      </c>
      <c r="N524" s="3" t="s">
        <v>40</v>
      </c>
    </row>
    <row r="525" spans="1:14" x14ac:dyDescent="0.3">
      <c r="A525" s="3" t="s">
        <v>605</v>
      </c>
      <c r="B525" s="2">
        <v>45753</v>
      </c>
      <c r="C525" s="3" t="s">
        <v>99</v>
      </c>
      <c r="D525" s="3" t="s">
        <v>89</v>
      </c>
      <c r="E525" s="3" t="s">
        <v>90</v>
      </c>
      <c r="F525" s="3" t="s">
        <v>32</v>
      </c>
      <c r="G525" s="3" t="s">
        <v>112</v>
      </c>
      <c r="H525" s="3" t="s">
        <v>113</v>
      </c>
      <c r="I525" s="5">
        <v>3655.08</v>
      </c>
      <c r="J525" s="4">
        <v>6</v>
      </c>
      <c r="K525" s="1">
        <v>24</v>
      </c>
      <c r="L525" s="4">
        <v>312.39999999999998</v>
      </c>
      <c r="M525" s="3" t="s">
        <v>51</v>
      </c>
      <c r="N525" s="3" t="s">
        <v>44</v>
      </c>
    </row>
    <row r="526" spans="1:14" x14ac:dyDescent="0.3">
      <c r="A526" s="3" t="s">
        <v>606</v>
      </c>
      <c r="B526" s="2">
        <v>45472</v>
      </c>
      <c r="C526" s="3" t="s">
        <v>133</v>
      </c>
      <c r="D526" s="3" t="s">
        <v>89</v>
      </c>
      <c r="E526" s="3" t="s">
        <v>90</v>
      </c>
      <c r="F526" s="3" t="s">
        <v>18</v>
      </c>
      <c r="G526" s="3" t="s">
        <v>94</v>
      </c>
      <c r="H526" s="3" t="s">
        <v>95</v>
      </c>
      <c r="I526" s="5">
        <v>13777.2</v>
      </c>
      <c r="J526" s="4">
        <v>8</v>
      </c>
      <c r="K526" s="1">
        <v>26</v>
      </c>
      <c r="L526" s="4">
        <v>1489.44</v>
      </c>
      <c r="M526" s="3" t="s">
        <v>28</v>
      </c>
      <c r="N526" s="3" t="s">
        <v>35</v>
      </c>
    </row>
    <row r="527" spans="1:14" x14ac:dyDescent="0.3">
      <c r="A527" s="3" t="s">
        <v>607</v>
      </c>
      <c r="B527" s="2">
        <v>45460</v>
      </c>
      <c r="C527" s="3" t="s">
        <v>133</v>
      </c>
      <c r="D527" s="3" t="s">
        <v>89</v>
      </c>
      <c r="E527" s="3" t="s">
        <v>140</v>
      </c>
      <c r="F527" s="3" t="s">
        <v>32</v>
      </c>
      <c r="G527" s="3" t="s">
        <v>112</v>
      </c>
      <c r="H527" s="3" t="s">
        <v>113</v>
      </c>
      <c r="I527" s="5">
        <v>885.69</v>
      </c>
      <c r="J527" s="4">
        <v>3</v>
      </c>
      <c r="K527" s="1">
        <v>9</v>
      </c>
      <c r="L527" s="4">
        <v>163.4</v>
      </c>
      <c r="M527" s="3" t="s">
        <v>21</v>
      </c>
      <c r="N527" s="3" t="s">
        <v>35</v>
      </c>
    </row>
    <row r="528" spans="1:14" x14ac:dyDescent="0.3">
      <c r="A528" s="3" t="s">
        <v>608</v>
      </c>
      <c r="B528" s="2">
        <v>45453</v>
      </c>
      <c r="C528" s="3" t="s">
        <v>50</v>
      </c>
      <c r="D528" s="3" t="s">
        <v>16</v>
      </c>
      <c r="E528" s="3" t="s">
        <v>25</v>
      </c>
      <c r="F528" s="3" t="s">
        <v>32</v>
      </c>
      <c r="G528" s="3" t="s">
        <v>58</v>
      </c>
      <c r="H528" s="3" t="s">
        <v>59</v>
      </c>
      <c r="I528" s="5">
        <v>2487.84</v>
      </c>
      <c r="J528" s="4">
        <v>3</v>
      </c>
      <c r="K528" s="1">
        <v>14</v>
      </c>
      <c r="L528" s="4">
        <v>238.19</v>
      </c>
      <c r="M528" s="3" t="s">
        <v>21</v>
      </c>
      <c r="N528" s="3" t="s">
        <v>35</v>
      </c>
    </row>
    <row r="529" spans="1:14" x14ac:dyDescent="0.3">
      <c r="A529" s="3" t="s">
        <v>609</v>
      </c>
      <c r="B529" s="2">
        <v>45581</v>
      </c>
      <c r="C529" s="3" t="s">
        <v>70</v>
      </c>
      <c r="D529" s="3" t="s">
        <v>38</v>
      </c>
      <c r="E529" s="3" t="s">
        <v>43</v>
      </c>
      <c r="F529" s="3" t="s">
        <v>18</v>
      </c>
      <c r="G529" s="3" t="s">
        <v>19</v>
      </c>
      <c r="H529" s="3" t="s">
        <v>20</v>
      </c>
      <c r="I529" s="5">
        <v>5495.37</v>
      </c>
      <c r="J529" s="4">
        <v>3</v>
      </c>
      <c r="K529" s="1">
        <v>23</v>
      </c>
      <c r="L529" s="4">
        <v>446.3</v>
      </c>
      <c r="M529" s="3" t="s">
        <v>51</v>
      </c>
      <c r="N529" s="3" t="s">
        <v>35</v>
      </c>
    </row>
    <row r="530" spans="1:14" x14ac:dyDescent="0.3">
      <c r="A530" s="3" t="s">
        <v>610</v>
      </c>
      <c r="B530" s="2">
        <v>45437</v>
      </c>
      <c r="C530" s="3" t="s">
        <v>86</v>
      </c>
      <c r="D530" s="3" t="s">
        <v>89</v>
      </c>
      <c r="E530" s="3" t="s">
        <v>90</v>
      </c>
      <c r="F530" s="3" t="s">
        <v>18</v>
      </c>
      <c r="G530" s="3" t="s">
        <v>19</v>
      </c>
      <c r="H530" s="3" t="s">
        <v>20</v>
      </c>
      <c r="I530" s="5">
        <v>1442.88</v>
      </c>
      <c r="J530" s="4">
        <v>4</v>
      </c>
      <c r="K530" s="1">
        <v>26</v>
      </c>
      <c r="L530" s="4">
        <v>102.37</v>
      </c>
      <c r="M530" s="3" t="s">
        <v>21</v>
      </c>
      <c r="N530" s="3" t="s">
        <v>35</v>
      </c>
    </row>
    <row r="531" spans="1:14" x14ac:dyDescent="0.3">
      <c r="A531" s="3" t="s">
        <v>611</v>
      </c>
      <c r="B531" s="2">
        <v>45543</v>
      </c>
      <c r="C531" s="3" t="s">
        <v>42</v>
      </c>
      <c r="D531" s="3" t="s">
        <v>16</v>
      </c>
      <c r="E531" s="3" t="s">
        <v>31</v>
      </c>
      <c r="F531" s="3" t="s">
        <v>62</v>
      </c>
      <c r="G531" s="3" t="s">
        <v>103</v>
      </c>
      <c r="H531" s="3" t="s">
        <v>104</v>
      </c>
      <c r="I531" s="5">
        <v>2633.13</v>
      </c>
      <c r="J531" s="4">
        <v>3</v>
      </c>
      <c r="K531" s="1">
        <v>25</v>
      </c>
      <c r="L531" s="4">
        <v>115.07</v>
      </c>
      <c r="M531" s="3" t="s">
        <v>21</v>
      </c>
      <c r="N531" s="3" t="s">
        <v>35</v>
      </c>
    </row>
    <row r="532" spans="1:14" x14ac:dyDescent="0.3">
      <c r="A532" s="3" t="s">
        <v>612</v>
      </c>
      <c r="B532" s="2">
        <v>45608</v>
      </c>
      <c r="C532" s="3" t="s">
        <v>50</v>
      </c>
      <c r="D532" s="3" t="s">
        <v>38</v>
      </c>
      <c r="E532" s="3" t="s">
        <v>71</v>
      </c>
      <c r="F532" s="3" t="s">
        <v>32</v>
      </c>
      <c r="G532" s="3" t="s">
        <v>112</v>
      </c>
      <c r="H532" s="3" t="s">
        <v>113</v>
      </c>
      <c r="I532" s="5">
        <v>5779.32</v>
      </c>
      <c r="J532" s="4">
        <v>6</v>
      </c>
      <c r="K532" s="1">
        <v>22</v>
      </c>
      <c r="L532" s="4">
        <v>942.97</v>
      </c>
      <c r="M532" s="3" t="s">
        <v>28</v>
      </c>
      <c r="N532" s="3" t="s">
        <v>44</v>
      </c>
    </row>
    <row r="533" spans="1:14" x14ac:dyDescent="0.3">
      <c r="A533" s="3" t="s">
        <v>613</v>
      </c>
      <c r="B533" s="2">
        <v>45761</v>
      </c>
      <c r="C533" s="3" t="s">
        <v>70</v>
      </c>
      <c r="D533" s="3" t="s">
        <v>16</v>
      </c>
      <c r="E533" s="3" t="s">
        <v>25</v>
      </c>
      <c r="F533" s="3" t="s">
        <v>32</v>
      </c>
      <c r="G533" s="3" t="s">
        <v>33</v>
      </c>
      <c r="H533" s="3" t="s">
        <v>34</v>
      </c>
      <c r="I533" s="5">
        <v>7465.05</v>
      </c>
      <c r="J533" s="4">
        <v>9</v>
      </c>
      <c r="K533" s="1">
        <v>7.0000000000000009</v>
      </c>
      <c r="L533" s="4">
        <v>1321.87</v>
      </c>
      <c r="M533" s="3" t="s">
        <v>28</v>
      </c>
      <c r="N533" s="3" t="s">
        <v>22</v>
      </c>
    </row>
    <row r="534" spans="1:14" x14ac:dyDescent="0.3">
      <c r="A534" s="3" t="s">
        <v>614</v>
      </c>
      <c r="B534" s="2">
        <v>45755</v>
      </c>
      <c r="C534" s="3" t="s">
        <v>30</v>
      </c>
      <c r="D534" s="3" t="s">
        <v>89</v>
      </c>
      <c r="E534" s="3" t="s">
        <v>97</v>
      </c>
      <c r="F534" s="3" t="s">
        <v>62</v>
      </c>
      <c r="G534" s="3" t="s">
        <v>67</v>
      </c>
      <c r="H534" s="3" t="s">
        <v>68</v>
      </c>
      <c r="I534" s="5">
        <v>6946.32</v>
      </c>
      <c r="J534" s="4">
        <v>8</v>
      </c>
      <c r="K534" s="1">
        <v>9</v>
      </c>
      <c r="L534" s="4">
        <v>1002.14</v>
      </c>
      <c r="M534" s="3" t="s">
        <v>51</v>
      </c>
      <c r="N534" s="3" t="s">
        <v>44</v>
      </c>
    </row>
    <row r="535" spans="1:14" x14ac:dyDescent="0.3">
      <c r="A535" s="3" t="s">
        <v>615</v>
      </c>
      <c r="B535" s="2">
        <v>45650</v>
      </c>
      <c r="C535" s="3" t="s">
        <v>99</v>
      </c>
      <c r="D535" s="3" t="s">
        <v>16</v>
      </c>
      <c r="E535" s="3" t="s">
        <v>31</v>
      </c>
      <c r="F535" s="3" t="s">
        <v>62</v>
      </c>
      <c r="G535" s="3" t="s">
        <v>80</v>
      </c>
      <c r="H535" s="3" t="s">
        <v>81</v>
      </c>
      <c r="I535" s="5">
        <v>10411.74</v>
      </c>
      <c r="J535" s="4">
        <v>9</v>
      </c>
      <c r="K535" s="1">
        <v>8</v>
      </c>
      <c r="L535" s="4">
        <v>1770.95</v>
      </c>
      <c r="M535" s="3" t="s">
        <v>51</v>
      </c>
      <c r="N535" s="3" t="s">
        <v>40</v>
      </c>
    </row>
    <row r="536" spans="1:14" x14ac:dyDescent="0.3">
      <c r="A536" s="3" t="s">
        <v>616</v>
      </c>
      <c r="B536" s="2">
        <v>45634</v>
      </c>
      <c r="C536" s="3" t="s">
        <v>99</v>
      </c>
      <c r="D536" s="3" t="s">
        <v>16</v>
      </c>
      <c r="E536" s="3" t="s">
        <v>31</v>
      </c>
      <c r="F536" s="3" t="s">
        <v>62</v>
      </c>
      <c r="G536" s="3" t="s">
        <v>80</v>
      </c>
      <c r="H536" s="3" t="s">
        <v>81</v>
      </c>
      <c r="I536" s="5">
        <v>1582.35</v>
      </c>
      <c r="J536" s="4">
        <v>7</v>
      </c>
      <c r="K536" s="1">
        <v>23</v>
      </c>
      <c r="L536" s="4">
        <v>68.91</v>
      </c>
      <c r="M536" s="3" t="s">
        <v>28</v>
      </c>
      <c r="N536" s="3" t="s">
        <v>40</v>
      </c>
    </row>
    <row r="537" spans="1:14" x14ac:dyDescent="0.3">
      <c r="A537" s="3" t="s">
        <v>617</v>
      </c>
      <c r="B537" s="2">
        <v>45605</v>
      </c>
      <c r="C537" s="3" t="s">
        <v>24</v>
      </c>
      <c r="D537" s="3" t="s">
        <v>56</v>
      </c>
      <c r="E537" s="3" t="s">
        <v>57</v>
      </c>
      <c r="F537" s="3" t="s">
        <v>18</v>
      </c>
      <c r="G537" s="3" t="s">
        <v>26</v>
      </c>
      <c r="H537" s="3" t="s">
        <v>27</v>
      </c>
      <c r="I537" s="5">
        <v>1563.73</v>
      </c>
      <c r="J537" s="4">
        <v>7</v>
      </c>
      <c r="K537" s="1">
        <v>12</v>
      </c>
      <c r="L537" s="4">
        <v>222.25</v>
      </c>
      <c r="M537" s="3" t="s">
        <v>21</v>
      </c>
      <c r="N537" s="3" t="s">
        <v>35</v>
      </c>
    </row>
    <row r="538" spans="1:14" x14ac:dyDescent="0.3">
      <c r="A538" s="3" t="s">
        <v>618</v>
      </c>
      <c r="B538" s="2">
        <v>45650</v>
      </c>
      <c r="C538" s="3" t="s">
        <v>99</v>
      </c>
      <c r="D538" s="3" t="s">
        <v>89</v>
      </c>
      <c r="E538" s="3" t="s">
        <v>97</v>
      </c>
      <c r="F538" s="3" t="s">
        <v>32</v>
      </c>
      <c r="G538" s="3" t="s">
        <v>47</v>
      </c>
      <c r="H538" s="3" t="s">
        <v>48</v>
      </c>
      <c r="I538" s="5">
        <v>1193.28</v>
      </c>
      <c r="J538" s="4">
        <v>6</v>
      </c>
      <c r="K538" s="1">
        <v>24</v>
      </c>
      <c r="L538" s="4">
        <v>136.03</v>
      </c>
      <c r="M538" s="3" t="s">
        <v>28</v>
      </c>
      <c r="N538" s="3" t="s">
        <v>40</v>
      </c>
    </row>
    <row r="539" spans="1:14" x14ac:dyDescent="0.3">
      <c r="A539" s="3" t="s">
        <v>619</v>
      </c>
      <c r="B539" s="2">
        <v>45717</v>
      </c>
      <c r="C539" s="3" t="s">
        <v>24</v>
      </c>
      <c r="D539" s="3" t="s">
        <v>89</v>
      </c>
      <c r="E539" s="3" t="s">
        <v>102</v>
      </c>
      <c r="F539" s="3" t="s">
        <v>18</v>
      </c>
      <c r="G539" s="3" t="s">
        <v>94</v>
      </c>
      <c r="H539" s="3" t="s">
        <v>95</v>
      </c>
      <c r="I539" s="5">
        <v>7703.04</v>
      </c>
      <c r="J539" s="4">
        <v>4</v>
      </c>
      <c r="K539" s="1">
        <v>9</v>
      </c>
      <c r="L539" s="4">
        <v>723.5</v>
      </c>
      <c r="M539" s="3" t="s">
        <v>21</v>
      </c>
      <c r="N539" s="3" t="s">
        <v>22</v>
      </c>
    </row>
    <row r="540" spans="1:14" x14ac:dyDescent="0.3">
      <c r="A540" s="3" t="s">
        <v>620</v>
      </c>
      <c r="B540" s="2">
        <v>45573</v>
      </c>
      <c r="C540" s="3" t="s">
        <v>101</v>
      </c>
      <c r="D540" s="3" t="s">
        <v>38</v>
      </c>
      <c r="E540" s="3" t="s">
        <v>39</v>
      </c>
      <c r="F540" s="3" t="s">
        <v>18</v>
      </c>
      <c r="G540" s="3" t="s">
        <v>94</v>
      </c>
      <c r="H540" s="3" t="s">
        <v>95</v>
      </c>
      <c r="I540" s="5">
        <v>12330.24</v>
      </c>
      <c r="J540" s="4">
        <v>8</v>
      </c>
      <c r="K540" s="1">
        <v>8</v>
      </c>
      <c r="L540" s="4">
        <v>2302.37</v>
      </c>
      <c r="M540" s="3" t="s">
        <v>28</v>
      </c>
      <c r="N540" s="3" t="s">
        <v>44</v>
      </c>
    </row>
    <row r="541" spans="1:14" x14ac:dyDescent="0.3">
      <c r="A541" s="3" t="s">
        <v>621</v>
      </c>
      <c r="B541" s="2">
        <v>45760</v>
      </c>
      <c r="C541" s="3" t="s">
        <v>15</v>
      </c>
      <c r="D541" s="3" t="s">
        <v>38</v>
      </c>
      <c r="E541" s="3" t="s">
        <v>53</v>
      </c>
      <c r="F541" s="3" t="s">
        <v>32</v>
      </c>
      <c r="G541" s="3" t="s">
        <v>33</v>
      </c>
      <c r="H541" s="3" t="s">
        <v>34</v>
      </c>
      <c r="I541" s="5">
        <v>11304.72</v>
      </c>
      <c r="J541" s="4">
        <v>8</v>
      </c>
      <c r="K541" s="1">
        <v>7.0000000000000009</v>
      </c>
      <c r="L541" s="4">
        <v>1564.3</v>
      </c>
      <c r="M541" s="3" t="s">
        <v>21</v>
      </c>
      <c r="N541" s="3" t="s">
        <v>44</v>
      </c>
    </row>
    <row r="542" spans="1:14" x14ac:dyDescent="0.3">
      <c r="A542" s="3" t="s">
        <v>622</v>
      </c>
      <c r="B542" s="2">
        <v>45667</v>
      </c>
      <c r="C542" s="3" t="s">
        <v>99</v>
      </c>
      <c r="D542" s="3" t="s">
        <v>38</v>
      </c>
      <c r="E542" s="3" t="s">
        <v>53</v>
      </c>
      <c r="F542" s="3" t="s">
        <v>62</v>
      </c>
      <c r="G542" s="3" t="s">
        <v>103</v>
      </c>
      <c r="H542" s="3" t="s">
        <v>104</v>
      </c>
      <c r="I542" s="5">
        <v>3331.86</v>
      </c>
      <c r="J542" s="4">
        <v>2</v>
      </c>
      <c r="K542" s="1">
        <v>26</v>
      </c>
      <c r="L542" s="4">
        <v>357.4</v>
      </c>
      <c r="M542" s="3" t="s">
        <v>28</v>
      </c>
      <c r="N542" s="3" t="s">
        <v>40</v>
      </c>
    </row>
    <row r="543" spans="1:14" x14ac:dyDescent="0.3">
      <c r="A543" s="3" t="s">
        <v>623</v>
      </c>
      <c r="B543" s="2">
        <v>45619</v>
      </c>
      <c r="C543" s="3" t="s">
        <v>66</v>
      </c>
      <c r="D543" s="3" t="s">
        <v>56</v>
      </c>
      <c r="E543" s="3" t="s">
        <v>61</v>
      </c>
      <c r="F543" s="3" t="s">
        <v>32</v>
      </c>
      <c r="G543" s="3" t="s">
        <v>112</v>
      </c>
      <c r="H543" s="3" t="s">
        <v>113</v>
      </c>
      <c r="I543" s="5">
        <v>7056.28</v>
      </c>
      <c r="J543" s="4">
        <v>7</v>
      </c>
      <c r="K543" s="1">
        <v>28</v>
      </c>
      <c r="L543" s="4">
        <v>488.69</v>
      </c>
      <c r="M543" s="3" t="s">
        <v>21</v>
      </c>
      <c r="N543" s="3" t="s">
        <v>44</v>
      </c>
    </row>
    <row r="544" spans="1:14" x14ac:dyDescent="0.3">
      <c r="A544" s="3" t="s">
        <v>624</v>
      </c>
      <c r="B544" s="2">
        <v>45666</v>
      </c>
      <c r="C544" s="3" t="s">
        <v>66</v>
      </c>
      <c r="D544" s="3" t="s">
        <v>89</v>
      </c>
      <c r="E544" s="3" t="s">
        <v>90</v>
      </c>
      <c r="F544" s="3" t="s">
        <v>18</v>
      </c>
      <c r="G544" s="3" t="s">
        <v>19</v>
      </c>
      <c r="H544" s="3" t="s">
        <v>20</v>
      </c>
      <c r="I544" s="5">
        <v>2086.17</v>
      </c>
      <c r="J544" s="4">
        <v>3</v>
      </c>
      <c r="K544" s="1">
        <v>3</v>
      </c>
      <c r="L544" s="4">
        <v>120.58</v>
      </c>
      <c r="M544" s="3" t="s">
        <v>21</v>
      </c>
      <c r="N544" s="3" t="s">
        <v>35</v>
      </c>
    </row>
    <row r="545" spans="1:14" x14ac:dyDescent="0.3">
      <c r="A545" s="3" t="s">
        <v>625</v>
      </c>
      <c r="B545" s="2">
        <v>45507</v>
      </c>
      <c r="C545" s="3" t="s">
        <v>73</v>
      </c>
      <c r="D545" s="3" t="s">
        <v>89</v>
      </c>
      <c r="E545" s="3" t="s">
        <v>97</v>
      </c>
      <c r="F545" s="3" t="s">
        <v>18</v>
      </c>
      <c r="G545" s="3" t="s">
        <v>76</v>
      </c>
      <c r="H545" s="3" t="s">
        <v>77</v>
      </c>
      <c r="I545" s="5">
        <v>837.46</v>
      </c>
      <c r="J545" s="4">
        <v>1</v>
      </c>
      <c r="K545" s="1">
        <v>25</v>
      </c>
      <c r="L545" s="4">
        <v>95.36</v>
      </c>
      <c r="M545" s="3" t="s">
        <v>51</v>
      </c>
      <c r="N545" s="3" t="s">
        <v>35</v>
      </c>
    </row>
    <row r="546" spans="1:14" x14ac:dyDescent="0.3">
      <c r="A546" s="3" t="s">
        <v>626</v>
      </c>
      <c r="B546" s="2">
        <v>45450</v>
      </c>
      <c r="C546" s="3" t="s">
        <v>30</v>
      </c>
      <c r="D546" s="3" t="s">
        <v>56</v>
      </c>
      <c r="E546" s="3" t="s">
        <v>57</v>
      </c>
      <c r="F546" s="3" t="s">
        <v>18</v>
      </c>
      <c r="G546" s="3" t="s">
        <v>26</v>
      </c>
      <c r="H546" s="3" t="s">
        <v>27</v>
      </c>
      <c r="I546" s="5">
        <v>7676.41</v>
      </c>
      <c r="J546" s="4">
        <v>7</v>
      </c>
      <c r="K546" s="1">
        <v>29</v>
      </c>
      <c r="L546" s="4">
        <v>1189.1099999999999</v>
      </c>
      <c r="M546" s="3" t="s">
        <v>51</v>
      </c>
      <c r="N546" s="3" t="s">
        <v>40</v>
      </c>
    </row>
    <row r="547" spans="1:14" x14ac:dyDescent="0.3">
      <c r="A547" s="3" t="s">
        <v>627</v>
      </c>
      <c r="B547" s="2">
        <v>45770</v>
      </c>
      <c r="C547" s="3" t="s">
        <v>66</v>
      </c>
      <c r="D547" s="3" t="s">
        <v>38</v>
      </c>
      <c r="E547" s="3" t="s">
        <v>43</v>
      </c>
      <c r="F547" s="3" t="s">
        <v>32</v>
      </c>
      <c r="G547" s="3" t="s">
        <v>47</v>
      </c>
      <c r="H547" s="3" t="s">
        <v>48</v>
      </c>
      <c r="I547" s="5">
        <v>969.92</v>
      </c>
      <c r="J547" s="4">
        <v>2</v>
      </c>
      <c r="K547" s="1">
        <v>11</v>
      </c>
      <c r="L547" s="4">
        <v>173.87</v>
      </c>
      <c r="M547" s="3" t="s">
        <v>21</v>
      </c>
      <c r="N547" s="3" t="s">
        <v>40</v>
      </c>
    </row>
    <row r="548" spans="1:14" x14ac:dyDescent="0.3">
      <c r="A548" s="3" t="s">
        <v>628</v>
      </c>
      <c r="B548" s="2">
        <v>45550</v>
      </c>
      <c r="C548" s="3" t="s">
        <v>42</v>
      </c>
      <c r="D548" s="3" t="s">
        <v>89</v>
      </c>
      <c r="E548" s="3" t="s">
        <v>90</v>
      </c>
      <c r="F548" s="3" t="s">
        <v>32</v>
      </c>
      <c r="G548" s="3" t="s">
        <v>33</v>
      </c>
      <c r="H548" s="3" t="s">
        <v>34</v>
      </c>
      <c r="I548" s="5">
        <v>12568.68</v>
      </c>
      <c r="J548" s="4">
        <v>9</v>
      </c>
      <c r="K548" s="1">
        <v>1</v>
      </c>
      <c r="L548" s="4">
        <v>1653.34</v>
      </c>
      <c r="M548" s="3" t="s">
        <v>21</v>
      </c>
      <c r="N548" s="3" t="s">
        <v>40</v>
      </c>
    </row>
    <row r="549" spans="1:14" x14ac:dyDescent="0.3">
      <c r="A549" s="3" t="s">
        <v>629</v>
      </c>
      <c r="B549" s="2">
        <v>45714</v>
      </c>
      <c r="C549" s="3" t="s">
        <v>50</v>
      </c>
      <c r="D549" s="3" t="s">
        <v>89</v>
      </c>
      <c r="E549" s="3" t="s">
        <v>97</v>
      </c>
      <c r="F549" s="3" t="s">
        <v>18</v>
      </c>
      <c r="G549" s="3" t="s">
        <v>94</v>
      </c>
      <c r="H549" s="3" t="s">
        <v>95</v>
      </c>
      <c r="I549" s="5">
        <v>8860.14</v>
      </c>
      <c r="J549" s="4">
        <v>6</v>
      </c>
      <c r="K549" s="1">
        <v>4</v>
      </c>
      <c r="L549" s="4">
        <v>1403.77</v>
      </c>
      <c r="M549" s="3" t="s">
        <v>51</v>
      </c>
      <c r="N549" s="3" t="s">
        <v>44</v>
      </c>
    </row>
    <row r="550" spans="1:14" x14ac:dyDescent="0.3">
      <c r="A550" s="3" t="s">
        <v>630</v>
      </c>
      <c r="B550" s="2">
        <v>45721</v>
      </c>
      <c r="C550" s="3" t="s">
        <v>99</v>
      </c>
      <c r="D550" s="3" t="s">
        <v>56</v>
      </c>
      <c r="E550" s="3" t="s">
        <v>57</v>
      </c>
      <c r="F550" s="3" t="s">
        <v>32</v>
      </c>
      <c r="G550" s="3" t="s">
        <v>33</v>
      </c>
      <c r="H550" s="3" t="s">
        <v>34</v>
      </c>
      <c r="I550" s="5">
        <v>2646.76</v>
      </c>
      <c r="J550" s="4">
        <v>2</v>
      </c>
      <c r="K550" s="1">
        <v>24</v>
      </c>
      <c r="L550" s="4">
        <v>180.54</v>
      </c>
      <c r="M550" s="3" t="s">
        <v>28</v>
      </c>
      <c r="N550" s="3" t="s">
        <v>35</v>
      </c>
    </row>
    <row r="551" spans="1:14" x14ac:dyDescent="0.3">
      <c r="A551" s="3" t="s">
        <v>631</v>
      </c>
      <c r="B551" s="2">
        <v>45713</v>
      </c>
      <c r="C551" s="3" t="s">
        <v>70</v>
      </c>
      <c r="D551" s="3" t="s">
        <v>38</v>
      </c>
      <c r="E551" s="3" t="s">
        <v>53</v>
      </c>
      <c r="F551" s="3" t="s">
        <v>18</v>
      </c>
      <c r="G551" s="3" t="s">
        <v>26</v>
      </c>
      <c r="H551" s="3" t="s">
        <v>27</v>
      </c>
      <c r="I551" s="5">
        <v>1081.3</v>
      </c>
      <c r="J551" s="4">
        <v>5</v>
      </c>
      <c r="K551" s="1">
        <v>29</v>
      </c>
      <c r="L551" s="4">
        <v>99.58</v>
      </c>
      <c r="M551" s="3" t="s">
        <v>51</v>
      </c>
      <c r="N551" s="3" t="s">
        <v>22</v>
      </c>
    </row>
    <row r="552" spans="1:14" x14ac:dyDescent="0.3">
      <c r="A552" s="3" t="s">
        <v>632</v>
      </c>
      <c r="B552" s="2">
        <v>45453</v>
      </c>
      <c r="C552" s="3" t="s">
        <v>15</v>
      </c>
      <c r="D552" s="3" t="s">
        <v>89</v>
      </c>
      <c r="E552" s="3" t="s">
        <v>97</v>
      </c>
      <c r="F552" s="3" t="s">
        <v>62</v>
      </c>
      <c r="G552" s="3" t="s">
        <v>67</v>
      </c>
      <c r="H552" s="3" t="s">
        <v>68</v>
      </c>
      <c r="I552" s="5">
        <v>17384.400000000001</v>
      </c>
      <c r="J552" s="4">
        <v>10</v>
      </c>
      <c r="K552" s="1">
        <v>5</v>
      </c>
      <c r="L552" s="4">
        <v>1893.67</v>
      </c>
      <c r="M552" s="3" t="s">
        <v>28</v>
      </c>
      <c r="N552" s="3" t="s">
        <v>40</v>
      </c>
    </row>
    <row r="553" spans="1:14" x14ac:dyDescent="0.3">
      <c r="A553" s="3" t="s">
        <v>633</v>
      </c>
      <c r="B553" s="2">
        <v>45491</v>
      </c>
      <c r="C553" s="3" t="s">
        <v>66</v>
      </c>
      <c r="D553" s="3" t="s">
        <v>38</v>
      </c>
      <c r="E553" s="3" t="s">
        <v>39</v>
      </c>
      <c r="F553" s="3" t="s">
        <v>62</v>
      </c>
      <c r="G553" s="3" t="s">
        <v>80</v>
      </c>
      <c r="H553" s="3" t="s">
        <v>81</v>
      </c>
      <c r="I553" s="5">
        <v>3729.4</v>
      </c>
      <c r="J553" s="4">
        <v>4</v>
      </c>
      <c r="K553" s="1">
        <v>17</v>
      </c>
      <c r="L553" s="4">
        <v>471.29</v>
      </c>
      <c r="M553" s="3" t="s">
        <v>21</v>
      </c>
      <c r="N553" s="3" t="s">
        <v>40</v>
      </c>
    </row>
    <row r="554" spans="1:14" x14ac:dyDescent="0.3">
      <c r="A554" s="3" t="s">
        <v>634</v>
      </c>
      <c r="B554" s="2">
        <v>45461</v>
      </c>
      <c r="C554" s="3" t="s">
        <v>30</v>
      </c>
      <c r="D554" s="3" t="s">
        <v>38</v>
      </c>
      <c r="E554" s="3" t="s">
        <v>71</v>
      </c>
      <c r="F554" s="3" t="s">
        <v>32</v>
      </c>
      <c r="G554" s="3" t="s">
        <v>47</v>
      </c>
      <c r="H554" s="3" t="s">
        <v>48</v>
      </c>
      <c r="I554" s="5">
        <v>3866.1</v>
      </c>
      <c r="J554" s="4">
        <v>5</v>
      </c>
      <c r="K554" s="1">
        <v>27</v>
      </c>
      <c r="L554" s="4">
        <v>677.94</v>
      </c>
      <c r="M554" s="3" t="s">
        <v>21</v>
      </c>
      <c r="N554" s="3" t="s">
        <v>35</v>
      </c>
    </row>
    <row r="555" spans="1:14" x14ac:dyDescent="0.3">
      <c r="A555" s="3" t="s">
        <v>635</v>
      </c>
      <c r="B555" s="2">
        <v>45490</v>
      </c>
      <c r="C555" s="3" t="s">
        <v>75</v>
      </c>
      <c r="D555" s="3" t="s">
        <v>38</v>
      </c>
      <c r="E555" s="3" t="s">
        <v>39</v>
      </c>
      <c r="F555" s="3" t="s">
        <v>18</v>
      </c>
      <c r="G555" s="3" t="s">
        <v>94</v>
      </c>
      <c r="H555" s="3" t="s">
        <v>95</v>
      </c>
      <c r="I555" s="5">
        <v>1176.28</v>
      </c>
      <c r="J555" s="4">
        <v>7</v>
      </c>
      <c r="K555" s="1">
        <v>25</v>
      </c>
      <c r="L555" s="4">
        <v>140.07</v>
      </c>
      <c r="M555" s="3" t="s">
        <v>51</v>
      </c>
      <c r="N555" s="3" t="s">
        <v>44</v>
      </c>
    </row>
    <row r="556" spans="1:14" x14ac:dyDescent="0.3">
      <c r="A556" s="3" t="s">
        <v>636</v>
      </c>
      <c r="B556" s="2">
        <v>45615</v>
      </c>
      <c r="C556" s="3" t="s">
        <v>86</v>
      </c>
      <c r="D556" s="3" t="s">
        <v>38</v>
      </c>
      <c r="E556" s="3" t="s">
        <v>43</v>
      </c>
      <c r="F556" s="3" t="s">
        <v>62</v>
      </c>
      <c r="G556" s="3" t="s">
        <v>80</v>
      </c>
      <c r="H556" s="3" t="s">
        <v>81</v>
      </c>
      <c r="I556" s="5">
        <v>13053.96</v>
      </c>
      <c r="J556" s="4">
        <v>9</v>
      </c>
      <c r="K556" s="1">
        <v>1</v>
      </c>
      <c r="L556" s="4">
        <v>1666.06</v>
      </c>
      <c r="M556" s="3" t="s">
        <v>51</v>
      </c>
      <c r="N556" s="3" t="s">
        <v>44</v>
      </c>
    </row>
    <row r="557" spans="1:14" x14ac:dyDescent="0.3">
      <c r="A557" s="3" t="s">
        <v>637</v>
      </c>
      <c r="B557" s="2">
        <v>45719</v>
      </c>
      <c r="C557" s="3" t="s">
        <v>70</v>
      </c>
      <c r="D557" s="3" t="s">
        <v>16</v>
      </c>
      <c r="E557" s="3" t="s">
        <v>17</v>
      </c>
      <c r="F557" s="3" t="s">
        <v>62</v>
      </c>
      <c r="G557" s="3" t="s">
        <v>63</v>
      </c>
      <c r="H557" s="3" t="s">
        <v>64</v>
      </c>
      <c r="I557" s="5">
        <v>442.52</v>
      </c>
      <c r="J557" s="4">
        <v>1</v>
      </c>
      <c r="K557" s="1">
        <v>18</v>
      </c>
      <c r="L557" s="4">
        <v>52.32</v>
      </c>
      <c r="M557" s="3" t="s">
        <v>51</v>
      </c>
      <c r="N557" s="3" t="s">
        <v>35</v>
      </c>
    </row>
    <row r="558" spans="1:14" x14ac:dyDescent="0.3">
      <c r="A558" s="3" t="s">
        <v>638</v>
      </c>
      <c r="B558" s="2">
        <v>45430</v>
      </c>
      <c r="C558" s="3" t="s">
        <v>99</v>
      </c>
      <c r="D558" s="3" t="s">
        <v>89</v>
      </c>
      <c r="E558" s="3" t="s">
        <v>116</v>
      </c>
      <c r="F558" s="3" t="s">
        <v>62</v>
      </c>
      <c r="G558" s="3" t="s">
        <v>67</v>
      </c>
      <c r="H558" s="3" t="s">
        <v>68</v>
      </c>
      <c r="I558" s="5">
        <v>936.36</v>
      </c>
      <c r="J558" s="4">
        <v>2</v>
      </c>
      <c r="K558" s="1">
        <v>9</v>
      </c>
      <c r="L558" s="4">
        <v>51.62</v>
      </c>
      <c r="M558" s="3" t="s">
        <v>21</v>
      </c>
      <c r="N558" s="3" t="s">
        <v>22</v>
      </c>
    </row>
    <row r="559" spans="1:14" x14ac:dyDescent="0.3">
      <c r="A559" s="3" t="s">
        <v>639</v>
      </c>
      <c r="B559" s="2">
        <v>45735</v>
      </c>
      <c r="C559" s="3" t="s">
        <v>86</v>
      </c>
      <c r="D559" s="3" t="s">
        <v>16</v>
      </c>
      <c r="E559" s="3" t="s">
        <v>25</v>
      </c>
      <c r="F559" s="3" t="s">
        <v>62</v>
      </c>
      <c r="G559" s="3" t="s">
        <v>103</v>
      </c>
      <c r="H559" s="3" t="s">
        <v>104</v>
      </c>
      <c r="I559" s="5">
        <v>1536.12</v>
      </c>
      <c r="J559" s="4">
        <v>3</v>
      </c>
      <c r="K559" s="1">
        <v>4</v>
      </c>
      <c r="L559" s="4">
        <v>214.72</v>
      </c>
      <c r="M559" s="3" t="s">
        <v>28</v>
      </c>
      <c r="N559" s="3" t="s">
        <v>40</v>
      </c>
    </row>
    <row r="560" spans="1:14" x14ac:dyDescent="0.3">
      <c r="A560" s="3" t="s">
        <v>640</v>
      </c>
      <c r="B560" s="2">
        <v>45505</v>
      </c>
      <c r="C560" s="3" t="s">
        <v>70</v>
      </c>
      <c r="D560" s="3" t="s">
        <v>89</v>
      </c>
      <c r="E560" s="3" t="s">
        <v>90</v>
      </c>
      <c r="F560" s="3" t="s">
        <v>18</v>
      </c>
      <c r="G560" s="3" t="s">
        <v>76</v>
      </c>
      <c r="H560" s="3" t="s">
        <v>77</v>
      </c>
      <c r="I560" s="5">
        <v>3472.4</v>
      </c>
      <c r="J560" s="4">
        <v>4</v>
      </c>
      <c r="K560" s="1">
        <v>7.0000000000000009</v>
      </c>
      <c r="L560" s="4">
        <v>314.35000000000002</v>
      </c>
      <c r="M560" s="3" t="s">
        <v>21</v>
      </c>
      <c r="N560" s="3" t="s">
        <v>40</v>
      </c>
    </row>
    <row r="561" spans="1:14" x14ac:dyDescent="0.3">
      <c r="A561" s="3" t="s">
        <v>641</v>
      </c>
      <c r="B561" s="2">
        <v>45450</v>
      </c>
      <c r="C561" s="3" t="s">
        <v>15</v>
      </c>
      <c r="D561" s="3" t="s">
        <v>89</v>
      </c>
      <c r="E561" s="3" t="s">
        <v>97</v>
      </c>
      <c r="F561" s="3" t="s">
        <v>32</v>
      </c>
      <c r="G561" s="3" t="s">
        <v>47</v>
      </c>
      <c r="H561" s="3" t="s">
        <v>48</v>
      </c>
      <c r="I561" s="5">
        <v>4139.75</v>
      </c>
      <c r="J561" s="4">
        <v>5</v>
      </c>
      <c r="K561" s="1">
        <v>25</v>
      </c>
      <c r="L561" s="4">
        <v>667.72</v>
      </c>
      <c r="M561" s="3" t="s">
        <v>51</v>
      </c>
      <c r="N561" s="3" t="s">
        <v>35</v>
      </c>
    </row>
    <row r="562" spans="1:14" x14ac:dyDescent="0.3">
      <c r="A562" s="3" t="s">
        <v>642</v>
      </c>
      <c r="B562" s="2">
        <v>45517</v>
      </c>
      <c r="C562" s="3" t="s">
        <v>70</v>
      </c>
      <c r="D562" s="3" t="s">
        <v>38</v>
      </c>
      <c r="E562" s="3" t="s">
        <v>71</v>
      </c>
      <c r="F562" s="3" t="s">
        <v>32</v>
      </c>
      <c r="G562" s="3" t="s">
        <v>47</v>
      </c>
      <c r="H562" s="3" t="s">
        <v>48</v>
      </c>
      <c r="I562" s="5">
        <v>8556.1</v>
      </c>
      <c r="J562" s="4">
        <v>5</v>
      </c>
      <c r="K562" s="1">
        <v>19</v>
      </c>
      <c r="L562" s="4">
        <v>1058.4000000000001</v>
      </c>
      <c r="M562" s="3" t="s">
        <v>21</v>
      </c>
      <c r="N562" s="3" t="s">
        <v>40</v>
      </c>
    </row>
    <row r="563" spans="1:14" x14ac:dyDescent="0.3">
      <c r="A563" s="3" t="s">
        <v>643</v>
      </c>
      <c r="B563" s="2">
        <v>45604</v>
      </c>
      <c r="C563" s="3" t="s">
        <v>37</v>
      </c>
      <c r="D563" s="3" t="s">
        <v>16</v>
      </c>
      <c r="E563" s="3" t="s">
        <v>17</v>
      </c>
      <c r="F563" s="3" t="s">
        <v>32</v>
      </c>
      <c r="G563" s="3" t="s">
        <v>112</v>
      </c>
      <c r="H563" s="3" t="s">
        <v>113</v>
      </c>
      <c r="I563" s="5">
        <v>1400.44</v>
      </c>
      <c r="J563" s="4">
        <v>4</v>
      </c>
      <c r="K563" s="1">
        <v>28</v>
      </c>
      <c r="L563" s="4">
        <v>241.99</v>
      </c>
      <c r="M563" s="3" t="s">
        <v>21</v>
      </c>
      <c r="N563" s="3" t="s">
        <v>35</v>
      </c>
    </row>
    <row r="564" spans="1:14" x14ac:dyDescent="0.3">
      <c r="A564" s="3" t="s">
        <v>644</v>
      </c>
      <c r="B564" s="2">
        <v>45567</v>
      </c>
      <c r="C564" s="3" t="s">
        <v>15</v>
      </c>
      <c r="D564" s="3" t="s">
        <v>89</v>
      </c>
      <c r="E564" s="3" t="s">
        <v>116</v>
      </c>
      <c r="F564" s="3" t="s">
        <v>32</v>
      </c>
      <c r="G564" s="3" t="s">
        <v>33</v>
      </c>
      <c r="H564" s="3" t="s">
        <v>34</v>
      </c>
      <c r="I564" s="5">
        <v>4545.78</v>
      </c>
      <c r="J564" s="4">
        <v>6</v>
      </c>
      <c r="K564" s="1">
        <v>7.0000000000000009</v>
      </c>
      <c r="L564" s="4">
        <v>734.68</v>
      </c>
      <c r="M564" s="3" t="s">
        <v>51</v>
      </c>
      <c r="N564" s="3" t="s">
        <v>35</v>
      </c>
    </row>
    <row r="565" spans="1:14" x14ac:dyDescent="0.3">
      <c r="A565" s="3" t="s">
        <v>645</v>
      </c>
      <c r="B565" s="2">
        <v>45716</v>
      </c>
      <c r="C565" s="3" t="s">
        <v>75</v>
      </c>
      <c r="D565" s="3" t="s">
        <v>56</v>
      </c>
      <c r="E565" s="3" t="s">
        <v>57</v>
      </c>
      <c r="F565" s="3" t="s">
        <v>32</v>
      </c>
      <c r="G565" s="3" t="s">
        <v>112</v>
      </c>
      <c r="H565" s="3" t="s">
        <v>113</v>
      </c>
      <c r="I565" s="5">
        <v>1652.52</v>
      </c>
      <c r="J565" s="4">
        <v>6</v>
      </c>
      <c r="K565" s="1">
        <v>5</v>
      </c>
      <c r="L565" s="4">
        <v>316.77999999999997</v>
      </c>
      <c r="M565" s="3" t="s">
        <v>21</v>
      </c>
      <c r="N565" s="3" t="s">
        <v>22</v>
      </c>
    </row>
    <row r="566" spans="1:14" x14ac:dyDescent="0.3">
      <c r="A566" s="3" t="s">
        <v>646</v>
      </c>
      <c r="B566" s="2">
        <v>45555</v>
      </c>
      <c r="C566" s="3" t="s">
        <v>99</v>
      </c>
      <c r="D566" s="3" t="s">
        <v>89</v>
      </c>
      <c r="E566" s="3" t="s">
        <v>97</v>
      </c>
      <c r="F566" s="3" t="s">
        <v>18</v>
      </c>
      <c r="G566" s="3" t="s">
        <v>76</v>
      </c>
      <c r="H566" s="3" t="s">
        <v>77</v>
      </c>
      <c r="I566" s="5">
        <v>3630.51</v>
      </c>
      <c r="J566" s="4">
        <v>9</v>
      </c>
      <c r="K566" s="1">
        <v>5</v>
      </c>
      <c r="L566" s="4">
        <v>836.66</v>
      </c>
      <c r="M566" s="3" t="s">
        <v>51</v>
      </c>
      <c r="N566" s="3" t="s">
        <v>35</v>
      </c>
    </row>
    <row r="567" spans="1:14" x14ac:dyDescent="0.3">
      <c r="A567" s="3" t="s">
        <v>647</v>
      </c>
      <c r="B567" s="2">
        <v>45462</v>
      </c>
      <c r="C567" s="3" t="s">
        <v>15</v>
      </c>
      <c r="D567" s="3" t="s">
        <v>56</v>
      </c>
      <c r="E567" s="3" t="s">
        <v>61</v>
      </c>
      <c r="F567" s="3" t="s">
        <v>18</v>
      </c>
      <c r="G567" s="3" t="s">
        <v>94</v>
      </c>
      <c r="H567" s="3" t="s">
        <v>95</v>
      </c>
      <c r="I567" s="5">
        <v>1238.2</v>
      </c>
      <c r="J567" s="4">
        <v>1</v>
      </c>
      <c r="K567" s="1">
        <v>15</v>
      </c>
      <c r="L567" s="4">
        <v>66.989999999999995</v>
      </c>
      <c r="M567" s="3" t="s">
        <v>21</v>
      </c>
      <c r="N567" s="3" t="s">
        <v>35</v>
      </c>
    </row>
    <row r="568" spans="1:14" x14ac:dyDescent="0.3">
      <c r="A568" s="3" t="s">
        <v>648</v>
      </c>
      <c r="B568" s="2">
        <v>45477</v>
      </c>
      <c r="C568" s="3" t="s">
        <v>42</v>
      </c>
      <c r="D568" s="3" t="s">
        <v>89</v>
      </c>
      <c r="E568" s="3" t="s">
        <v>90</v>
      </c>
      <c r="F568" s="3" t="s">
        <v>32</v>
      </c>
      <c r="G568" s="3" t="s">
        <v>33</v>
      </c>
      <c r="H568" s="3" t="s">
        <v>34</v>
      </c>
      <c r="I568" s="5">
        <v>2098.92</v>
      </c>
      <c r="J568" s="4">
        <v>6</v>
      </c>
      <c r="K568" s="1">
        <v>24</v>
      </c>
      <c r="L568" s="4">
        <v>376.02</v>
      </c>
      <c r="M568" s="3" t="s">
        <v>28</v>
      </c>
      <c r="N568" s="3" t="s">
        <v>22</v>
      </c>
    </row>
    <row r="569" spans="1:14" x14ac:dyDescent="0.3">
      <c r="A569" s="3" t="s">
        <v>649</v>
      </c>
      <c r="B569" s="2">
        <v>45505</v>
      </c>
      <c r="C569" s="3" t="s">
        <v>84</v>
      </c>
      <c r="D569" s="3" t="s">
        <v>16</v>
      </c>
      <c r="E569" s="3" t="s">
        <v>17</v>
      </c>
      <c r="F569" s="3" t="s">
        <v>62</v>
      </c>
      <c r="G569" s="3" t="s">
        <v>80</v>
      </c>
      <c r="H569" s="3" t="s">
        <v>81</v>
      </c>
      <c r="I569" s="5">
        <v>6905.52</v>
      </c>
      <c r="J569" s="4">
        <v>6</v>
      </c>
      <c r="K569" s="1">
        <v>21</v>
      </c>
      <c r="L569" s="4">
        <v>752.44</v>
      </c>
      <c r="M569" s="3" t="s">
        <v>21</v>
      </c>
      <c r="N569" s="3" t="s">
        <v>35</v>
      </c>
    </row>
    <row r="570" spans="1:14" x14ac:dyDescent="0.3">
      <c r="A570" s="3" t="s">
        <v>650</v>
      </c>
      <c r="B570" s="2">
        <v>45732</v>
      </c>
      <c r="C570" s="3" t="s">
        <v>99</v>
      </c>
      <c r="D570" s="3" t="s">
        <v>56</v>
      </c>
      <c r="E570" s="3" t="s">
        <v>61</v>
      </c>
      <c r="F570" s="3" t="s">
        <v>32</v>
      </c>
      <c r="G570" s="3" t="s">
        <v>58</v>
      </c>
      <c r="H570" s="3" t="s">
        <v>59</v>
      </c>
      <c r="I570" s="5">
        <v>12893.86</v>
      </c>
      <c r="J570" s="4">
        <v>7</v>
      </c>
      <c r="K570" s="1">
        <v>3</v>
      </c>
      <c r="L570" s="4">
        <v>1242.29</v>
      </c>
      <c r="M570" s="3" t="s">
        <v>51</v>
      </c>
      <c r="N570" s="3" t="s">
        <v>35</v>
      </c>
    </row>
    <row r="571" spans="1:14" x14ac:dyDescent="0.3">
      <c r="A571" s="3" t="s">
        <v>651</v>
      </c>
      <c r="B571" s="2">
        <v>45513</v>
      </c>
      <c r="C571" s="3" t="s">
        <v>75</v>
      </c>
      <c r="D571" s="3" t="s">
        <v>16</v>
      </c>
      <c r="E571" s="3" t="s">
        <v>31</v>
      </c>
      <c r="F571" s="3" t="s">
        <v>62</v>
      </c>
      <c r="G571" s="3" t="s">
        <v>67</v>
      </c>
      <c r="H571" s="3" t="s">
        <v>68</v>
      </c>
      <c r="I571" s="5">
        <v>8175.72</v>
      </c>
      <c r="J571" s="4">
        <v>7</v>
      </c>
      <c r="K571" s="1">
        <v>30</v>
      </c>
      <c r="L571" s="4">
        <v>1221.26</v>
      </c>
      <c r="M571" s="3" t="s">
        <v>51</v>
      </c>
      <c r="N571" s="3" t="s">
        <v>22</v>
      </c>
    </row>
    <row r="572" spans="1:14" x14ac:dyDescent="0.3">
      <c r="A572" s="3" t="s">
        <v>652</v>
      </c>
      <c r="B572" s="2">
        <v>45730</v>
      </c>
      <c r="C572" s="3" t="s">
        <v>133</v>
      </c>
      <c r="D572" s="3" t="s">
        <v>89</v>
      </c>
      <c r="E572" s="3" t="s">
        <v>90</v>
      </c>
      <c r="F572" s="3" t="s">
        <v>18</v>
      </c>
      <c r="G572" s="3" t="s">
        <v>19</v>
      </c>
      <c r="H572" s="3" t="s">
        <v>20</v>
      </c>
      <c r="I572" s="5">
        <v>4367.93</v>
      </c>
      <c r="J572" s="4">
        <v>7</v>
      </c>
      <c r="K572" s="1">
        <v>9</v>
      </c>
      <c r="L572" s="4">
        <v>823.5</v>
      </c>
      <c r="M572" s="3" t="s">
        <v>21</v>
      </c>
      <c r="N572" s="3" t="s">
        <v>40</v>
      </c>
    </row>
    <row r="573" spans="1:14" x14ac:dyDescent="0.3">
      <c r="A573" s="3" t="s">
        <v>653</v>
      </c>
      <c r="B573" s="2">
        <v>45555</v>
      </c>
      <c r="C573" s="3" t="s">
        <v>42</v>
      </c>
      <c r="D573" s="3" t="s">
        <v>16</v>
      </c>
      <c r="E573" s="3" t="s">
        <v>25</v>
      </c>
      <c r="F573" s="3" t="s">
        <v>62</v>
      </c>
      <c r="G573" s="3" t="s">
        <v>67</v>
      </c>
      <c r="H573" s="3" t="s">
        <v>68</v>
      </c>
      <c r="I573" s="5">
        <v>10519.28</v>
      </c>
      <c r="J573" s="4">
        <v>8</v>
      </c>
      <c r="K573" s="1">
        <v>27</v>
      </c>
      <c r="L573" s="4">
        <v>757.19</v>
      </c>
      <c r="M573" s="3" t="s">
        <v>28</v>
      </c>
      <c r="N573" s="3" t="s">
        <v>40</v>
      </c>
    </row>
    <row r="574" spans="1:14" x14ac:dyDescent="0.3">
      <c r="A574" s="3" t="s">
        <v>654</v>
      </c>
      <c r="B574" s="2">
        <v>45514</v>
      </c>
      <c r="C574" s="3" t="s">
        <v>75</v>
      </c>
      <c r="D574" s="3" t="s">
        <v>38</v>
      </c>
      <c r="E574" s="3" t="s">
        <v>53</v>
      </c>
      <c r="F574" s="3" t="s">
        <v>62</v>
      </c>
      <c r="G574" s="3" t="s">
        <v>63</v>
      </c>
      <c r="H574" s="3" t="s">
        <v>64</v>
      </c>
      <c r="I574" s="5">
        <v>1444.83</v>
      </c>
      <c r="J574" s="4">
        <v>1</v>
      </c>
      <c r="K574" s="1">
        <v>21</v>
      </c>
      <c r="L574" s="4">
        <v>76.34</v>
      </c>
      <c r="M574" s="3" t="s">
        <v>28</v>
      </c>
      <c r="N574" s="3" t="s">
        <v>35</v>
      </c>
    </row>
    <row r="575" spans="1:14" x14ac:dyDescent="0.3">
      <c r="A575" s="3" t="s">
        <v>655</v>
      </c>
      <c r="B575" s="2">
        <v>45564</v>
      </c>
      <c r="C575" s="3" t="s">
        <v>42</v>
      </c>
      <c r="D575" s="3" t="s">
        <v>16</v>
      </c>
      <c r="E575" s="3" t="s">
        <v>31</v>
      </c>
      <c r="F575" s="3" t="s">
        <v>32</v>
      </c>
      <c r="G575" s="3" t="s">
        <v>47</v>
      </c>
      <c r="H575" s="3" t="s">
        <v>48</v>
      </c>
      <c r="I575" s="5">
        <v>3491.76</v>
      </c>
      <c r="J575" s="4">
        <v>2</v>
      </c>
      <c r="K575" s="1">
        <v>17</v>
      </c>
      <c r="L575" s="4">
        <v>338.33</v>
      </c>
      <c r="M575" s="3" t="s">
        <v>51</v>
      </c>
      <c r="N575" s="3" t="s">
        <v>35</v>
      </c>
    </row>
    <row r="576" spans="1:14" x14ac:dyDescent="0.3">
      <c r="A576" s="3" t="s">
        <v>656</v>
      </c>
      <c r="B576" s="2">
        <v>45706</v>
      </c>
      <c r="C576" s="3" t="s">
        <v>70</v>
      </c>
      <c r="D576" s="3" t="s">
        <v>16</v>
      </c>
      <c r="E576" s="3" t="s">
        <v>31</v>
      </c>
      <c r="F576" s="3" t="s">
        <v>62</v>
      </c>
      <c r="G576" s="3" t="s">
        <v>103</v>
      </c>
      <c r="H576" s="3" t="s">
        <v>104</v>
      </c>
      <c r="I576" s="5">
        <v>11430.9</v>
      </c>
      <c r="J576" s="4">
        <v>6</v>
      </c>
      <c r="K576" s="1">
        <v>11</v>
      </c>
      <c r="L576" s="4">
        <v>1144.23</v>
      </c>
      <c r="M576" s="3" t="s">
        <v>51</v>
      </c>
      <c r="N576" s="3" t="s">
        <v>35</v>
      </c>
    </row>
    <row r="577" spans="1:14" x14ac:dyDescent="0.3">
      <c r="A577" s="3" t="s">
        <v>657</v>
      </c>
      <c r="B577" s="2">
        <v>45523</v>
      </c>
      <c r="C577" s="3" t="s">
        <v>42</v>
      </c>
      <c r="D577" s="3" t="s">
        <v>16</v>
      </c>
      <c r="E577" s="3" t="s">
        <v>17</v>
      </c>
      <c r="F577" s="3" t="s">
        <v>62</v>
      </c>
      <c r="G577" s="3" t="s">
        <v>80</v>
      </c>
      <c r="H577" s="3" t="s">
        <v>81</v>
      </c>
      <c r="I577" s="5">
        <v>3166.76</v>
      </c>
      <c r="J577" s="4">
        <v>4</v>
      </c>
      <c r="K577" s="1">
        <v>21</v>
      </c>
      <c r="L577" s="4">
        <v>516.66999999999996</v>
      </c>
      <c r="M577" s="3" t="s">
        <v>28</v>
      </c>
      <c r="N577" s="3" t="s">
        <v>35</v>
      </c>
    </row>
    <row r="578" spans="1:14" x14ac:dyDescent="0.3">
      <c r="A578" s="3" t="s">
        <v>658</v>
      </c>
      <c r="B578" s="2">
        <v>45719</v>
      </c>
      <c r="C578" s="3" t="s">
        <v>50</v>
      </c>
      <c r="D578" s="3" t="s">
        <v>89</v>
      </c>
      <c r="E578" s="3" t="s">
        <v>90</v>
      </c>
      <c r="F578" s="3" t="s">
        <v>18</v>
      </c>
      <c r="G578" s="3" t="s">
        <v>76</v>
      </c>
      <c r="H578" s="3" t="s">
        <v>77</v>
      </c>
      <c r="I578" s="5">
        <v>856.76</v>
      </c>
      <c r="J578" s="4">
        <v>1</v>
      </c>
      <c r="K578" s="1">
        <v>15</v>
      </c>
      <c r="L578" s="4">
        <v>38.93</v>
      </c>
      <c r="M578" s="3" t="s">
        <v>21</v>
      </c>
      <c r="N578" s="3" t="s">
        <v>44</v>
      </c>
    </row>
    <row r="579" spans="1:14" x14ac:dyDescent="0.3">
      <c r="A579" s="3" t="s">
        <v>659</v>
      </c>
      <c r="B579" s="2">
        <v>45767</v>
      </c>
      <c r="C579" s="3" t="s">
        <v>86</v>
      </c>
      <c r="D579" s="3" t="s">
        <v>89</v>
      </c>
      <c r="E579" s="3" t="s">
        <v>140</v>
      </c>
      <c r="F579" s="3" t="s">
        <v>62</v>
      </c>
      <c r="G579" s="3" t="s">
        <v>103</v>
      </c>
      <c r="H579" s="3" t="s">
        <v>104</v>
      </c>
      <c r="I579" s="5">
        <v>1069.23</v>
      </c>
      <c r="J579" s="4">
        <v>1</v>
      </c>
      <c r="K579" s="1">
        <v>17</v>
      </c>
      <c r="L579" s="4">
        <v>193.82</v>
      </c>
      <c r="M579" s="3" t="s">
        <v>51</v>
      </c>
      <c r="N579" s="3" t="s">
        <v>35</v>
      </c>
    </row>
    <row r="580" spans="1:14" x14ac:dyDescent="0.3">
      <c r="A580" s="3" t="s">
        <v>660</v>
      </c>
      <c r="B580" s="2">
        <v>45543</v>
      </c>
      <c r="C580" s="3" t="s">
        <v>30</v>
      </c>
      <c r="D580" s="3" t="s">
        <v>56</v>
      </c>
      <c r="E580" s="3" t="s">
        <v>108</v>
      </c>
      <c r="F580" s="3" t="s">
        <v>62</v>
      </c>
      <c r="G580" s="3" t="s">
        <v>67</v>
      </c>
      <c r="H580" s="3" t="s">
        <v>68</v>
      </c>
      <c r="I580" s="5">
        <v>3036.87</v>
      </c>
      <c r="J580" s="4">
        <v>9</v>
      </c>
      <c r="K580" s="1">
        <v>4</v>
      </c>
      <c r="L580" s="4">
        <v>438.58</v>
      </c>
      <c r="M580" s="3" t="s">
        <v>28</v>
      </c>
      <c r="N580" s="3" t="s">
        <v>22</v>
      </c>
    </row>
    <row r="581" spans="1:14" x14ac:dyDescent="0.3">
      <c r="A581" s="3" t="s">
        <v>661</v>
      </c>
      <c r="B581" s="2">
        <v>45690</v>
      </c>
      <c r="C581" s="3" t="s">
        <v>86</v>
      </c>
      <c r="D581" s="3" t="s">
        <v>89</v>
      </c>
      <c r="E581" s="3" t="s">
        <v>97</v>
      </c>
      <c r="F581" s="3" t="s">
        <v>18</v>
      </c>
      <c r="G581" s="3" t="s">
        <v>94</v>
      </c>
      <c r="H581" s="3" t="s">
        <v>95</v>
      </c>
      <c r="I581" s="5">
        <v>4858.2299999999996</v>
      </c>
      <c r="J581" s="4">
        <v>3</v>
      </c>
      <c r="K581" s="1">
        <v>5</v>
      </c>
      <c r="L581" s="4">
        <v>404.52</v>
      </c>
      <c r="M581" s="3" t="s">
        <v>28</v>
      </c>
      <c r="N581" s="3" t="s">
        <v>22</v>
      </c>
    </row>
    <row r="582" spans="1:14" x14ac:dyDescent="0.3">
      <c r="A582" s="3" t="s">
        <v>662</v>
      </c>
      <c r="B582" s="2">
        <v>45748</v>
      </c>
      <c r="C582" s="3" t="s">
        <v>73</v>
      </c>
      <c r="D582" s="3" t="s">
        <v>56</v>
      </c>
      <c r="E582" s="3" t="s">
        <v>57</v>
      </c>
      <c r="F582" s="3" t="s">
        <v>32</v>
      </c>
      <c r="G582" s="3" t="s">
        <v>58</v>
      </c>
      <c r="H582" s="3" t="s">
        <v>59</v>
      </c>
      <c r="I582" s="5">
        <v>10236.66</v>
      </c>
      <c r="J582" s="4">
        <v>6</v>
      </c>
      <c r="K582" s="1">
        <v>18</v>
      </c>
      <c r="L582" s="4">
        <v>1205.33</v>
      </c>
      <c r="M582" s="3" t="s">
        <v>28</v>
      </c>
      <c r="N582" s="3" t="s">
        <v>44</v>
      </c>
    </row>
    <row r="583" spans="1:14" x14ac:dyDescent="0.3">
      <c r="A583" s="3" t="s">
        <v>663</v>
      </c>
      <c r="B583" s="2">
        <v>45441</v>
      </c>
      <c r="C583" s="3" t="s">
        <v>37</v>
      </c>
      <c r="D583" s="3" t="s">
        <v>56</v>
      </c>
      <c r="E583" s="3" t="s">
        <v>61</v>
      </c>
      <c r="F583" s="3" t="s">
        <v>32</v>
      </c>
      <c r="G583" s="3" t="s">
        <v>33</v>
      </c>
      <c r="H583" s="3" t="s">
        <v>34</v>
      </c>
      <c r="I583" s="5">
        <v>2373.0700000000002</v>
      </c>
      <c r="J583" s="4">
        <v>7</v>
      </c>
      <c r="K583" s="1">
        <v>28</v>
      </c>
      <c r="L583" s="4">
        <v>384.75</v>
      </c>
      <c r="M583" s="3" t="s">
        <v>51</v>
      </c>
      <c r="N583" s="3" t="s">
        <v>35</v>
      </c>
    </row>
    <row r="584" spans="1:14" x14ac:dyDescent="0.3">
      <c r="A584" s="3" t="s">
        <v>664</v>
      </c>
      <c r="B584" s="2">
        <v>45779</v>
      </c>
      <c r="C584" s="3" t="s">
        <v>66</v>
      </c>
      <c r="D584" s="3" t="s">
        <v>38</v>
      </c>
      <c r="E584" s="3" t="s">
        <v>71</v>
      </c>
      <c r="F584" s="3" t="s">
        <v>32</v>
      </c>
      <c r="G584" s="3" t="s">
        <v>112</v>
      </c>
      <c r="H584" s="3" t="s">
        <v>113</v>
      </c>
      <c r="I584" s="5">
        <v>2021.7</v>
      </c>
      <c r="J584" s="4">
        <v>3</v>
      </c>
      <c r="K584" s="1">
        <v>18</v>
      </c>
      <c r="L584" s="4">
        <v>232.18</v>
      </c>
      <c r="M584" s="3" t="s">
        <v>28</v>
      </c>
      <c r="N584" s="3" t="s">
        <v>40</v>
      </c>
    </row>
    <row r="585" spans="1:14" x14ac:dyDescent="0.3">
      <c r="A585" s="3" t="s">
        <v>665</v>
      </c>
      <c r="B585" s="2">
        <v>45547</v>
      </c>
      <c r="C585" s="3" t="s">
        <v>75</v>
      </c>
      <c r="D585" s="3" t="s">
        <v>16</v>
      </c>
      <c r="E585" s="3" t="s">
        <v>31</v>
      </c>
      <c r="F585" s="3" t="s">
        <v>32</v>
      </c>
      <c r="G585" s="3" t="s">
        <v>47</v>
      </c>
      <c r="H585" s="3" t="s">
        <v>48</v>
      </c>
      <c r="I585" s="5">
        <v>6057.84</v>
      </c>
      <c r="J585" s="4">
        <v>8</v>
      </c>
      <c r="K585" s="1">
        <v>10</v>
      </c>
      <c r="L585" s="4">
        <v>644.24</v>
      </c>
      <c r="M585" s="3" t="s">
        <v>28</v>
      </c>
      <c r="N585" s="3" t="s">
        <v>40</v>
      </c>
    </row>
    <row r="586" spans="1:14" x14ac:dyDescent="0.3">
      <c r="A586" s="3" t="s">
        <v>666</v>
      </c>
      <c r="B586" s="2">
        <v>45707</v>
      </c>
      <c r="C586" s="3" t="s">
        <v>30</v>
      </c>
      <c r="D586" s="3" t="s">
        <v>56</v>
      </c>
      <c r="E586" s="3" t="s">
        <v>108</v>
      </c>
      <c r="F586" s="3" t="s">
        <v>62</v>
      </c>
      <c r="G586" s="3" t="s">
        <v>103</v>
      </c>
      <c r="H586" s="3" t="s">
        <v>104</v>
      </c>
      <c r="I586" s="5">
        <v>7139.45</v>
      </c>
      <c r="J586" s="4">
        <v>5</v>
      </c>
      <c r="K586" s="1">
        <v>19</v>
      </c>
      <c r="L586" s="4">
        <v>1005.84</v>
      </c>
      <c r="M586" s="3" t="s">
        <v>21</v>
      </c>
      <c r="N586" s="3" t="s">
        <v>44</v>
      </c>
    </row>
    <row r="587" spans="1:14" x14ac:dyDescent="0.3">
      <c r="A587" s="3" t="s">
        <v>667</v>
      </c>
      <c r="B587" s="2">
        <v>45714</v>
      </c>
      <c r="C587" s="3" t="s">
        <v>15</v>
      </c>
      <c r="D587" s="3" t="s">
        <v>16</v>
      </c>
      <c r="E587" s="3" t="s">
        <v>25</v>
      </c>
      <c r="F587" s="3" t="s">
        <v>32</v>
      </c>
      <c r="G587" s="3" t="s">
        <v>112</v>
      </c>
      <c r="H587" s="3" t="s">
        <v>113</v>
      </c>
      <c r="I587" s="5">
        <v>3958.12</v>
      </c>
      <c r="J587" s="4">
        <v>2</v>
      </c>
      <c r="K587" s="1">
        <v>27</v>
      </c>
      <c r="L587" s="4">
        <v>191.19</v>
      </c>
      <c r="M587" s="3" t="s">
        <v>21</v>
      </c>
      <c r="N587" s="3" t="s">
        <v>35</v>
      </c>
    </row>
    <row r="588" spans="1:14" x14ac:dyDescent="0.3">
      <c r="A588" s="3" t="s">
        <v>668</v>
      </c>
      <c r="B588" s="2">
        <v>45608</v>
      </c>
      <c r="C588" s="3" t="s">
        <v>15</v>
      </c>
      <c r="D588" s="3" t="s">
        <v>16</v>
      </c>
      <c r="E588" s="3" t="s">
        <v>31</v>
      </c>
      <c r="F588" s="3" t="s">
        <v>32</v>
      </c>
      <c r="G588" s="3" t="s">
        <v>47</v>
      </c>
      <c r="H588" s="3" t="s">
        <v>48</v>
      </c>
      <c r="I588" s="5">
        <v>7614.9</v>
      </c>
      <c r="J588" s="4">
        <v>9</v>
      </c>
      <c r="K588" s="1">
        <v>14</v>
      </c>
      <c r="L588" s="4">
        <v>1454.45</v>
      </c>
      <c r="M588" s="3" t="s">
        <v>21</v>
      </c>
      <c r="N588" s="3" t="s">
        <v>40</v>
      </c>
    </row>
    <row r="589" spans="1:14" x14ac:dyDescent="0.3">
      <c r="A589" s="3" t="s">
        <v>669</v>
      </c>
      <c r="B589" s="2">
        <v>45676</v>
      </c>
      <c r="C589" s="3" t="s">
        <v>15</v>
      </c>
      <c r="D589" s="3" t="s">
        <v>38</v>
      </c>
      <c r="E589" s="3" t="s">
        <v>71</v>
      </c>
      <c r="F589" s="3" t="s">
        <v>32</v>
      </c>
      <c r="G589" s="3" t="s">
        <v>112</v>
      </c>
      <c r="H589" s="3" t="s">
        <v>113</v>
      </c>
      <c r="I589" s="5">
        <v>11656.89</v>
      </c>
      <c r="J589" s="4">
        <v>9</v>
      </c>
      <c r="K589" s="1">
        <v>7.0000000000000009</v>
      </c>
      <c r="L589" s="4">
        <v>1976.75</v>
      </c>
      <c r="M589" s="3" t="s">
        <v>51</v>
      </c>
      <c r="N589" s="3" t="s">
        <v>22</v>
      </c>
    </row>
    <row r="590" spans="1:14" x14ac:dyDescent="0.3">
      <c r="A590" s="3" t="s">
        <v>670</v>
      </c>
      <c r="B590" s="2">
        <v>45511</v>
      </c>
      <c r="C590" s="3" t="s">
        <v>73</v>
      </c>
      <c r="D590" s="3" t="s">
        <v>89</v>
      </c>
      <c r="E590" s="3" t="s">
        <v>102</v>
      </c>
      <c r="F590" s="3" t="s">
        <v>32</v>
      </c>
      <c r="G590" s="3" t="s">
        <v>58</v>
      </c>
      <c r="H590" s="3" t="s">
        <v>59</v>
      </c>
      <c r="I590" s="5">
        <v>6883.2</v>
      </c>
      <c r="J590" s="4">
        <v>4</v>
      </c>
      <c r="K590" s="1">
        <v>8</v>
      </c>
      <c r="L590" s="4">
        <v>1526.41</v>
      </c>
      <c r="M590" s="3" t="s">
        <v>21</v>
      </c>
      <c r="N590" s="3" t="s">
        <v>22</v>
      </c>
    </row>
    <row r="591" spans="1:14" x14ac:dyDescent="0.3">
      <c r="A591" s="3" t="s">
        <v>671</v>
      </c>
      <c r="B591" s="2">
        <v>45650</v>
      </c>
      <c r="C591" s="3" t="s">
        <v>50</v>
      </c>
      <c r="D591" s="3" t="s">
        <v>56</v>
      </c>
      <c r="E591" s="3" t="s">
        <v>108</v>
      </c>
      <c r="F591" s="3" t="s">
        <v>62</v>
      </c>
      <c r="G591" s="3" t="s">
        <v>67</v>
      </c>
      <c r="H591" s="3" t="s">
        <v>68</v>
      </c>
      <c r="I591" s="5">
        <v>6766.4</v>
      </c>
      <c r="J591" s="4">
        <v>8</v>
      </c>
      <c r="K591" s="1">
        <v>12</v>
      </c>
      <c r="L591" s="4">
        <v>779.13</v>
      </c>
      <c r="M591" s="3" t="s">
        <v>51</v>
      </c>
      <c r="N591" s="3" t="s">
        <v>35</v>
      </c>
    </row>
    <row r="592" spans="1:14" x14ac:dyDescent="0.3">
      <c r="A592" s="3" t="s">
        <v>672</v>
      </c>
      <c r="B592" s="2">
        <v>45432</v>
      </c>
      <c r="C592" s="3" t="s">
        <v>70</v>
      </c>
      <c r="D592" s="3" t="s">
        <v>38</v>
      </c>
      <c r="E592" s="3" t="s">
        <v>71</v>
      </c>
      <c r="F592" s="3" t="s">
        <v>32</v>
      </c>
      <c r="G592" s="3" t="s">
        <v>112</v>
      </c>
      <c r="H592" s="3" t="s">
        <v>113</v>
      </c>
      <c r="I592" s="5">
        <v>6433.2</v>
      </c>
      <c r="J592" s="4">
        <v>6</v>
      </c>
      <c r="K592" s="1">
        <v>25</v>
      </c>
      <c r="L592" s="4">
        <v>409.14</v>
      </c>
      <c r="M592" s="3" t="s">
        <v>21</v>
      </c>
      <c r="N592" s="3" t="s">
        <v>35</v>
      </c>
    </row>
    <row r="593" spans="1:14" x14ac:dyDescent="0.3">
      <c r="A593" s="3" t="s">
        <v>673</v>
      </c>
      <c r="B593" s="2">
        <v>45760</v>
      </c>
      <c r="C593" s="3" t="s">
        <v>30</v>
      </c>
      <c r="D593" s="3" t="s">
        <v>89</v>
      </c>
      <c r="E593" s="3" t="s">
        <v>97</v>
      </c>
      <c r="F593" s="3" t="s">
        <v>18</v>
      </c>
      <c r="G593" s="3" t="s">
        <v>19</v>
      </c>
      <c r="H593" s="3" t="s">
        <v>20</v>
      </c>
      <c r="I593" s="5">
        <v>1884.54</v>
      </c>
      <c r="J593" s="4">
        <v>7</v>
      </c>
      <c r="K593" s="1">
        <v>20</v>
      </c>
      <c r="L593" s="4">
        <v>248.75</v>
      </c>
      <c r="M593" s="3" t="s">
        <v>21</v>
      </c>
      <c r="N593" s="3" t="s">
        <v>44</v>
      </c>
    </row>
    <row r="594" spans="1:14" x14ac:dyDescent="0.3">
      <c r="A594" s="3" t="s">
        <v>674</v>
      </c>
      <c r="B594" s="2">
        <v>45751</v>
      </c>
      <c r="C594" s="3" t="s">
        <v>70</v>
      </c>
      <c r="D594" s="3" t="s">
        <v>38</v>
      </c>
      <c r="E594" s="3" t="s">
        <v>53</v>
      </c>
      <c r="F594" s="3" t="s">
        <v>18</v>
      </c>
      <c r="G594" s="3" t="s">
        <v>94</v>
      </c>
      <c r="H594" s="3" t="s">
        <v>95</v>
      </c>
      <c r="I594" s="5">
        <v>11388</v>
      </c>
      <c r="J594" s="4">
        <v>8</v>
      </c>
      <c r="K594" s="1">
        <v>5</v>
      </c>
      <c r="L594" s="4">
        <v>867.85</v>
      </c>
      <c r="M594" s="3" t="s">
        <v>21</v>
      </c>
      <c r="N594" s="3" t="s">
        <v>22</v>
      </c>
    </row>
    <row r="595" spans="1:14" x14ac:dyDescent="0.3">
      <c r="A595" s="3" t="s">
        <v>675</v>
      </c>
      <c r="B595" s="2">
        <v>45515</v>
      </c>
      <c r="C595" s="3" t="s">
        <v>75</v>
      </c>
      <c r="D595" s="3" t="s">
        <v>89</v>
      </c>
      <c r="E595" s="3" t="s">
        <v>116</v>
      </c>
      <c r="F595" s="3" t="s">
        <v>62</v>
      </c>
      <c r="G595" s="3" t="s">
        <v>103</v>
      </c>
      <c r="H595" s="3" t="s">
        <v>104</v>
      </c>
      <c r="I595" s="5">
        <v>13398.88</v>
      </c>
      <c r="J595" s="4">
        <v>8</v>
      </c>
      <c r="K595" s="1">
        <v>18</v>
      </c>
      <c r="L595" s="4">
        <v>2078.2399999999998</v>
      </c>
      <c r="M595" s="3" t="s">
        <v>28</v>
      </c>
      <c r="N595" s="3" t="s">
        <v>35</v>
      </c>
    </row>
    <row r="596" spans="1:14" x14ac:dyDescent="0.3">
      <c r="A596" s="3" t="s">
        <v>676</v>
      </c>
      <c r="B596" s="2">
        <v>45715</v>
      </c>
      <c r="C596" s="3" t="s">
        <v>66</v>
      </c>
      <c r="D596" s="3" t="s">
        <v>38</v>
      </c>
      <c r="E596" s="3" t="s">
        <v>53</v>
      </c>
      <c r="F596" s="3" t="s">
        <v>18</v>
      </c>
      <c r="G596" s="3" t="s">
        <v>19</v>
      </c>
      <c r="H596" s="3" t="s">
        <v>20</v>
      </c>
      <c r="I596" s="5">
        <v>3769.52</v>
      </c>
      <c r="J596" s="4">
        <v>2</v>
      </c>
      <c r="K596" s="1">
        <v>6</v>
      </c>
      <c r="L596" s="4">
        <v>183.51</v>
      </c>
      <c r="M596" s="3" t="s">
        <v>51</v>
      </c>
      <c r="N596" s="3" t="s">
        <v>22</v>
      </c>
    </row>
    <row r="597" spans="1:14" x14ac:dyDescent="0.3">
      <c r="A597" s="3" t="s">
        <v>677</v>
      </c>
      <c r="B597" s="2">
        <v>45501</v>
      </c>
      <c r="C597" s="3" t="s">
        <v>30</v>
      </c>
      <c r="D597" s="3" t="s">
        <v>16</v>
      </c>
      <c r="E597" s="3" t="s">
        <v>25</v>
      </c>
      <c r="F597" s="3" t="s">
        <v>18</v>
      </c>
      <c r="G597" s="3" t="s">
        <v>19</v>
      </c>
      <c r="H597" s="3" t="s">
        <v>20</v>
      </c>
      <c r="I597" s="5">
        <v>5757.12</v>
      </c>
      <c r="J597" s="4">
        <v>8</v>
      </c>
      <c r="K597" s="1">
        <v>16</v>
      </c>
      <c r="L597" s="4">
        <v>919.56</v>
      </c>
      <c r="M597" s="3" t="s">
        <v>28</v>
      </c>
      <c r="N597" s="3" t="s">
        <v>44</v>
      </c>
    </row>
    <row r="598" spans="1:14" x14ac:dyDescent="0.3">
      <c r="A598" s="3" t="s">
        <v>678</v>
      </c>
      <c r="B598" s="2">
        <v>45428</v>
      </c>
      <c r="C598" s="3" t="s">
        <v>37</v>
      </c>
      <c r="D598" s="3" t="s">
        <v>16</v>
      </c>
      <c r="E598" s="3" t="s">
        <v>17</v>
      </c>
      <c r="F598" s="3" t="s">
        <v>18</v>
      </c>
      <c r="G598" s="3" t="s">
        <v>19</v>
      </c>
      <c r="H598" s="3" t="s">
        <v>20</v>
      </c>
      <c r="I598" s="5">
        <v>2788.24</v>
      </c>
      <c r="J598" s="4">
        <v>7</v>
      </c>
      <c r="K598" s="1">
        <v>7.0000000000000009</v>
      </c>
      <c r="L598" s="4">
        <v>141.96</v>
      </c>
      <c r="M598" s="3" t="s">
        <v>28</v>
      </c>
      <c r="N598" s="3" t="s">
        <v>40</v>
      </c>
    </row>
    <row r="599" spans="1:14" x14ac:dyDescent="0.3">
      <c r="A599" s="3" t="s">
        <v>679</v>
      </c>
      <c r="B599" s="2">
        <v>45436</v>
      </c>
      <c r="C599" s="3" t="s">
        <v>84</v>
      </c>
      <c r="D599" s="3" t="s">
        <v>38</v>
      </c>
      <c r="E599" s="3" t="s">
        <v>39</v>
      </c>
      <c r="F599" s="3" t="s">
        <v>62</v>
      </c>
      <c r="G599" s="3" t="s">
        <v>103</v>
      </c>
      <c r="H599" s="3" t="s">
        <v>104</v>
      </c>
      <c r="I599" s="5">
        <v>781.54</v>
      </c>
      <c r="J599" s="4">
        <v>1</v>
      </c>
      <c r="K599" s="1">
        <v>24</v>
      </c>
      <c r="L599" s="4">
        <v>42.9</v>
      </c>
      <c r="M599" s="3" t="s">
        <v>51</v>
      </c>
      <c r="N599" s="3" t="s">
        <v>22</v>
      </c>
    </row>
    <row r="600" spans="1:14" x14ac:dyDescent="0.3">
      <c r="A600" s="3" t="s">
        <v>680</v>
      </c>
      <c r="B600" s="2">
        <v>45506</v>
      </c>
      <c r="C600" s="3" t="s">
        <v>37</v>
      </c>
      <c r="D600" s="3" t="s">
        <v>16</v>
      </c>
      <c r="E600" s="3" t="s">
        <v>25</v>
      </c>
      <c r="F600" s="3" t="s">
        <v>18</v>
      </c>
      <c r="G600" s="3" t="s">
        <v>76</v>
      </c>
      <c r="H600" s="3" t="s">
        <v>77</v>
      </c>
      <c r="I600" s="5">
        <v>10760.54</v>
      </c>
      <c r="J600" s="4">
        <v>7</v>
      </c>
      <c r="K600" s="1">
        <v>23</v>
      </c>
      <c r="L600" s="4">
        <v>2000.97</v>
      </c>
      <c r="M600" s="3" t="s">
        <v>28</v>
      </c>
      <c r="N600" s="3" t="s">
        <v>44</v>
      </c>
    </row>
    <row r="601" spans="1:14" x14ac:dyDescent="0.3">
      <c r="A601" s="3" t="s">
        <v>681</v>
      </c>
      <c r="B601" s="2">
        <v>45456</v>
      </c>
      <c r="C601" s="3" t="s">
        <v>66</v>
      </c>
      <c r="D601" s="3" t="s">
        <v>56</v>
      </c>
      <c r="E601" s="3" t="s">
        <v>57</v>
      </c>
      <c r="F601" s="3" t="s">
        <v>18</v>
      </c>
      <c r="G601" s="3" t="s">
        <v>26</v>
      </c>
      <c r="H601" s="3" t="s">
        <v>27</v>
      </c>
      <c r="I601" s="5">
        <v>2020.76</v>
      </c>
      <c r="J601" s="4">
        <v>4</v>
      </c>
      <c r="K601" s="1">
        <v>4</v>
      </c>
      <c r="L601" s="4">
        <v>426.28</v>
      </c>
      <c r="M601" s="3" t="s">
        <v>51</v>
      </c>
      <c r="N601" s="3" t="s">
        <v>44</v>
      </c>
    </row>
    <row r="602" spans="1:14" x14ac:dyDescent="0.3">
      <c r="A602" s="3" t="s">
        <v>682</v>
      </c>
      <c r="B602" s="2">
        <v>45695</v>
      </c>
      <c r="C602" s="3" t="s">
        <v>133</v>
      </c>
      <c r="D602" s="3" t="s">
        <v>16</v>
      </c>
      <c r="E602" s="3" t="s">
        <v>31</v>
      </c>
      <c r="F602" s="3" t="s">
        <v>32</v>
      </c>
      <c r="G602" s="3" t="s">
        <v>112</v>
      </c>
      <c r="H602" s="3" t="s">
        <v>113</v>
      </c>
      <c r="I602" s="5">
        <v>8489.61</v>
      </c>
      <c r="J602" s="4">
        <v>9</v>
      </c>
      <c r="K602" s="1">
        <v>27</v>
      </c>
      <c r="L602" s="4">
        <v>1169.5999999999999</v>
      </c>
      <c r="M602" s="3" t="s">
        <v>21</v>
      </c>
      <c r="N602" s="3" t="s">
        <v>35</v>
      </c>
    </row>
    <row r="603" spans="1:14" x14ac:dyDescent="0.3">
      <c r="A603" s="3" t="s">
        <v>683</v>
      </c>
      <c r="B603" s="2">
        <v>45433</v>
      </c>
      <c r="C603" s="3" t="s">
        <v>101</v>
      </c>
      <c r="D603" s="3" t="s">
        <v>38</v>
      </c>
      <c r="E603" s="3" t="s">
        <v>39</v>
      </c>
      <c r="F603" s="3" t="s">
        <v>32</v>
      </c>
      <c r="G603" s="3" t="s">
        <v>112</v>
      </c>
      <c r="H603" s="3" t="s">
        <v>113</v>
      </c>
      <c r="I603" s="5">
        <v>2632.42</v>
      </c>
      <c r="J603" s="4">
        <v>2</v>
      </c>
      <c r="K603" s="1">
        <v>11</v>
      </c>
      <c r="L603" s="4">
        <v>233</v>
      </c>
      <c r="M603" s="3" t="s">
        <v>28</v>
      </c>
      <c r="N603" s="3" t="s">
        <v>22</v>
      </c>
    </row>
    <row r="604" spans="1:14" x14ac:dyDescent="0.3">
      <c r="A604" s="3" t="s">
        <v>684</v>
      </c>
      <c r="B604" s="2">
        <v>45437</v>
      </c>
      <c r="C604" s="3" t="s">
        <v>84</v>
      </c>
      <c r="D604" s="3" t="s">
        <v>16</v>
      </c>
      <c r="E604" s="3" t="s">
        <v>25</v>
      </c>
      <c r="F604" s="3" t="s">
        <v>18</v>
      </c>
      <c r="G604" s="3" t="s">
        <v>76</v>
      </c>
      <c r="H604" s="3" t="s">
        <v>77</v>
      </c>
      <c r="I604" s="5">
        <v>17339.7</v>
      </c>
      <c r="J604" s="4">
        <v>10</v>
      </c>
      <c r="K604" s="1">
        <v>2</v>
      </c>
      <c r="L604" s="4">
        <v>1648.2</v>
      </c>
      <c r="M604" s="3" t="s">
        <v>21</v>
      </c>
      <c r="N604" s="3" t="s">
        <v>40</v>
      </c>
    </row>
    <row r="605" spans="1:14" x14ac:dyDescent="0.3">
      <c r="A605" s="3" t="s">
        <v>685</v>
      </c>
      <c r="B605" s="2">
        <v>45565</v>
      </c>
      <c r="C605" s="3" t="s">
        <v>133</v>
      </c>
      <c r="D605" s="3" t="s">
        <v>16</v>
      </c>
      <c r="E605" s="3" t="s">
        <v>25</v>
      </c>
      <c r="F605" s="3" t="s">
        <v>32</v>
      </c>
      <c r="G605" s="3" t="s">
        <v>112</v>
      </c>
      <c r="H605" s="3" t="s">
        <v>113</v>
      </c>
      <c r="I605" s="5">
        <v>1460.66</v>
      </c>
      <c r="J605" s="4">
        <v>1</v>
      </c>
      <c r="K605" s="1">
        <v>24</v>
      </c>
      <c r="L605" s="4">
        <v>270.74</v>
      </c>
      <c r="M605" s="3" t="s">
        <v>21</v>
      </c>
      <c r="N605" s="3" t="s">
        <v>35</v>
      </c>
    </row>
    <row r="606" spans="1:14" x14ac:dyDescent="0.3">
      <c r="A606" s="3" t="s">
        <v>686</v>
      </c>
      <c r="B606" s="2">
        <v>45635</v>
      </c>
      <c r="C606" s="3" t="s">
        <v>133</v>
      </c>
      <c r="D606" s="3" t="s">
        <v>89</v>
      </c>
      <c r="E606" s="3" t="s">
        <v>102</v>
      </c>
      <c r="F606" s="3" t="s">
        <v>18</v>
      </c>
      <c r="G606" s="3" t="s">
        <v>94</v>
      </c>
      <c r="H606" s="3" t="s">
        <v>95</v>
      </c>
      <c r="I606" s="5">
        <v>1684.83</v>
      </c>
      <c r="J606" s="4">
        <v>7</v>
      </c>
      <c r="K606" s="1">
        <v>4</v>
      </c>
      <c r="L606" s="4">
        <v>149.69</v>
      </c>
      <c r="M606" s="3" t="s">
        <v>51</v>
      </c>
      <c r="N606" s="3" t="s">
        <v>40</v>
      </c>
    </row>
    <row r="607" spans="1:14" x14ac:dyDescent="0.3">
      <c r="A607" s="3" t="s">
        <v>687</v>
      </c>
      <c r="B607" s="2">
        <v>45609</v>
      </c>
      <c r="C607" s="3" t="s">
        <v>101</v>
      </c>
      <c r="D607" s="3" t="s">
        <v>56</v>
      </c>
      <c r="E607" s="3" t="s">
        <v>57</v>
      </c>
      <c r="F607" s="3" t="s">
        <v>32</v>
      </c>
      <c r="G607" s="3" t="s">
        <v>47</v>
      </c>
      <c r="H607" s="3" t="s">
        <v>48</v>
      </c>
      <c r="I607" s="5">
        <v>1716.78</v>
      </c>
      <c r="J607" s="4">
        <v>3</v>
      </c>
      <c r="K607" s="1">
        <v>6</v>
      </c>
      <c r="L607" s="4">
        <v>358.87</v>
      </c>
      <c r="M607" s="3" t="s">
        <v>51</v>
      </c>
      <c r="N607" s="3" t="s">
        <v>44</v>
      </c>
    </row>
    <row r="608" spans="1:14" x14ac:dyDescent="0.3">
      <c r="A608" s="3" t="s">
        <v>688</v>
      </c>
      <c r="B608" s="2">
        <v>45764</v>
      </c>
      <c r="C608" s="3" t="s">
        <v>84</v>
      </c>
      <c r="D608" s="3" t="s">
        <v>89</v>
      </c>
      <c r="E608" s="3" t="s">
        <v>97</v>
      </c>
      <c r="F608" s="3" t="s">
        <v>62</v>
      </c>
      <c r="G608" s="3" t="s">
        <v>67</v>
      </c>
      <c r="H608" s="3" t="s">
        <v>68</v>
      </c>
      <c r="I608" s="5">
        <v>1598.49</v>
      </c>
      <c r="J608" s="4">
        <v>1</v>
      </c>
      <c r="K608" s="1">
        <v>11</v>
      </c>
      <c r="L608" s="4">
        <v>91.21</v>
      </c>
      <c r="M608" s="3" t="s">
        <v>21</v>
      </c>
      <c r="N608" s="3" t="s">
        <v>22</v>
      </c>
    </row>
    <row r="609" spans="1:14" x14ac:dyDescent="0.3">
      <c r="A609" s="3" t="s">
        <v>689</v>
      </c>
      <c r="B609" s="2">
        <v>45567</v>
      </c>
      <c r="C609" s="3" t="s">
        <v>99</v>
      </c>
      <c r="D609" s="3" t="s">
        <v>89</v>
      </c>
      <c r="E609" s="3" t="s">
        <v>90</v>
      </c>
      <c r="F609" s="3" t="s">
        <v>18</v>
      </c>
      <c r="G609" s="3" t="s">
        <v>19</v>
      </c>
      <c r="H609" s="3" t="s">
        <v>20</v>
      </c>
      <c r="I609" s="5">
        <v>5999.95</v>
      </c>
      <c r="J609" s="4">
        <v>5</v>
      </c>
      <c r="K609" s="1">
        <v>14</v>
      </c>
      <c r="L609" s="4">
        <v>1117.8499999999999</v>
      </c>
      <c r="M609" s="3" t="s">
        <v>21</v>
      </c>
      <c r="N609" s="3" t="s">
        <v>22</v>
      </c>
    </row>
    <row r="610" spans="1:14" x14ac:dyDescent="0.3">
      <c r="A610" s="3" t="s">
        <v>690</v>
      </c>
      <c r="B610" s="2">
        <v>45562</v>
      </c>
      <c r="C610" s="3" t="s">
        <v>66</v>
      </c>
      <c r="D610" s="3" t="s">
        <v>38</v>
      </c>
      <c r="E610" s="3" t="s">
        <v>71</v>
      </c>
      <c r="F610" s="3" t="s">
        <v>18</v>
      </c>
      <c r="G610" s="3" t="s">
        <v>94</v>
      </c>
      <c r="H610" s="3" t="s">
        <v>95</v>
      </c>
      <c r="I610" s="5">
        <v>6678</v>
      </c>
      <c r="J610" s="4">
        <v>8</v>
      </c>
      <c r="K610" s="1">
        <v>14</v>
      </c>
      <c r="L610" s="4">
        <v>1076.3599999999999</v>
      </c>
      <c r="M610" s="3" t="s">
        <v>28</v>
      </c>
      <c r="N610" s="3" t="s">
        <v>35</v>
      </c>
    </row>
    <row r="611" spans="1:14" x14ac:dyDescent="0.3">
      <c r="A611" s="3" t="s">
        <v>691</v>
      </c>
      <c r="B611" s="2">
        <v>45654</v>
      </c>
      <c r="C611" s="3" t="s">
        <v>101</v>
      </c>
      <c r="D611" s="3" t="s">
        <v>38</v>
      </c>
      <c r="E611" s="3" t="s">
        <v>43</v>
      </c>
      <c r="F611" s="3" t="s">
        <v>32</v>
      </c>
      <c r="G611" s="3" t="s">
        <v>112</v>
      </c>
      <c r="H611" s="3" t="s">
        <v>113</v>
      </c>
      <c r="I611" s="5">
        <v>11411.28</v>
      </c>
      <c r="J611" s="4">
        <v>6</v>
      </c>
      <c r="K611" s="1">
        <v>1</v>
      </c>
      <c r="L611" s="4">
        <v>2601.56</v>
      </c>
      <c r="M611" s="3" t="s">
        <v>21</v>
      </c>
      <c r="N611" s="3" t="s">
        <v>40</v>
      </c>
    </row>
    <row r="612" spans="1:14" x14ac:dyDescent="0.3">
      <c r="A612" s="3" t="s">
        <v>692</v>
      </c>
      <c r="B612" s="2">
        <v>45653</v>
      </c>
      <c r="C612" s="3" t="s">
        <v>30</v>
      </c>
      <c r="D612" s="3" t="s">
        <v>16</v>
      </c>
      <c r="E612" s="3" t="s">
        <v>25</v>
      </c>
      <c r="F612" s="3" t="s">
        <v>62</v>
      </c>
      <c r="G612" s="3" t="s">
        <v>67</v>
      </c>
      <c r="H612" s="3" t="s">
        <v>68</v>
      </c>
      <c r="I612" s="5">
        <v>2686.46</v>
      </c>
      <c r="J612" s="4">
        <v>2</v>
      </c>
      <c r="K612" s="1">
        <v>20</v>
      </c>
      <c r="L612" s="4">
        <v>109.91</v>
      </c>
      <c r="M612" s="3" t="s">
        <v>51</v>
      </c>
      <c r="N612" s="3" t="s">
        <v>22</v>
      </c>
    </row>
    <row r="613" spans="1:14" x14ac:dyDescent="0.3">
      <c r="A613" s="3" t="s">
        <v>693</v>
      </c>
      <c r="B613" s="2">
        <v>45507</v>
      </c>
      <c r="C613" s="3" t="s">
        <v>24</v>
      </c>
      <c r="D613" s="3" t="s">
        <v>16</v>
      </c>
      <c r="E613" s="3" t="s">
        <v>17</v>
      </c>
      <c r="F613" s="3" t="s">
        <v>18</v>
      </c>
      <c r="G613" s="3" t="s">
        <v>94</v>
      </c>
      <c r="H613" s="3" t="s">
        <v>95</v>
      </c>
      <c r="I613" s="5">
        <v>6493.45</v>
      </c>
      <c r="J613" s="4">
        <v>5</v>
      </c>
      <c r="K613" s="1">
        <v>27</v>
      </c>
      <c r="L613" s="4">
        <v>335.5</v>
      </c>
      <c r="M613" s="3" t="s">
        <v>51</v>
      </c>
      <c r="N613" s="3" t="s">
        <v>35</v>
      </c>
    </row>
    <row r="614" spans="1:14" x14ac:dyDescent="0.3">
      <c r="A614" s="3" t="s">
        <v>694</v>
      </c>
      <c r="B614" s="2">
        <v>45596</v>
      </c>
      <c r="C614" s="3" t="s">
        <v>84</v>
      </c>
      <c r="D614" s="3" t="s">
        <v>38</v>
      </c>
      <c r="E614" s="3" t="s">
        <v>43</v>
      </c>
      <c r="F614" s="3" t="s">
        <v>62</v>
      </c>
      <c r="G614" s="3" t="s">
        <v>103</v>
      </c>
      <c r="H614" s="3" t="s">
        <v>104</v>
      </c>
      <c r="I614" s="5">
        <v>961.74</v>
      </c>
      <c r="J614" s="4">
        <v>6</v>
      </c>
      <c r="K614" s="1">
        <v>19</v>
      </c>
      <c r="L614" s="4">
        <v>53.96</v>
      </c>
      <c r="M614" s="3" t="s">
        <v>28</v>
      </c>
      <c r="N614" s="3" t="s">
        <v>40</v>
      </c>
    </row>
    <row r="615" spans="1:14" x14ac:dyDescent="0.3">
      <c r="A615" s="3" t="s">
        <v>695</v>
      </c>
      <c r="B615" s="2">
        <v>45502</v>
      </c>
      <c r="C615" s="3" t="s">
        <v>50</v>
      </c>
      <c r="D615" s="3" t="s">
        <v>56</v>
      </c>
      <c r="E615" s="3" t="s">
        <v>108</v>
      </c>
      <c r="F615" s="3" t="s">
        <v>62</v>
      </c>
      <c r="G615" s="3" t="s">
        <v>103</v>
      </c>
      <c r="H615" s="3" t="s">
        <v>104</v>
      </c>
      <c r="I615" s="5">
        <v>5743.92</v>
      </c>
      <c r="J615" s="4">
        <v>4</v>
      </c>
      <c r="K615" s="1">
        <v>13</v>
      </c>
      <c r="L615" s="4">
        <v>1236.45</v>
      </c>
      <c r="M615" s="3" t="s">
        <v>28</v>
      </c>
      <c r="N615" s="3" t="s">
        <v>40</v>
      </c>
    </row>
    <row r="616" spans="1:14" x14ac:dyDescent="0.3">
      <c r="A616" s="3" t="s">
        <v>696</v>
      </c>
      <c r="B616" s="2">
        <v>45425</v>
      </c>
      <c r="C616" s="3" t="s">
        <v>24</v>
      </c>
      <c r="D616" s="3" t="s">
        <v>89</v>
      </c>
      <c r="E616" s="3" t="s">
        <v>102</v>
      </c>
      <c r="F616" s="3" t="s">
        <v>32</v>
      </c>
      <c r="G616" s="3" t="s">
        <v>33</v>
      </c>
      <c r="H616" s="3" t="s">
        <v>34</v>
      </c>
      <c r="I616" s="5">
        <v>4253.7</v>
      </c>
      <c r="J616" s="4">
        <v>3</v>
      </c>
      <c r="K616" s="1">
        <v>3</v>
      </c>
      <c r="L616" s="4">
        <v>818.64</v>
      </c>
      <c r="M616" s="3" t="s">
        <v>21</v>
      </c>
      <c r="N616" s="3" t="s">
        <v>22</v>
      </c>
    </row>
    <row r="617" spans="1:14" x14ac:dyDescent="0.3">
      <c r="A617" s="3" t="s">
        <v>697</v>
      </c>
      <c r="B617" s="2">
        <v>45768</v>
      </c>
      <c r="C617" s="3" t="s">
        <v>84</v>
      </c>
      <c r="D617" s="3" t="s">
        <v>38</v>
      </c>
      <c r="E617" s="3" t="s">
        <v>43</v>
      </c>
      <c r="F617" s="3" t="s">
        <v>18</v>
      </c>
      <c r="G617" s="3" t="s">
        <v>26</v>
      </c>
      <c r="H617" s="3" t="s">
        <v>27</v>
      </c>
      <c r="I617" s="5">
        <v>3986</v>
      </c>
      <c r="J617" s="4">
        <v>2</v>
      </c>
      <c r="K617" s="1">
        <v>24</v>
      </c>
      <c r="L617" s="4">
        <v>546.29999999999995</v>
      </c>
      <c r="M617" s="3" t="s">
        <v>21</v>
      </c>
      <c r="N617" s="3" t="s">
        <v>44</v>
      </c>
    </row>
    <row r="618" spans="1:14" x14ac:dyDescent="0.3">
      <c r="A618" s="3" t="s">
        <v>698</v>
      </c>
      <c r="B618" s="2">
        <v>45465</v>
      </c>
      <c r="C618" s="3" t="s">
        <v>15</v>
      </c>
      <c r="D618" s="3" t="s">
        <v>38</v>
      </c>
      <c r="E618" s="3" t="s">
        <v>43</v>
      </c>
      <c r="F618" s="3" t="s">
        <v>18</v>
      </c>
      <c r="G618" s="3" t="s">
        <v>76</v>
      </c>
      <c r="H618" s="3" t="s">
        <v>77</v>
      </c>
      <c r="I618" s="5">
        <v>795.3</v>
      </c>
      <c r="J618" s="4">
        <v>1</v>
      </c>
      <c r="K618" s="1">
        <v>22</v>
      </c>
      <c r="L618" s="4">
        <v>143.65</v>
      </c>
      <c r="M618" s="3" t="s">
        <v>28</v>
      </c>
      <c r="N618" s="3" t="s">
        <v>22</v>
      </c>
    </row>
    <row r="619" spans="1:14" x14ac:dyDescent="0.3">
      <c r="A619" s="3" t="s">
        <v>699</v>
      </c>
      <c r="B619" s="2">
        <v>45452</v>
      </c>
      <c r="C619" s="3" t="s">
        <v>73</v>
      </c>
      <c r="D619" s="3" t="s">
        <v>38</v>
      </c>
      <c r="E619" s="3" t="s">
        <v>39</v>
      </c>
      <c r="F619" s="3" t="s">
        <v>18</v>
      </c>
      <c r="G619" s="3" t="s">
        <v>94</v>
      </c>
      <c r="H619" s="3" t="s">
        <v>95</v>
      </c>
      <c r="I619" s="5">
        <v>4142.72</v>
      </c>
      <c r="J619" s="4">
        <v>8</v>
      </c>
      <c r="K619" s="1">
        <v>5</v>
      </c>
      <c r="L619" s="4">
        <v>348.36</v>
      </c>
      <c r="M619" s="3" t="s">
        <v>21</v>
      </c>
      <c r="N619" s="3" t="s">
        <v>44</v>
      </c>
    </row>
    <row r="620" spans="1:14" x14ac:dyDescent="0.3">
      <c r="A620" s="3" t="s">
        <v>700</v>
      </c>
      <c r="B620" s="2">
        <v>45583</v>
      </c>
      <c r="C620" s="3" t="s">
        <v>37</v>
      </c>
      <c r="D620" s="3" t="s">
        <v>16</v>
      </c>
      <c r="E620" s="3" t="s">
        <v>25</v>
      </c>
      <c r="F620" s="3" t="s">
        <v>32</v>
      </c>
      <c r="G620" s="3" t="s">
        <v>112</v>
      </c>
      <c r="H620" s="3" t="s">
        <v>113</v>
      </c>
      <c r="I620" s="5">
        <v>2052.88</v>
      </c>
      <c r="J620" s="4">
        <v>2</v>
      </c>
      <c r="K620" s="1">
        <v>11</v>
      </c>
      <c r="L620" s="4">
        <v>284.85000000000002</v>
      </c>
      <c r="M620" s="3" t="s">
        <v>51</v>
      </c>
      <c r="N620" s="3" t="s">
        <v>40</v>
      </c>
    </row>
    <row r="621" spans="1:14" x14ac:dyDescent="0.3">
      <c r="A621" s="3" t="s">
        <v>701</v>
      </c>
      <c r="B621" s="2">
        <v>45771</v>
      </c>
      <c r="C621" s="3" t="s">
        <v>66</v>
      </c>
      <c r="D621" s="3" t="s">
        <v>56</v>
      </c>
      <c r="E621" s="3" t="s">
        <v>108</v>
      </c>
      <c r="F621" s="3" t="s">
        <v>62</v>
      </c>
      <c r="G621" s="3" t="s">
        <v>103</v>
      </c>
      <c r="H621" s="3" t="s">
        <v>104</v>
      </c>
      <c r="I621" s="5">
        <v>4379.97</v>
      </c>
      <c r="J621" s="4">
        <v>7</v>
      </c>
      <c r="K621" s="1">
        <v>29</v>
      </c>
      <c r="L621" s="4">
        <v>361.35</v>
      </c>
      <c r="M621" s="3" t="s">
        <v>28</v>
      </c>
      <c r="N621" s="3" t="s">
        <v>44</v>
      </c>
    </row>
    <row r="622" spans="1:14" x14ac:dyDescent="0.3">
      <c r="A622" s="3" t="s">
        <v>702</v>
      </c>
      <c r="B622" s="2">
        <v>45531</v>
      </c>
      <c r="C622" s="3" t="s">
        <v>50</v>
      </c>
      <c r="D622" s="3" t="s">
        <v>89</v>
      </c>
      <c r="E622" s="3" t="s">
        <v>140</v>
      </c>
      <c r="F622" s="3" t="s">
        <v>62</v>
      </c>
      <c r="G622" s="3" t="s">
        <v>103</v>
      </c>
      <c r="H622" s="3" t="s">
        <v>104</v>
      </c>
      <c r="I622" s="5">
        <v>19417.400000000001</v>
      </c>
      <c r="J622" s="4">
        <v>10</v>
      </c>
      <c r="K622" s="1">
        <v>23</v>
      </c>
      <c r="L622" s="4">
        <v>2752.59</v>
      </c>
      <c r="M622" s="3" t="s">
        <v>51</v>
      </c>
      <c r="N622" s="3" t="s">
        <v>22</v>
      </c>
    </row>
    <row r="623" spans="1:14" x14ac:dyDescent="0.3">
      <c r="A623" s="3" t="s">
        <v>703</v>
      </c>
      <c r="B623" s="2">
        <v>45626</v>
      </c>
      <c r="C623" s="3" t="s">
        <v>70</v>
      </c>
      <c r="D623" s="3" t="s">
        <v>89</v>
      </c>
      <c r="E623" s="3" t="s">
        <v>116</v>
      </c>
      <c r="F623" s="3" t="s">
        <v>62</v>
      </c>
      <c r="G623" s="3" t="s">
        <v>63</v>
      </c>
      <c r="H623" s="3" t="s">
        <v>64</v>
      </c>
      <c r="I623" s="5">
        <v>8662.2000000000007</v>
      </c>
      <c r="J623" s="4">
        <v>10</v>
      </c>
      <c r="K623" s="1">
        <v>28</v>
      </c>
      <c r="L623" s="4">
        <v>1372.43</v>
      </c>
      <c r="M623" s="3" t="s">
        <v>28</v>
      </c>
      <c r="N623" s="3" t="s">
        <v>44</v>
      </c>
    </row>
    <row r="624" spans="1:14" x14ac:dyDescent="0.3">
      <c r="A624" s="3" t="s">
        <v>704</v>
      </c>
      <c r="B624" s="2">
        <v>45753</v>
      </c>
      <c r="C624" s="3" t="s">
        <v>73</v>
      </c>
      <c r="D624" s="3" t="s">
        <v>16</v>
      </c>
      <c r="E624" s="3" t="s">
        <v>17</v>
      </c>
      <c r="F624" s="3" t="s">
        <v>62</v>
      </c>
      <c r="G624" s="3" t="s">
        <v>63</v>
      </c>
      <c r="H624" s="3" t="s">
        <v>64</v>
      </c>
      <c r="I624" s="5">
        <v>1542.29</v>
      </c>
      <c r="J624" s="4">
        <v>1</v>
      </c>
      <c r="K624" s="1">
        <v>6</v>
      </c>
      <c r="L624" s="4">
        <v>328.41</v>
      </c>
      <c r="M624" s="3" t="s">
        <v>28</v>
      </c>
      <c r="N624" s="3" t="s">
        <v>44</v>
      </c>
    </row>
    <row r="625" spans="1:14" x14ac:dyDescent="0.3">
      <c r="A625" s="3" t="s">
        <v>705</v>
      </c>
      <c r="B625" s="2">
        <v>45596</v>
      </c>
      <c r="C625" s="3" t="s">
        <v>30</v>
      </c>
      <c r="D625" s="3" t="s">
        <v>16</v>
      </c>
      <c r="E625" s="3" t="s">
        <v>31</v>
      </c>
      <c r="F625" s="3" t="s">
        <v>32</v>
      </c>
      <c r="G625" s="3" t="s">
        <v>47</v>
      </c>
      <c r="H625" s="3" t="s">
        <v>48</v>
      </c>
      <c r="I625" s="5">
        <v>3257.82</v>
      </c>
      <c r="J625" s="4">
        <v>9</v>
      </c>
      <c r="K625" s="1">
        <v>15</v>
      </c>
      <c r="L625" s="4">
        <v>212.09</v>
      </c>
      <c r="M625" s="3" t="s">
        <v>28</v>
      </c>
      <c r="N625" s="3" t="s">
        <v>22</v>
      </c>
    </row>
    <row r="626" spans="1:14" x14ac:dyDescent="0.3">
      <c r="A626" s="3" t="s">
        <v>706</v>
      </c>
      <c r="B626" s="2">
        <v>45454</v>
      </c>
      <c r="C626" s="3" t="s">
        <v>75</v>
      </c>
      <c r="D626" s="3" t="s">
        <v>89</v>
      </c>
      <c r="E626" s="3" t="s">
        <v>116</v>
      </c>
      <c r="F626" s="3" t="s">
        <v>32</v>
      </c>
      <c r="G626" s="3" t="s">
        <v>33</v>
      </c>
      <c r="H626" s="3" t="s">
        <v>34</v>
      </c>
      <c r="I626" s="5">
        <v>3457.2</v>
      </c>
      <c r="J626" s="4">
        <v>5</v>
      </c>
      <c r="K626" s="1">
        <v>22</v>
      </c>
      <c r="L626" s="4">
        <v>259.33999999999997</v>
      </c>
      <c r="M626" s="3" t="s">
        <v>51</v>
      </c>
      <c r="N626" s="3" t="s">
        <v>40</v>
      </c>
    </row>
    <row r="627" spans="1:14" x14ac:dyDescent="0.3">
      <c r="A627" s="3" t="s">
        <v>707</v>
      </c>
      <c r="B627" s="2">
        <v>45687</v>
      </c>
      <c r="C627" s="3" t="s">
        <v>15</v>
      </c>
      <c r="D627" s="3" t="s">
        <v>16</v>
      </c>
      <c r="E627" s="3" t="s">
        <v>17</v>
      </c>
      <c r="F627" s="3" t="s">
        <v>62</v>
      </c>
      <c r="G627" s="3" t="s">
        <v>67</v>
      </c>
      <c r="H627" s="3" t="s">
        <v>68</v>
      </c>
      <c r="I627" s="5">
        <v>5518.32</v>
      </c>
      <c r="J627" s="4">
        <v>4</v>
      </c>
      <c r="K627" s="1">
        <v>19</v>
      </c>
      <c r="L627" s="4">
        <v>785.52</v>
      </c>
      <c r="M627" s="3" t="s">
        <v>28</v>
      </c>
      <c r="N627" s="3" t="s">
        <v>35</v>
      </c>
    </row>
    <row r="628" spans="1:14" x14ac:dyDescent="0.3">
      <c r="A628" s="3" t="s">
        <v>708</v>
      </c>
      <c r="B628" s="2">
        <v>45691</v>
      </c>
      <c r="C628" s="3" t="s">
        <v>66</v>
      </c>
      <c r="D628" s="3" t="s">
        <v>38</v>
      </c>
      <c r="E628" s="3" t="s">
        <v>43</v>
      </c>
      <c r="F628" s="3" t="s">
        <v>18</v>
      </c>
      <c r="G628" s="3" t="s">
        <v>94</v>
      </c>
      <c r="H628" s="3" t="s">
        <v>95</v>
      </c>
      <c r="I628" s="5">
        <v>4429.28</v>
      </c>
      <c r="J628" s="4">
        <v>8</v>
      </c>
      <c r="K628" s="1">
        <v>12</v>
      </c>
      <c r="L628" s="4">
        <v>800.15</v>
      </c>
      <c r="M628" s="3" t="s">
        <v>21</v>
      </c>
      <c r="N628" s="3" t="s">
        <v>35</v>
      </c>
    </row>
    <row r="629" spans="1:14" x14ac:dyDescent="0.3">
      <c r="A629" s="3" t="s">
        <v>709</v>
      </c>
      <c r="B629" s="2">
        <v>45505</v>
      </c>
      <c r="C629" s="3" t="s">
        <v>84</v>
      </c>
      <c r="D629" s="3" t="s">
        <v>56</v>
      </c>
      <c r="E629" s="3" t="s">
        <v>61</v>
      </c>
      <c r="F629" s="3" t="s">
        <v>62</v>
      </c>
      <c r="G629" s="3" t="s">
        <v>67</v>
      </c>
      <c r="H629" s="3" t="s">
        <v>68</v>
      </c>
      <c r="I629" s="5">
        <v>1295.57</v>
      </c>
      <c r="J629" s="4">
        <v>1</v>
      </c>
      <c r="K629" s="1">
        <v>12</v>
      </c>
      <c r="L629" s="4">
        <v>72.48</v>
      </c>
      <c r="M629" s="3" t="s">
        <v>28</v>
      </c>
      <c r="N629" s="3" t="s">
        <v>40</v>
      </c>
    </row>
    <row r="630" spans="1:14" x14ac:dyDescent="0.3">
      <c r="A630" s="3" t="s">
        <v>710</v>
      </c>
      <c r="B630" s="2">
        <v>45613</v>
      </c>
      <c r="C630" s="3" t="s">
        <v>42</v>
      </c>
      <c r="D630" s="3" t="s">
        <v>89</v>
      </c>
      <c r="E630" s="3" t="s">
        <v>140</v>
      </c>
      <c r="F630" s="3" t="s">
        <v>18</v>
      </c>
      <c r="G630" s="3" t="s">
        <v>26</v>
      </c>
      <c r="H630" s="3" t="s">
        <v>27</v>
      </c>
      <c r="I630" s="5">
        <v>4256.2</v>
      </c>
      <c r="J630" s="4">
        <v>5</v>
      </c>
      <c r="K630" s="1">
        <v>25</v>
      </c>
      <c r="L630" s="4">
        <v>579.57000000000005</v>
      </c>
      <c r="M630" s="3" t="s">
        <v>21</v>
      </c>
      <c r="N630" s="3" t="s">
        <v>22</v>
      </c>
    </row>
    <row r="631" spans="1:14" x14ac:dyDescent="0.3">
      <c r="A631" s="3" t="s">
        <v>711</v>
      </c>
      <c r="B631" s="2">
        <v>45580</v>
      </c>
      <c r="C631" s="3" t="s">
        <v>101</v>
      </c>
      <c r="D631" s="3" t="s">
        <v>89</v>
      </c>
      <c r="E631" s="3" t="s">
        <v>116</v>
      </c>
      <c r="F631" s="3" t="s">
        <v>32</v>
      </c>
      <c r="G631" s="3" t="s">
        <v>47</v>
      </c>
      <c r="H631" s="3" t="s">
        <v>48</v>
      </c>
      <c r="I631" s="5">
        <v>11003.44</v>
      </c>
      <c r="J631" s="4">
        <v>7</v>
      </c>
      <c r="K631" s="1">
        <v>13</v>
      </c>
      <c r="L631" s="4">
        <v>1129.8699999999999</v>
      </c>
      <c r="M631" s="3" t="s">
        <v>28</v>
      </c>
      <c r="N631" s="3" t="s">
        <v>44</v>
      </c>
    </row>
    <row r="632" spans="1:14" x14ac:dyDescent="0.3">
      <c r="A632" s="3" t="s">
        <v>712</v>
      </c>
      <c r="B632" s="2">
        <v>45631</v>
      </c>
      <c r="C632" s="3" t="s">
        <v>133</v>
      </c>
      <c r="D632" s="3" t="s">
        <v>56</v>
      </c>
      <c r="E632" s="3" t="s">
        <v>108</v>
      </c>
      <c r="F632" s="3" t="s">
        <v>62</v>
      </c>
      <c r="G632" s="3" t="s">
        <v>103</v>
      </c>
      <c r="H632" s="3" t="s">
        <v>104</v>
      </c>
      <c r="I632" s="5">
        <v>4075.35</v>
      </c>
      <c r="J632" s="4">
        <v>5</v>
      </c>
      <c r="K632" s="1">
        <v>6</v>
      </c>
      <c r="L632" s="4">
        <v>417.64</v>
      </c>
      <c r="M632" s="3" t="s">
        <v>28</v>
      </c>
      <c r="N632" s="3" t="s">
        <v>44</v>
      </c>
    </row>
    <row r="633" spans="1:14" x14ac:dyDescent="0.3">
      <c r="A633" s="3" t="s">
        <v>713</v>
      </c>
      <c r="B633" s="2">
        <v>45622</v>
      </c>
      <c r="C633" s="3" t="s">
        <v>75</v>
      </c>
      <c r="D633" s="3" t="s">
        <v>38</v>
      </c>
      <c r="E633" s="3" t="s">
        <v>71</v>
      </c>
      <c r="F633" s="3" t="s">
        <v>32</v>
      </c>
      <c r="G633" s="3" t="s">
        <v>33</v>
      </c>
      <c r="H633" s="3" t="s">
        <v>34</v>
      </c>
      <c r="I633" s="5">
        <v>1748.1</v>
      </c>
      <c r="J633" s="4">
        <v>5</v>
      </c>
      <c r="K633" s="1">
        <v>27</v>
      </c>
      <c r="L633" s="4">
        <v>67.69</v>
      </c>
      <c r="M633" s="3" t="s">
        <v>21</v>
      </c>
      <c r="N633" s="3" t="s">
        <v>40</v>
      </c>
    </row>
    <row r="634" spans="1:14" x14ac:dyDescent="0.3">
      <c r="A634" s="3" t="s">
        <v>714</v>
      </c>
      <c r="B634" s="2">
        <v>45526</v>
      </c>
      <c r="C634" s="3" t="s">
        <v>24</v>
      </c>
      <c r="D634" s="3" t="s">
        <v>16</v>
      </c>
      <c r="E634" s="3" t="s">
        <v>31</v>
      </c>
      <c r="F634" s="3" t="s">
        <v>32</v>
      </c>
      <c r="G634" s="3" t="s">
        <v>33</v>
      </c>
      <c r="H634" s="3" t="s">
        <v>34</v>
      </c>
      <c r="I634" s="5">
        <v>5792.5</v>
      </c>
      <c r="J634" s="4">
        <v>10</v>
      </c>
      <c r="K634" s="1">
        <v>16</v>
      </c>
      <c r="L634" s="4">
        <v>624.83000000000004</v>
      </c>
      <c r="M634" s="3" t="s">
        <v>28</v>
      </c>
      <c r="N634" s="3" t="s">
        <v>35</v>
      </c>
    </row>
    <row r="635" spans="1:14" x14ac:dyDescent="0.3">
      <c r="A635" s="3" t="s">
        <v>715</v>
      </c>
      <c r="B635" s="2">
        <v>45461</v>
      </c>
      <c r="C635" s="3" t="s">
        <v>101</v>
      </c>
      <c r="D635" s="3" t="s">
        <v>16</v>
      </c>
      <c r="E635" s="3" t="s">
        <v>17</v>
      </c>
      <c r="F635" s="3" t="s">
        <v>62</v>
      </c>
      <c r="G635" s="3" t="s">
        <v>103</v>
      </c>
      <c r="H635" s="3" t="s">
        <v>104</v>
      </c>
      <c r="I635" s="5">
        <v>16064.5</v>
      </c>
      <c r="J635" s="4">
        <v>10</v>
      </c>
      <c r="K635" s="1">
        <v>14</v>
      </c>
      <c r="L635" s="4">
        <v>2814.72</v>
      </c>
      <c r="M635" s="3" t="s">
        <v>51</v>
      </c>
      <c r="N635" s="3" t="s">
        <v>40</v>
      </c>
    </row>
    <row r="636" spans="1:14" x14ac:dyDescent="0.3">
      <c r="A636" s="3" t="s">
        <v>716</v>
      </c>
      <c r="B636" s="2">
        <v>45640</v>
      </c>
      <c r="C636" s="3" t="s">
        <v>66</v>
      </c>
      <c r="D636" s="3" t="s">
        <v>89</v>
      </c>
      <c r="E636" s="3" t="s">
        <v>97</v>
      </c>
      <c r="F636" s="3" t="s">
        <v>32</v>
      </c>
      <c r="G636" s="3" t="s">
        <v>33</v>
      </c>
      <c r="H636" s="3" t="s">
        <v>34</v>
      </c>
      <c r="I636" s="5">
        <v>4338.24</v>
      </c>
      <c r="J636" s="4">
        <v>4</v>
      </c>
      <c r="K636" s="1">
        <v>25</v>
      </c>
      <c r="L636" s="4">
        <v>478.99</v>
      </c>
      <c r="M636" s="3" t="s">
        <v>51</v>
      </c>
      <c r="N636" s="3" t="s">
        <v>35</v>
      </c>
    </row>
    <row r="637" spans="1:14" x14ac:dyDescent="0.3">
      <c r="A637" s="3" t="s">
        <v>717</v>
      </c>
      <c r="B637" s="2">
        <v>45465</v>
      </c>
      <c r="C637" s="3" t="s">
        <v>30</v>
      </c>
      <c r="D637" s="3" t="s">
        <v>38</v>
      </c>
      <c r="E637" s="3" t="s">
        <v>71</v>
      </c>
      <c r="F637" s="3" t="s">
        <v>32</v>
      </c>
      <c r="G637" s="3" t="s">
        <v>47</v>
      </c>
      <c r="H637" s="3" t="s">
        <v>48</v>
      </c>
      <c r="I637" s="5">
        <v>1541.85</v>
      </c>
      <c r="J637" s="4">
        <v>1</v>
      </c>
      <c r="K637" s="1">
        <v>26</v>
      </c>
      <c r="L637" s="4">
        <v>92.36</v>
      </c>
      <c r="M637" s="3" t="s">
        <v>51</v>
      </c>
      <c r="N637" s="3" t="s">
        <v>40</v>
      </c>
    </row>
    <row r="638" spans="1:14" x14ac:dyDescent="0.3">
      <c r="A638" s="3" t="s">
        <v>718</v>
      </c>
      <c r="B638" s="2">
        <v>45433</v>
      </c>
      <c r="C638" s="3" t="s">
        <v>99</v>
      </c>
      <c r="D638" s="3" t="s">
        <v>38</v>
      </c>
      <c r="E638" s="3" t="s">
        <v>71</v>
      </c>
      <c r="F638" s="3" t="s">
        <v>18</v>
      </c>
      <c r="G638" s="3" t="s">
        <v>26</v>
      </c>
      <c r="H638" s="3" t="s">
        <v>27</v>
      </c>
      <c r="I638" s="5">
        <v>1259.8599999999999</v>
      </c>
      <c r="J638" s="4">
        <v>7</v>
      </c>
      <c r="K638" s="1">
        <v>11</v>
      </c>
      <c r="L638" s="4">
        <v>152.04</v>
      </c>
      <c r="M638" s="3" t="s">
        <v>28</v>
      </c>
      <c r="N638" s="3" t="s">
        <v>44</v>
      </c>
    </row>
    <row r="639" spans="1:14" x14ac:dyDescent="0.3">
      <c r="A639" s="3" t="s">
        <v>719</v>
      </c>
      <c r="B639" s="2">
        <v>45746</v>
      </c>
      <c r="C639" s="3" t="s">
        <v>66</v>
      </c>
      <c r="D639" s="3" t="s">
        <v>56</v>
      </c>
      <c r="E639" s="3" t="s">
        <v>108</v>
      </c>
      <c r="F639" s="3" t="s">
        <v>18</v>
      </c>
      <c r="G639" s="3" t="s">
        <v>76</v>
      </c>
      <c r="H639" s="3" t="s">
        <v>77</v>
      </c>
      <c r="I639" s="5">
        <v>1962.14</v>
      </c>
      <c r="J639" s="4">
        <v>1</v>
      </c>
      <c r="K639" s="1">
        <v>16</v>
      </c>
      <c r="L639" s="4">
        <v>342.14</v>
      </c>
      <c r="M639" s="3" t="s">
        <v>21</v>
      </c>
      <c r="N639" s="3" t="s">
        <v>40</v>
      </c>
    </row>
    <row r="640" spans="1:14" x14ac:dyDescent="0.3">
      <c r="A640" s="3" t="s">
        <v>720</v>
      </c>
      <c r="B640" s="2">
        <v>45671</v>
      </c>
      <c r="C640" s="3" t="s">
        <v>30</v>
      </c>
      <c r="D640" s="3" t="s">
        <v>89</v>
      </c>
      <c r="E640" s="3" t="s">
        <v>102</v>
      </c>
      <c r="F640" s="3" t="s">
        <v>62</v>
      </c>
      <c r="G640" s="3" t="s">
        <v>67</v>
      </c>
      <c r="H640" s="3" t="s">
        <v>68</v>
      </c>
      <c r="I640" s="5">
        <v>1836.3</v>
      </c>
      <c r="J640" s="4">
        <v>6</v>
      </c>
      <c r="K640" s="1">
        <v>3</v>
      </c>
      <c r="L640" s="4">
        <v>205.32</v>
      </c>
      <c r="M640" s="3" t="s">
        <v>28</v>
      </c>
      <c r="N640" s="3" t="s">
        <v>44</v>
      </c>
    </row>
    <row r="641" spans="1:14" x14ac:dyDescent="0.3">
      <c r="A641" s="3" t="s">
        <v>721</v>
      </c>
      <c r="B641" s="2">
        <v>45581</v>
      </c>
      <c r="C641" s="3" t="s">
        <v>30</v>
      </c>
      <c r="D641" s="3" t="s">
        <v>16</v>
      </c>
      <c r="E641" s="3" t="s">
        <v>17</v>
      </c>
      <c r="F641" s="3" t="s">
        <v>18</v>
      </c>
      <c r="G641" s="3" t="s">
        <v>19</v>
      </c>
      <c r="H641" s="3" t="s">
        <v>20</v>
      </c>
      <c r="I641" s="5">
        <v>2857.02</v>
      </c>
      <c r="J641" s="4">
        <v>6</v>
      </c>
      <c r="K641" s="1">
        <v>14</v>
      </c>
      <c r="L641" s="4">
        <v>588.44000000000005</v>
      </c>
      <c r="M641" s="3" t="s">
        <v>51</v>
      </c>
      <c r="N641" s="3" t="s">
        <v>44</v>
      </c>
    </row>
    <row r="642" spans="1:14" x14ac:dyDescent="0.3">
      <c r="A642" s="3" t="s">
        <v>722</v>
      </c>
      <c r="B642" s="2">
        <v>45524</v>
      </c>
      <c r="C642" s="3" t="s">
        <v>15</v>
      </c>
      <c r="D642" s="3" t="s">
        <v>38</v>
      </c>
      <c r="E642" s="3" t="s">
        <v>39</v>
      </c>
      <c r="F642" s="3" t="s">
        <v>18</v>
      </c>
      <c r="G642" s="3" t="s">
        <v>26</v>
      </c>
      <c r="H642" s="3" t="s">
        <v>27</v>
      </c>
      <c r="I642" s="5">
        <v>3438.66</v>
      </c>
      <c r="J642" s="4">
        <v>2</v>
      </c>
      <c r="K642" s="1">
        <v>26</v>
      </c>
      <c r="L642" s="4">
        <v>335.2</v>
      </c>
      <c r="M642" s="3" t="s">
        <v>51</v>
      </c>
      <c r="N642" s="3" t="s">
        <v>44</v>
      </c>
    </row>
    <row r="643" spans="1:14" x14ac:dyDescent="0.3">
      <c r="A643" s="3" t="s">
        <v>723</v>
      </c>
      <c r="B643" s="2">
        <v>45617</v>
      </c>
      <c r="C643" s="3" t="s">
        <v>50</v>
      </c>
      <c r="D643" s="3" t="s">
        <v>89</v>
      </c>
      <c r="E643" s="3" t="s">
        <v>90</v>
      </c>
      <c r="F643" s="3" t="s">
        <v>18</v>
      </c>
      <c r="G643" s="3" t="s">
        <v>19</v>
      </c>
      <c r="H643" s="3" t="s">
        <v>20</v>
      </c>
      <c r="I643" s="5">
        <v>3167.46</v>
      </c>
      <c r="J643" s="4">
        <v>6</v>
      </c>
      <c r="K643" s="1">
        <v>20</v>
      </c>
      <c r="L643" s="4">
        <v>321.82</v>
      </c>
      <c r="M643" s="3" t="s">
        <v>21</v>
      </c>
      <c r="N643" s="3" t="s">
        <v>40</v>
      </c>
    </row>
    <row r="644" spans="1:14" x14ac:dyDescent="0.3">
      <c r="A644" s="3" t="s">
        <v>724</v>
      </c>
      <c r="B644" s="2">
        <v>45744</v>
      </c>
      <c r="C644" s="3" t="s">
        <v>75</v>
      </c>
      <c r="D644" s="3" t="s">
        <v>56</v>
      </c>
      <c r="E644" s="3" t="s">
        <v>61</v>
      </c>
      <c r="F644" s="3" t="s">
        <v>62</v>
      </c>
      <c r="G644" s="3" t="s">
        <v>63</v>
      </c>
      <c r="H644" s="3" t="s">
        <v>64</v>
      </c>
      <c r="I644" s="5">
        <v>4706.6400000000003</v>
      </c>
      <c r="J644" s="4">
        <v>4</v>
      </c>
      <c r="K644" s="1">
        <v>22</v>
      </c>
      <c r="L644" s="4">
        <v>284.01</v>
      </c>
      <c r="M644" s="3" t="s">
        <v>21</v>
      </c>
      <c r="N644" s="3" t="s">
        <v>44</v>
      </c>
    </row>
    <row r="645" spans="1:14" x14ac:dyDescent="0.3">
      <c r="A645" s="3" t="s">
        <v>725</v>
      </c>
      <c r="B645" s="2">
        <v>45639</v>
      </c>
      <c r="C645" s="3" t="s">
        <v>70</v>
      </c>
      <c r="D645" s="3" t="s">
        <v>89</v>
      </c>
      <c r="E645" s="3" t="s">
        <v>97</v>
      </c>
      <c r="F645" s="3" t="s">
        <v>32</v>
      </c>
      <c r="G645" s="3" t="s">
        <v>47</v>
      </c>
      <c r="H645" s="3" t="s">
        <v>48</v>
      </c>
      <c r="I645" s="5">
        <v>3504.84</v>
      </c>
      <c r="J645" s="4">
        <v>4</v>
      </c>
      <c r="K645" s="1">
        <v>14</v>
      </c>
      <c r="L645" s="4">
        <v>196.8</v>
      </c>
      <c r="M645" s="3" t="s">
        <v>28</v>
      </c>
      <c r="N645" s="3" t="s">
        <v>22</v>
      </c>
    </row>
    <row r="646" spans="1:14" x14ac:dyDescent="0.3">
      <c r="A646" s="3" t="s">
        <v>726</v>
      </c>
      <c r="B646" s="2">
        <v>45786</v>
      </c>
      <c r="C646" s="3" t="s">
        <v>37</v>
      </c>
      <c r="D646" s="3" t="s">
        <v>89</v>
      </c>
      <c r="E646" s="3" t="s">
        <v>90</v>
      </c>
      <c r="F646" s="3" t="s">
        <v>18</v>
      </c>
      <c r="G646" s="3" t="s">
        <v>26</v>
      </c>
      <c r="H646" s="3" t="s">
        <v>27</v>
      </c>
      <c r="I646" s="5">
        <v>8740.7199999999993</v>
      </c>
      <c r="J646" s="4">
        <v>8</v>
      </c>
      <c r="K646" s="1">
        <v>17</v>
      </c>
      <c r="L646" s="4">
        <v>506.29</v>
      </c>
      <c r="M646" s="3" t="s">
        <v>28</v>
      </c>
      <c r="N646" s="3" t="s">
        <v>35</v>
      </c>
    </row>
    <row r="647" spans="1:14" x14ac:dyDescent="0.3">
      <c r="A647" s="3" t="s">
        <v>727</v>
      </c>
      <c r="B647" s="2">
        <v>45635</v>
      </c>
      <c r="C647" s="3" t="s">
        <v>73</v>
      </c>
      <c r="D647" s="3" t="s">
        <v>16</v>
      </c>
      <c r="E647" s="3" t="s">
        <v>17</v>
      </c>
      <c r="F647" s="3" t="s">
        <v>62</v>
      </c>
      <c r="G647" s="3" t="s">
        <v>63</v>
      </c>
      <c r="H647" s="3" t="s">
        <v>64</v>
      </c>
      <c r="I647" s="5">
        <v>3478.44</v>
      </c>
      <c r="J647" s="4">
        <v>3</v>
      </c>
      <c r="K647" s="1">
        <v>8</v>
      </c>
      <c r="L647" s="4">
        <v>653.04999999999995</v>
      </c>
      <c r="M647" s="3" t="s">
        <v>21</v>
      </c>
      <c r="N647" s="3" t="s">
        <v>44</v>
      </c>
    </row>
    <row r="648" spans="1:14" x14ac:dyDescent="0.3">
      <c r="A648" s="3" t="s">
        <v>728</v>
      </c>
      <c r="B648" s="2">
        <v>45737</v>
      </c>
      <c r="C648" s="3" t="s">
        <v>66</v>
      </c>
      <c r="D648" s="3" t="s">
        <v>89</v>
      </c>
      <c r="E648" s="3" t="s">
        <v>90</v>
      </c>
      <c r="F648" s="3" t="s">
        <v>32</v>
      </c>
      <c r="G648" s="3" t="s">
        <v>33</v>
      </c>
      <c r="H648" s="3" t="s">
        <v>34</v>
      </c>
      <c r="I648" s="5">
        <v>5088.42</v>
      </c>
      <c r="J648" s="4">
        <v>3</v>
      </c>
      <c r="K648" s="1">
        <v>8</v>
      </c>
      <c r="L648" s="4">
        <v>326.14</v>
      </c>
      <c r="M648" s="3" t="s">
        <v>28</v>
      </c>
      <c r="N648" s="3" t="s">
        <v>35</v>
      </c>
    </row>
    <row r="649" spans="1:14" x14ac:dyDescent="0.3">
      <c r="A649" s="3" t="s">
        <v>729</v>
      </c>
      <c r="B649" s="2">
        <v>45676</v>
      </c>
      <c r="C649" s="3" t="s">
        <v>133</v>
      </c>
      <c r="D649" s="3" t="s">
        <v>89</v>
      </c>
      <c r="E649" s="3" t="s">
        <v>102</v>
      </c>
      <c r="F649" s="3" t="s">
        <v>32</v>
      </c>
      <c r="G649" s="3" t="s">
        <v>58</v>
      </c>
      <c r="H649" s="3" t="s">
        <v>59</v>
      </c>
      <c r="I649" s="5">
        <v>1832.31</v>
      </c>
      <c r="J649" s="4">
        <v>3</v>
      </c>
      <c r="K649" s="1">
        <v>12</v>
      </c>
      <c r="L649" s="4">
        <v>290.74</v>
      </c>
      <c r="M649" s="3" t="s">
        <v>28</v>
      </c>
      <c r="N649" s="3" t="s">
        <v>44</v>
      </c>
    </row>
    <row r="650" spans="1:14" x14ac:dyDescent="0.3">
      <c r="A650" s="3" t="s">
        <v>730</v>
      </c>
      <c r="B650" s="2">
        <v>45568</v>
      </c>
      <c r="C650" s="3" t="s">
        <v>15</v>
      </c>
      <c r="D650" s="3" t="s">
        <v>89</v>
      </c>
      <c r="E650" s="3" t="s">
        <v>90</v>
      </c>
      <c r="F650" s="3" t="s">
        <v>32</v>
      </c>
      <c r="G650" s="3" t="s">
        <v>58</v>
      </c>
      <c r="H650" s="3" t="s">
        <v>59</v>
      </c>
      <c r="I650" s="5">
        <v>794.83</v>
      </c>
      <c r="J650" s="4">
        <v>1</v>
      </c>
      <c r="K650" s="1">
        <v>11</v>
      </c>
      <c r="L650" s="4">
        <v>173.66</v>
      </c>
      <c r="M650" s="3" t="s">
        <v>21</v>
      </c>
      <c r="N650" s="3" t="s">
        <v>35</v>
      </c>
    </row>
    <row r="651" spans="1:14" x14ac:dyDescent="0.3">
      <c r="A651" s="3" t="s">
        <v>731</v>
      </c>
      <c r="B651" s="2">
        <v>45711</v>
      </c>
      <c r="C651" s="3" t="s">
        <v>99</v>
      </c>
      <c r="D651" s="3" t="s">
        <v>56</v>
      </c>
      <c r="E651" s="3" t="s">
        <v>61</v>
      </c>
      <c r="F651" s="3" t="s">
        <v>62</v>
      </c>
      <c r="G651" s="3" t="s">
        <v>80</v>
      </c>
      <c r="H651" s="3" t="s">
        <v>81</v>
      </c>
      <c r="I651" s="5">
        <v>959.22</v>
      </c>
      <c r="J651" s="4">
        <v>6</v>
      </c>
      <c r="K651" s="1">
        <v>17</v>
      </c>
      <c r="L651" s="4">
        <v>133.4</v>
      </c>
      <c r="M651" s="3" t="s">
        <v>51</v>
      </c>
      <c r="N651" s="3" t="s">
        <v>35</v>
      </c>
    </row>
    <row r="652" spans="1:14" x14ac:dyDescent="0.3">
      <c r="A652" s="3" t="s">
        <v>732</v>
      </c>
      <c r="B652" s="2">
        <v>45744</v>
      </c>
      <c r="C652" s="3" t="s">
        <v>37</v>
      </c>
      <c r="D652" s="3" t="s">
        <v>38</v>
      </c>
      <c r="E652" s="3" t="s">
        <v>43</v>
      </c>
      <c r="F652" s="3" t="s">
        <v>32</v>
      </c>
      <c r="G652" s="3" t="s">
        <v>47</v>
      </c>
      <c r="H652" s="3" t="s">
        <v>48</v>
      </c>
      <c r="I652" s="5">
        <v>519.83000000000004</v>
      </c>
      <c r="J652" s="4">
        <v>1</v>
      </c>
      <c r="K652" s="1">
        <v>15</v>
      </c>
      <c r="L652" s="4">
        <v>70.459999999999994</v>
      </c>
      <c r="M652" s="3" t="s">
        <v>51</v>
      </c>
      <c r="N652" s="3" t="s">
        <v>35</v>
      </c>
    </row>
    <row r="653" spans="1:14" x14ac:dyDescent="0.3">
      <c r="A653" s="3" t="s">
        <v>733</v>
      </c>
      <c r="B653" s="2">
        <v>45773</v>
      </c>
      <c r="C653" s="3" t="s">
        <v>50</v>
      </c>
      <c r="D653" s="3" t="s">
        <v>16</v>
      </c>
      <c r="E653" s="3" t="s">
        <v>17</v>
      </c>
      <c r="F653" s="3" t="s">
        <v>32</v>
      </c>
      <c r="G653" s="3" t="s">
        <v>58</v>
      </c>
      <c r="H653" s="3" t="s">
        <v>59</v>
      </c>
      <c r="I653" s="5">
        <v>1648.8</v>
      </c>
      <c r="J653" s="4">
        <v>10</v>
      </c>
      <c r="K653" s="1">
        <v>4</v>
      </c>
      <c r="L653" s="4">
        <v>140.06</v>
      </c>
      <c r="M653" s="3" t="s">
        <v>51</v>
      </c>
      <c r="N653" s="3" t="s">
        <v>22</v>
      </c>
    </row>
    <row r="654" spans="1:14" x14ac:dyDescent="0.3">
      <c r="A654" s="3" t="s">
        <v>734</v>
      </c>
      <c r="B654" s="2">
        <v>45459</v>
      </c>
      <c r="C654" s="3" t="s">
        <v>99</v>
      </c>
      <c r="D654" s="3" t="s">
        <v>16</v>
      </c>
      <c r="E654" s="3" t="s">
        <v>17</v>
      </c>
      <c r="F654" s="3" t="s">
        <v>62</v>
      </c>
      <c r="G654" s="3" t="s">
        <v>67</v>
      </c>
      <c r="H654" s="3" t="s">
        <v>68</v>
      </c>
      <c r="I654" s="5">
        <v>11750.76</v>
      </c>
      <c r="J654" s="4">
        <v>6</v>
      </c>
      <c r="K654" s="1">
        <v>9</v>
      </c>
      <c r="L654" s="4">
        <v>1978.88</v>
      </c>
      <c r="M654" s="3" t="s">
        <v>51</v>
      </c>
      <c r="N654" s="3" t="s">
        <v>44</v>
      </c>
    </row>
    <row r="655" spans="1:14" x14ac:dyDescent="0.3">
      <c r="A655" s="3" t="s">
        <v>735</v>
      </c>
      <c r="B655" s="2">
        <v>45532</v>
      </c>
      <c r="C655" s="3" t="s">
        <v>133</v>
      </c>
      <c r="D655" s="3" t="s">
        <v>38</v>
      </c>
      <c r="E655" s="3" t="s">
        <v>39</v>
      </c>
      <c r="F655" s="3" t="s">
        <v>62</v>
      </c>
      <c r="G655" s="3" t="s">
        <v>67</v>
      </c>
      <c r="H655" s="3" t="s">
        <v>68</v>
      </c>
      <c r="I655" s="5">
        <v>2755.54</v>
      </c>
      <c r="J655" s="4">
        <v>2</v>
      </c>
      <c r="K655" s="1">
        <v>18</v>
      </c>
      <c r="L655" s="4">
        <v>218.5</v>
      </c>
      <c r="M655" s="3" t="s">
        <v>21</v>
      </c>
      <c r="N655" s="3" t="s">
        <v>35</v>
      </c>
    </row>
    <row r="656" spans="1:14" x14ac:dyDescent="0.3">
      <c r="A656" s="3" t="s">
        <v>736</v>
      </c>
      <c r="B656" s="2">
        <v>45622</v>
      </c>
      <c r="C656" s="3" t="s">
        <v>84</v>
      </c>
      <c r="D656" s="3" t="s">
        <v>56</v>
      </c>
      <c r="E656" s="3" t="s">
        <v>57</v>
      </c>
      <c r="F656" s="3" t="s">
        <v>32</v>
      </c>
      <c r="G656" s="3" t="s">
        <v>58</v>
      </c>
      <c r="H656" s="3" t="s">
        <v>59</v>
      </c>
      <c r="I656" s="5">
        <v>11043.09</v>
      </c>
      <c r="J656" s="4">
        <v>9</v>
      </c>
      <c r="K656" s="1">
        <v>16</v>
      </c>
      <c r="L656" s="4">
        <v>573.4</v>
      </c>
      <c r="M656" s="3" t="s">
        <v>21</v>
      </c>
      <c r="N656" s="3" t="s">
        <v>35</v>
      </c>
    </row>
    <row r="657" spans="1:14" x14ac:dyDescent="0.3">
      <c r="A657" s="3" t="s">
        <v>737</v>
      </c>
      <c r="B657" s="2">
        <v>45523</v>
      </c>
      <c r="C657" s="3" t="s">
        <v>24</v>
      </c>
      <c r="D657" s="3" t="s">
        <v>16</v>
      </c>
      <c r="E657" s="3" t="s">
        <v>31</v>
      </c>
      <c r="F657" s="3" t="s">
        <v>62</v>
      </c>
      <c r="G657" s="3" t="s">
        <v>103</v>
      </c>
      <c r="H657" s="3" t="s">
        <v>104</v>
      </c>
      <c r="I657" s="5">
        <v>2290.83</v>
      </c>
      <c r="J657" s="4">
        <v>3</v>
      </c>
      <c r="K657" s="1">
        <v>9</v>
      </c>
      <c r="L657" s="4">
        <v>187.52</v>
      </c>
      <c r="M657" s="3" t="s">
        <v>51</v>
      </c>
      <c r="N657" s="3" t="s">
        <v>35</v>
      </c>
    </row>
    <row r="658" spans="1:14" x14ac:dyDescent="0.3">
      <c r="A658" s="3" t="s">
        <v>738</v>
      </c>
      <c r="B658" s="2">
        <v>45701</v>
      </c>
      <c r="C658" s="3" t="s">
        <v>37</v>
      </c>
      <c r="D658" s="3" t="s">
        <v>56</v>
      </c>
      <c r="E658" s="3" t="s">
        <v>57</v>
      </c>
      <c r="F658" s="3" t="s">
        <v>32</v>
      </c>
      <c r="G658" s="3" t="s">
        <v>58</v>
      </c>
      <c r="H658" s="3" t="s">
        <v>59</v>
      </c>
      <c r="I658" s="5">
        <v>3224.28</v>
      </c>
      <c r="J658" s="4">
        <v>6</v>
      </c>
      <c r="K658" s="1">
        <v>11</v>
      </c>
      <c r="L658" s="4">
        <v>413.26</v>
      </c>
      <c r="M658" s="3" t="s">
        <v>51</v>
      </c>
      <c r="N658" s="3" t="s">
        <v>40</v>
      </c>
    </row>
    <row r="659" spans="1:14" x14ac:dyDescent="0.3">
      <c r="A659" s="3" t="s">
        <v>739</v>
      </c>
      <c r="B659" s="2">
        <v>45786</v>
      </c>
      <c r="C659" s="3" t="s">
        <v>86</v>
      </c>
      <c r="D659" s="3" t="s">
        <v>16</v>
      </c>
      <c r="E659" s="3" t="s">
        <v>25</v>
      </c>
      <c r="F659" s="3" t="s">
        <v>32</v>
      </c>
      <c r="G659" s="3" t="s">
        <v>33</v>
      </c>
      <c r="H659" s="3" t="s">
        <v>34</v>
      </c>
      <c r="I659" s="5">
        <v>15193.6</v>
      </c>
      <c r="J659" s="4">
        <v>10</v>
      </c>
      <c r="K659" s="1">
        <v>27</v>
      </c>
      <c r="L659" s="4">
        <v>1693.93</v>
      </c>
      <c r="M659" s="3" t="s">
        <v>21</v>
      </c>
      <c r="N659" s="3" t="s">
        <v>40</v>
      </c>
    </row>
    <row r="660" spans="1:14" x14ac:dyDescent="0.3">
      <c r="A660" s="3" t="s">
        <v>740</v>
      </c>
      <c r="B660" s="2">
        <v>45438</v>
      </c>
      <c r="C660" s="3" t="s">
        <v>30</v>
      </c>
      <c r="D660" s="3" t="s">
        <v>89</v>
      </c>
      <c r="E660" s="3" t="s">
        <v>90</v>
      </c>
      <c r="F660" s="3" t="s">
        <v>62</v>
      </c>
      <c r="G660" s="3" t="s">
        <v>80</v>
      </c>
      <c r="H660" s="3" t="s">
        <v>81</v>
      </c>
      <c r="I660" s="5">
        <v>4082.94</v>
      </c>
      <c r="J660" s="4">
        <v>9</v>
      </c>
      <c r="K660" s="1">
        <v>7.0000000000000009</v>
      </c>
      <c r="L660" s="4">
        <v>803.66</v>
      </c>
      <c r="M660" s="3" t="s">
        <v>28</v>
      </c>
      <c r="N660" s="3" t="s">
        <v>40</v>
      </c>
    </row>
    <row r="661" spans="1:14" x14ac:dyDescent="0.3">
      <c r="A661" s="3" t="s">
        <v>741</v>
      </c>
      <c r="B661" s="2">
        <v>45627</v>
      </c>
      <c r="C661" s="3" t="s">
        <v>30</v>
      </c>
      <c r="D661" s="3" t="s">
        <v>56</v>
      </c>
      <c r="E661" s="3" t="s">
        <v>57</v>
      </c>
      <c r="F661" s="3" t="s">
        <v>62</v>
      </c>
      <c r="G661" s="3" t="s">
        <v>80</v>
      </c>
      <c r="H661" s="3" t="s">
        <v>81</v>
      </c>
      <c r="I661" s="5">
        <v>17802.45</v>
      </c>
      <c r="J661" s="4">
        <v>9</v>
      </c>
      <c r="K661" s="1">
        <v>6</v>
      </c>
      <c r="L661" s="4">
        <v>3892.55</v>
      </c>
      <c r="M661" s="3" t="s">
        <v>21</v>
      </c>
      <c r="N661" s="3" t="s">
        <v>44</v>
      </c>
    </row>
    <row r="662" spans="1:14" x14ac:dyDescent="0.3">
      <c r="A662" s="3" t="s">
        <v>742</v>
      </c>
      <c r="B662" s="2">
        <v>45556</v>
      </c>
      <c r="C662" s="3" t="s">
        <v>37</v>
      </c>
      <c r="D662" s="3" t="s">
        <v>56</v>
      </c>
      <c r="E662" s="3" t="s">
        <v>61</v>
      </c>
      <c r="F662" s="3" t="s">
        <v>62</v>
      </c>
      <c r="G662" s="3" t="s">
        <v>63</v>
      </c>
      <c r="H662" s="3" t="s">
        <v>64</v>
      </c>
      <c r="I662" s="5">
        <v>7840.32</v>
      </c>
      <c r="J662" s="4">
        <v>4</v>
      </c>
      <c r="K662" s="1">
        <v>22</v>
      </c>
      <c r="L662" s="4">
        <v>499.78</v>
      </c>
      <c r="M662" s="3" t="s">
        <v>28</v>
      </c>
      <c r="N662" s="3" t="s">
        <v>35</v>
      </c>
    </row>
    <row r="663" spans="1:14" x14ac:dyDescent="0.3">
      <c r="A663" s="3" t="s">
        <v>743</v>
      </c>
      <c r="B663" s="2">
        <v>45740</v>
      </c>
      <c r="C663" s="3" t="s">
        <v>75</v>
      </c>
      <c r="D663" s="3" t="s">
        <v>16</v>
      </c>
      <c r="E663" s="3" t="s">
        <v>31</v>
      </c>
      <c r="F663" s="3" t="s">
        <v>62</v>
      </c>
      <c r="G663" s="3" t="s">
        <v>80</v>
      </c>
      <c r="H663" s="3" t="s">
        <v>81</v>
      </c>
      <c r="I663" s="5">
        <v>11398.16</v>
      </c>
      <c r="J663" s="4">
        <v>8</v>
      </c>
      <c r="K663" s="1">
        <v>15</v>
      </c>
      <c r="L663" s="4">
        <v>1723.1</v>
      </c>
      <c r="M663" s="3" t="s">
        <v>28</v>
      </c>
      <c r="N663" s="3" t="s">
        <v>22</v>
      </c>
    </row>
    <row r="664" spans="1:14" x14ac:dyDescent="0.3">
      <c r="A664" s="3" t="s">
        <v>744</v>
      </c>
      <c r="B664" s="2">
        <v>45460</v>
      </c>
      <c r="C664" s="3" t="s">
        <v>50</v>
      </c>
      <c r="D664" s="3" t="s">
        <v>38</v>
      </c>
      <c r="E664" s="3" t="s">
        <v>39</v>
      </c>
      <c r="F664" s="3" t="s">
        <v>18</v>
      </c>
      <c r="G664" s="3" t="s">
        <v>94</v>
      </c>
      <c r="H664" s="3" t="s">
        <v>95</v>
      </c>
      <c r="I664" s="5">
        <v>4837.5</v>
      </c>
      <c r="J664" s="4">
        <v>10</v>
      </c>
      <c r="K664" s="1">
        <v>2</v>
      </c>
      <c r="L664" s="4">
        <v>256.85000000000002</v>
      </c>
      <c r="M664" s="3" t="s">
        <v>21</v>
      </c>
      <c r="N664" s="3" t="s">
        <v>44</v>
      </c>
    </row>
    <row r="665" spans="1:14" x14ac:dyDescent="0.3">
      <c r="A665" s="3" t="s">
        <v>745</v>
      </c>
      <c r="B665" s="2">
        <v>45610</v>
      </c>
      <c r="C665" s="3" t="s">
        <v>50</v>
      </c>
      <c r="D665" s="3" t="s">
        <v>16</v>
      </c>
      <c r="E665" s="3" t="s">
        <v>25</v>
      </c>
      <c r="F665" s="3" t="s">
        <v>32</v>
      </c>
      <c r="G665" s="3" t="s">
        <v>33</v>
      </c>
      <c r="H665" s="3" t="s">
        <v>34</v>
      </c>
      <c r="I665" s="5">
        <v>3542.05</v>
      </c>
      <c r="J665" s="4">
        <v>5</v>
      </c>
      <c r="K665" s="1">
        <v>7.0000000000000009</v>
      </c>
      <c r="L665" s="4">
        <v>521.67999999999995</v>
      </c>
      <c r="M665" s="3" t="s">
        <v>21</v>
      </c>
      <c r="N665" s="3" t="s">
        <v>40</v>
      </c>
    </row>
    <row r="666" spans="1:14" x14ac:dyDescent="0.3">
      <c r="A666" s="3" t="s">
        <v>746</v>
      </c>
      <c r="B666" s="2">
        <v>45680</v>
      </c>
      <c r="C666" s="3" t="s">
        <v>30</v>
      </c>
      <c r="D666" s="3" t="s">
        <v>89</v>
      </c>
      <c r="E666" s="3" t="s">
        <v>102</v>
      </c>
      <c r="F666" s="3" t="s">
        <v>18</v>
      </c>
      <c r="G666" s="3" t="s">
        <v>19</v>
      </c>
      <c r="H666" s="3" t="s">
        <v>20</v>
      </c>
      <c r="I666" s="5">
        <v>740.57</v>
      </c>
      <c r="J666" s="4">
        <v>1</v>
      </c>
      <c r="K666" s="1">
        <v>2</v>
      </c>
      <c r="L666" s="4">
        <v>160.55000000000001</v>
      </c>
      <c r="M666" s="3" t="s">
        <v>21</v>
      </c>
      <c r="N666" s="3" t="s">
        <v>35</v>
      </c>
    </row>
    <row r="667" spans="1:14" x14ac:dyDescent="0.3">
      <c r="A667" s="3" t="s">
        <v>747</v>
      </c>
      <c r="B667" s="2">
        <v>45764</v>
      </c>
      <c r="C667" s="3" t="s">
        <v>99</v>
      </c>
      <c r="D667" s="3" t="s">
        <v>89</v>
      </c>
      <c r="E667" s="3" t="s">
        <v>116</v>
      </c>
      <c r="F667" s="3" t="s">
        <v>62</v>
      </c>
      <c r="G667" s="3" t="s">
        <v>67</v>
      </c>
      <c r="H667" s="3" t="s">
        <v>68</v>
      </c>
      <c r="I667" s="5">
        <v>3839.38</v>
      </c>
      <c r="J667" s="4">
        <v>2</v>
      </c>
      <c r="K667" s="1">
        <v>4</v>
      </c>
      <c r="L667" s="4">
        <v>893.26</v>
      </c>
      <c r="M667" s="3" t="s">
        <v>51</v>
      </c>
      <c r="N667" s="3" t="s">
        <v>40</v>
      </c>
    </row>
    <row r="668" spans="1:14" x14ac:dyDescent="0.3">
      <c r="A668" s="3" t="s">
        <v>748</v>
      </c>
      <c r="B668" s="2">
        <v>45719</v>
      </c>
      <c r="C668" s="3" t="s">
        <v>24</v>
      </c>
      <c r="D668" s="3" t="s">
        <v>16</v>
      </c>
      <c r="E668" s="3" t="s">
        <v>31</v>
      </c>
      <c r="F668" s="3" t="s">
        <v>62</v>
      </c>
      <c r="G668" s="3" t="s">
        <v>63</v>
      </c>
      <c r="H668" s="3" t="s">
        <v>64</v>
      </c>
      <c r="I668" s="5">
        <v>12652.32</v>
      </c>
      <c r="J668" s="4">
        <v>8</v>
      </c>
      <c r="K668" s="1">
        <v>25</v>
      </c>
      <c r="L668" s="4">
        <v>1349.14</v>
      </c>
      <c r="M668" s="3" t="s">
        <v>28</v>
      </c>
      <c r="N668" s="3" t="s">
        <v>40</v>
      </c>
    </row>
    <row r="669" spans="1:14" x14ac:dyDescent="0.3">
      <c r="A669" s="3" t="s">
        <v>749</v>
      </c>
      <c r="B669" s="2">
        <v>45716</v>
      </c>
      <c r="C669" s="3" t="s">
        <v>42</v>
      </c>
      <c r="D669" s="3" t="s">
        <v>56</v>
      </c>
      <c r="E669" s="3" t="s">
        <v>57</v>
      </c>
      <c r="F669" s="3" t="s">
        <v>62</v>
      </c>
      <c r="G669" s="3" t="s">
        <v>103</v>
      </c>
      <c r="H669" s="3" t="s">
        <v>104</v>
      </c>
      <c r="I669" s="5">
        <v>3580.86</v>
      </c>
      <c r="J669" s="4">
        <v>3</v>
      </c>
      <c r="K669" s="1">
        <v>12</v>
      </c>
      <c r="L669" s="4">
        <v>510.73</v>
      </c>
      <c r="M669" s="3" t="s">
        <v>21</v>
      </c>
      <c r="N669" s="3" t="s">
        <v>44</v>
      </c>
    </row>
    <row r="670" spans="1:14" x14ac:dyDescent="0.3">
      <c r="A670" s="3" t="s">
        <v>750</v>
      </c>
      <c r="B670" s="2">
        <v>45521</v>
      </c>
      <c r="C670" s="3" t="s">
        <v>15</v>
      </c>
      <c r="D670" s="3" t="s">
        <v>38</v>
      </c>
      <c r="E670" s="3" t="s">
        <v>71</v>
      </c>
      <c r="F670" s="3" t="s">
        <v>62</v>
      </c>
      <c r="G670" s="3" t="s">
        <v>67</v>
      </c>
      <c r="H670" s="3" t="s">
        <v>68</v>
      </c>
      <c r="I670" s="5">
        <v>870.48</v>
      </c>
      <c r="J670" s="4">
        <v>3</v>
      </c>
      <c r="K670" s="1">
        <v>22</v>
      </c>
      <c r="L670" s="4">
        <v>74.239999999999995</v>
      </c>
      <c r="M670" s="3" t="s">
        <v>51</v>
      </c>
      <c r="N670" s="3" t="s">
        <v>35</v>
      </c>
    </row>
    <row r="671" spans="1:14" x14ac:dyDescent="0.3">
      <c r="A671" s="3" t="s">
        <v>751</v>
      </c>
      <c r="B671" s="2">
        <v>45459</v>
      </c>
      <c r="C671" s="3" t="s">
        <v>30</v>
      </c>
      <c r="D671" s="3" t="s">
        <v>56</v>
      </c>
      <c r="E671" s="3" t="s">
        <v>61</v>
      </c>
      <c r="F671" s="3" t="s">
        <v>18</v>
      </c>
      <c r="G671" s="3" t="s">
        <v>26</v>
      </c>
      <c r="H671" s="3" t="s">
        <v>27</v>
      </c>
      <c r="I671" s="5">
        <v>7080</v>
      </c>
      <c r="J671" s="4">
        <v>10</v>
      </c>
      <c r="K671" s="1">
        <v>12</v>
      </c>
      <c r="L671" s="4">
        <v>839.27</v>
      </c>
      <c r="M671" s="3" t="s">
        <v>21</v>
      </c>
      <c r="N671" s="3" t="s">
        <v>22</v>
      </c>
    </row>
    <row r="672" spans="1:14" x14ac:dyDescent="0.3">
      <c r="A672" s="3" t="s">
        <v>752</v>
      </c>
      <c r="B672" s="2">
        <v>45492</v>
      </c>
      <c r="C672" s="3" t="s">
        <v>73</v>
      </c>
      <c r="D672" s="3" t="s">
        <v>56</v>
      </c>
      <c r="E672" s="3" t="s">
        <v>57</v>
      </c>
      <c r="F672" s="3" t="s">
        <v>18</v>
      </c>
      <c r="G672" s="3" t="s">
        <v>19</v>
      </c>
      <c r="H672" s="3" t="s">
        <v>20</v>
      </c>
      <c r="I672" s="5">
        <v>3597.22</v>
      </c>
      <c r="J672" s="4">
        <v>2</v>
      </c>
      <c r="K672" s="1">
        <v>2</v>
      </c>
      <c r="L672" s="4">
        <v>501.27</v>
      </c>
      <c r="M672" s="3" t="s">
        <v>51</v>
      </c>
      <c r="N672" s="3" t="s">
        <v>35</v>
      </c>
    </row>
    <row r="673" spans="1:14" x14ac:dyDescent="0.3">
      <c r="A673" s="3" t="s">
        <v>753</v>
      </c>
      <c r="B673" s="2">
        <v>45561</v>
      </c>
      <c r="C673" s="3" t="s">
        <v>15</v>
      </c>
      <c r="D673" s="3" t="s">
        <v>38</v>
      </c>
      <c r="E673" s="3" t="s">
        <v>39</v>
      </c>
      <c r="F673" s="3" t="s">
        <v>62</v>
      </c>
      <c r="G673" s="3" t="s">
        <v>63</v>
      </c>
      <c r="H673" s="3" t="s">
        <v>64</v>
      </c>
      <c r="I673" s="5">
        <v>2567.1</v>
      </c>
      <c r="J673" s="4">
        <v>2</v>
      </c>
      <c r="K673" s="1">
        <v>3</v>
      </c>
      <c r="L673" s="4">
        <v>465.37</v>
      </c>
      <c r="M673" s="3" t="s">
        <v>21</v>
      </c>
      <c r="N673" s="3" t="s">
        <v>44</v>
      </c>
    </row>
    <row r="674" spans="1:14" x14ac:dyDescent="0.3">
      <c r="A674" s="3" t="s">
        <v>754</v>
      </c>
      <c r="B674" s="2">
        <v>45459</v>
      </c>
      <c r="C674" s="3" t="s">
        <v>99</v>
      </c>
      <c r="D674" s="3" t="s">
        <v>16</v>
      </c>
      <c r="E674" s="3" t="s">
        <v>17</v>
      </c>
      <c r="F674" s="3" t="s">
        <v>32</v>
      </c>
      <c r="G674" s="3" t="s">
        <v>58</v>
      </c>
      <c r="H674" s="3" t="s">
        <v>59</v>
      </c>
      <c r="I674" s="5">
        <v>10719.06</v>
      </c>
      <c r="J674" s="4">
        <v>6</v>
      </c>
      <c r="K674" s="1">
        <v>18</v>
      </c>
      <c r="L674" s="4">
        <v>1665.32</v>
      </c>
      <c r="M674" s="3" t="s">
        <v>51</v>
      </c>
      <c r="N674" s="3" t="s">
        <v>35</v>
      </c>
    </row>
    <row r="675" spans="1:14" x14ac:dyDescent="0.3">
      <c r="A675" s="3" t="s">
        <v>755</v>
      </c>
      <c r="B675" s="2">
        <v>45503</v>
      </c>
      <c r="C675" s="3" t="s">
        <v>73</v>
      </c>
      <c r="D675" s="3" t="s">
        <v>89</v>
      </c>
      <c r="E675" s="3" t="s">
        <v>97</v>
      </c>
      <c r="F675" s="3" t="s">
        <v>62</v>
      </c>
      <c r="G675" s="3" t="s">
        <v>63</v>
      </c>
      <c r="H675" s="3" t="s">
        <v>64</v>
      </c>
      <c r="I675" s="5">
        <v>7946.1</v>
      </c>
      <c r="J675" s="4">
        <v>10</v>
      </c>
      <c r="K675" s="1">
        <v>27</v>
      </c>
      <c r="L675" s="4">
        <v>799.37</v>
      </c>
      <c r="M675" s="3" t="s">
        <v>51</v>
      </c>
      <c r="N675" s="3" t="s">
        <v>22</v>
      </c>
    </row>
    <row r="676" spans="1:14" x14ac:dyDescent="0.3">
      <c r="A676" s="3" t="s">
        <v>756</v>
      </c>
      <c r="B676" s="2">
        <v>45715</v>
      </c>
      <c r="C676" s="3" t="s">
        <v>84</v>
      </c>
      <c r="D676" s="3" t="s">
        <v>89</v>
      </c>
      <c r="E676" s="3" t="s">
        <v>97</v>
      </c>
      <c r="F676" s="3" t="s">
        <v>32</v>
      </c>
      <c r="G676" s="3" t="s">
        <v>112</v>
      </c>
      <c r="H676" s="3" t="s">
        <v>113</v>
      </c>
      <c r="I676" s="5">
        <v>800.15</v>
      </c>
      <c r="J676" s="4">
        <v>1</v>
      </c>
      <c r="K676" s="1">
        <v>29</v>
      </c>
      <c r="L676" s="4">
        <v>74.14</v>
      </c>
      <c r="M676" s="3" t="s">
        <v>51</v>
      </c>
      <c r="N676" s="3" t="s">
        <v>40</v>
      </c>
    </row>
    <row r="677" spans="1:14" x14ac:dyDescent="0.3">
      <c r="A677" s="3" t="s">
        <v>757</v>
      </c>
      <c r="B677" s="2">
        <v>45631</v>
      </c>
      <c r="C677" s="3" t="s">
        <v>101</v>
      </c>
      <c r="D677" s="3" t="s">
        <v>38</v>
      </c>
      <c r="E677" s="3" t="s">
        <v>43</v>
      </c>
      <c r="F677" s="3" t="s">
        <v>18</v>
      </c>
      <c r="G677" s="3" t="s">
        <v>76</v>
      </c>
      <c r="H677" s="3" t="s">
        <v>77</v>
      </c>
      <c r="I677" s="5">
        <v>1962.31</v>
      </c>
      <c r="J677" s="4">
        <v>7</v>
      </c>
      <c r="K677" s="1">
        <v>17</v>
      </c>
      <c r="L677" s="4">
        <v>88.93</v>
      </c>
      <c r="M677" s="3" t="s">
        <v>28</v>
      </c>
      <c r="N677" s="3" t="s">
        <v>22</v>
      </c>
    </row>
    <row r="678" spans="1:14" x14ac:dyDescent="0.3">
      <c r="A678" s="3" t="s">
        <v>758</v>
      </c>
      <c r="B678" s="2">
        <v>45552</v>
      </c>
      <c r="C678" s="3" t="s">
        <v>86</v>
      </c>
      <c r="D678" s="3" t="s">
        <v>89</v>
      </c>
      <c r="E678" s="3" t="s">
        <v>90</v>
      </c>
      <c r="F678" s="3" t="s">
        <v>32</v>
      </c>
      <c r="G678" s="3" t="s">
        <v>33</v>
      </c>
      <c r="H678" s="3" t="s">
        <v>34</v>
      </c>
      <c r="I678" s="5">
        <v>5341.23</v>
      </c>
      <c r="J678" s="4">
        <v>3</v>
      </c>
      <c r="K678" s="1">
        <v>18</v>
      </c>
      <c r="L678" s="4">
        <v>588.92999999999995</v>
      </c>
      <c r="M678" s="3" t="s">
        <v>28</v>
      </c>
      <c r="N678" s="3" t="s">
        <v>22</v>
      </c>
    </row>
    <row r="679" spans="1:14" x14ac:dyDescent="0.3">
      <c r="A679" s="3" t="s">
        <v>759</v>
      </c>
      <c r="B679" s="2">
        <v>45676</v>
      </c>
      <c r="C679" s="3" t="s">
        <v>133</v>
      </c>
      <c r="D679" s="3" t="s">
        <v>16</v>
      </c>
      <c r="E679" s="3" t="s">
        <v>31</v>
      </c>
      <c r="F679" s="3" t="s">
        <v>32</v>
      </c>
      <c r="G679" s="3" t="s">
        <v>47</v>
      </c>
      <c r="H679" s="3" t="s">
        <v>48</v>
      </c>
      <c r="I679" s="5">
        <v>4656.3500000000004</v>
      </c>
      <c r="J679" s="4">
        <v>5</v>
      </c>
      <c r="K679" s="1">
        <v>18</v>
      </c>
      <c r="L679" s="4">
        <v>293.39</v>
      </c>
      <c r="M679" s="3" t="s">
        <v>21</v>
      </c>
      <c r="N679" s="3" t="s">
        <v>40</v>
      </c>
    </row>
    <row r="680" spans="1:14" x14ac:dyDescent="0.3">
      <c r="A680" s="3" t="s">
        <v>760</v>
      </c>
      <c r="B680" s="2">
        <v>45725</v>
      </c>
      <c r="C680" s="3" t="s">
        <v>73</v>
      </c>
      <c r="D680" s="3" t="s">
        <v>56</v>
      </c>
      <c r="E680" s="3" t="s">
        <v>108</v>
      </c>
      <c r="F680" s="3" t="s">
        <v>32</v>
      </c>
      <c r="G680" s="3" t="s">
        <v>33</v>
      </c>
      <c r="H680" s="3" t="s">
        <v>34</v>
      </c>
      <c r="I680" s="5">
        <v>2345.2199999999998</v>
      </c>
      <c r="J680" s="4">
        <v>2</v>
      </c>
      <c r="K680" s="1">
        <v>17</v>
      </c>
      <c r="L680" s="4">
        <v>472.29</v>
      </c>
      <c r="M680" s="3" t="s">
        <v>21</v>
      </c>
      <c r="N680" s="3" t="s">
        <v>22</v>
      </c>
    </row>
    <row r="681" spans="1:14" x14ac:dyDescent="0.3">
      <c r="A681" s="3" t="s">
        <v>761</v>
      </c>
      <c r="B681" s="2">
        <v>45622</v>
      </c>
      <c r="C681" s="3" t="s">
        <v>84</v>
      </c>
      <c r="D681" s="3" t="s">
        <v>56</v>
      </c>
      <c r="E681" s="3" t="s">
        <v>108</v>
      </c>
      <c r="F681" s="3" t="s">
        <v>32</v>
      </c>
      <c r="G681" s="3" t="s">
        <v>47</v>
      </c>
      <c r="H681" s="3" t="s">
        <v>48</v>
      </c>
      <c r="I681" s="5">
        <v>2666.49</v>
      </c>
      <c r="J681" s="4">
        <v>3</v>
      </c>
      <c r="K681" s="1">
        <v>3</v>
      </c>
      <c r="L681" s="4">
        <v>300.47000000000003</v>
      </c>
      <c r="M681" s="3" t="s">
        <v>28</v>
      </c>
      <c r="N681" s="3" t="s">
        <v>35</v>
      </c>
    </row>
    <row r="682" spans="1:14" x14ac:dyDescent="0.3">
      <c r="A682" s="3" t="s">
        <v>762</v>
      </c>
      <c r="B682" s="2">
        <v>45538</v>
      </c>
      <c r="C682" s="3" t="s">
        <v>73</v>
      </c>
      <c r="D682" s="3" t="s">
        <v>56</v>
      </c>
      <c r="E682" s="3" t="s">
        <v>61</v>
      </c>
      <c r="F682" s="3" t="s">
        <v>18</v>
      </c>
      <c r="G682" s="3" t="s">
        <v>26</v>
      </c>
      <c r="H682" s="3" t="s">
        <v>27</v>
      </c>
      <c r="I682" s="5">
        <v>541.16</v>
      </c>
      <c r="J682" s="4">
        <v>4</v>
      </c>
      <c r="K682" s="1">
        <v>7.0000000000000009</v>
      </c>
      <c r="L682" s="4">
        <v>53.38</v>
      </c>
      <c r="M682" s="3" t="s">
        <v>51</v>
      </c>
      <c r="N682" s="3" t="s">
        <v>22</v>
      </c>
    </row>
    <row r="683" spans="1:14" x14ac:dyDescent="0.3">
      <c r="A683" s="3" t="s">
        <v>763</v>
      </c>
      <c r="B683" s="2">
        <v>45782</v>
      </c>
      <c r="C683" s="3" t="s">
        <v>15</v>
      </c>
      <c r="D683" s="3" t="s">
        <v>56</v>
      </c>
      <c r="E683" s="3" t="s">
        <v>61</v>
      </c>
      <c r="F683" s="3" t="s">
        <v>18</v>
      </c>
      <c r="G683" s="3" t="s">
        <v>76</v>
      </c>
      <c r="H683" s="3" t="s">
        <v>77</v>
      </c>
      <c r="I683" s="5">
        <v>2959.17</v>
      </c>
      <c r="J683" s="4">
        <v>3</v>
      </c>
      <c r="K683" s="1">
        <v>22</v>
      </c>
      <c r="L683" s="4">
        <v>179.4</v>
      </c>
      <c r="M683" s="3" t="s">
        <v>51</v>
      </c>
      <c r="N683" s="3" t="s">
        <v>35</v>
      </c>
    </row>
    <row r="684" spans="1:14" x14ac:dyDescent="0.3">
      <c r="A684" s="3" t="s">
        <v>764</v>
      </c>
      <c r="B684" s="2">
        <v>45709</v>
      </c>
      <c r="C684" s="3" t="s">
        <v>75</v>
      </c>
      <c r="D684" s="3" t="s">
        <v>56</v>
      </c>
      <c r="E684" s="3" t="s">
        <v>57</v>
      </c>
      <c r="F684" s="3" t="s">
        <v>62</v>
      </c>
      <c r="G684" s="3" t="s">
        <v>103</v>
      </c>
      <c r="H684" s="3" t="s">
        <v>104</v>
      </c>
      <c r="I684" s="5">
        <v>12937.6</v>
      </c>
      <c r="J684" s="4">
        <v>10</v>
      </c>
      <c r="K684" s="1">
        <v>9</v>
      </c>
      <c r="L684" s="4">
        <v>910.9</v>
      </c>
      <c r="M684" s="3" t="s">
        <v>28</v>
      </c>
      <c r="N684" s="3" t="s">
        <v>35</v>
      </c>
    </row>
    <row r="685" spans="1:14" x14ac:dyDescent="0.3">
      <c r="A685" s="3" t="s">
        <v>765</v>
      </c>
      <c r="B685" s="2">
        <v>45761</v>
      </c>
      <c r="C685" s="3" t="s">
        <v>15</v>
      </c>
      <c r="D685" s="3" t="s">
        <v>89</v>
      </c>
      <c r="E685" s="3" t="s">
        <v>97</v>
      </c>
      <c r="F685" s="3" t="s">
        <v>62</v>
      </c>
      <c r="G685" s="3" t="s">
        <v>103</v>
      </c>
      <c r="H685" s="3" t="s">
        <v>104</v>
      </c>
      <c r="I685" s="5">
        <v>11775.9</v>
      </c>
      <c r="J685" s="4">
        <v>6</v>
      </c>
      <c r="K685" s="1">
        <v>27</v>
      </c>
      <c r="L685" s="4">
        <v>1197.94</v>
      </c>
      <c r="M685" s="3" t="s">
        <v>51</v>
      </c>
      <c r="N685" s="3" t="s">
        <v>40</v>
      </c>
    </row>
    <row r="686" spans="1:14" x14ac:dyDescent="0.3">
      <c r="A686" s="3" t="s">
        <v>766</v>
      </c>
      <c r="B686" s="2">
        <v>45746</v>
      </c>
      <c r="C686" s="3" t="s">
        <v>70</v>
      </c>
      <c r="D686" s="3" t="s">
        <v>16</v>
      </c>
      <c r="E686" s="3" t="s">
        <v>17</v>
      </c>
      <c r="F686" s="3" t="s">
        <v>62</v>
      </c>
      <c r="G686" s="3" t="s">
        <v>63</v>
      </c>
      <c r="H686" s="3" t="s">
        <v>64</v>
      </c>
      <c r="I686" s="5">
        <v>5024.08</v>
      </c>
      <c r="J686" s="4">
        <v>4</v>
      </c>
      <c r="K686" s="1">
        <v>13</v>
      </c>
      <c r="L686" s="4">
        <v>705.7</v>
      </c>
      <c r="M686" s="3" t="s">
        <v>21</v>
      </c>
      <c r="N686" s="3" t="s">
        <v>44</v>
      </c>
    </row>
    <row r="687" spans="1:14" x14ac:dyDescent="0.3">
      <c r="A687" s="3" t="s">
        <v>767</v>
      </c>
      <c r="B687" s="2">
        <v>45622</v>
      </c>
      <c r="C687" s="3" t="s">
        <v>86</v>
      </c>
      <c r="D687" s="3" t="s">
        <v>89</v>
      </c>
      <c r="E687" s="3" t="s">
        <v>116</v>
      </c>
      <c r="F687" s="3" t="s">
        <v>32</v>
      </c>
      <c r="G687" s="3" t="s">
        <v>33</v>
      </c>
      <c r="H687" s="3" t="s">
        <v>34</v>
      </c>
      <c r="I687" s="5">
        <v>9625.52</v>
      </c>
      <c r="J687" s="4">
        <v>8</v>
      </c>
      <c r="K687" s="1">
        <v>3</v>
      </c>
      <c r="L687" s="4">
        <v>539.09</v>
      </c>
      <c r="M687" s="3" t="s">
        <v>28</v>
      </c>
      <c r="N687" s="3" t="s">
        <v>44</v>
      </c>
    </row>
    <row r="688" spans="1:14" x14ac:dyDescent="0.3">
      <c r="A688" s="3" t="s">
        <v>768</v>
      </c>
      <c r="B688" s="2">
        <v>45702</v>
      </c>
      <c r="C688" s="3" t="s">
        <v>101</v>
      </c>
      <c r="D688" s="3" t="s">
        <v>16</v>
      </c>
      <c r="E688" s="3" t="s">
        <v>17</v>
      </c>
      <c r="F688" s="3" t="s">
        <v>62</v>
      </c>
      <c r="G688" s="3" t="s">
        <v>103</v>
      </c>
      <c r="H688" s="3" t="s">
        <v>104</v>
      </c>
      <c r="I688" s="5">
        <v>727.42</v>
      </c>
      <c r="J688" s="4">
        <v>1</v>
      </c>
      <c r="K688" s="1">
        <v>12</v>
      </c>
      <c r="L688" s="4">
        <v>55.51</v>
      </c>
      <c r="M688" s="3" t="s">
        <v>51</v>
      </c>
      <c r="N688" s="3" t="s">
        <v>44</v>
      </c>
    </row>
    <row r="689" spans="1:14" x14ac:dyDescent="0.3">
      <c r="A689" s="3" t="s">
        <v>769</v>
      </c>
      <c r="B689" s="2">
        <v>45485</v>
      </c>
      <c r="C689" s="3" t="s">
        <v>86</v>
      </c>
      <c r="D689" s="3" t="s">
        <v>56</v>
      </c>
      <c r="E689" s="3" t="s">
        <v>61</v>
      </c>
      <c r="F689" s="3" t="s">
        <v>18</v>
      </c>
      <c r="G689" s="3" t="s">
        <v>94</v>
      </c>
      <c r="H689" s="3" t="s">
        <v>95</v>
      </c>
      <c r="I689" s="5">
        <v>318.62</v>
      </c>
      <c r="J689" s="4">
        <v>2</v>
      </c>
      <c r="K689" s="1">
        <v>16</v>
      </c>
      <c r="L689" s="4">
        <v>44.92</v>
      </c>
      <c r="M689" s="3" t="s">
        <v>28</v>
      </c>
      <c r="N689" s="3" t="s">
        <v>35</v>
      </c>
    </row>
    <row r="690" spans="1:14" x14ac:dyDescent="0.3">
      <c r="A690" s="3" t="s">
        <v>770</v>
      </c>
      <c r="B690" s="2">
        <v>45462</v>
      </c>
      <c r="C690" s="3" t="s">
        <v>50</v>
      </c>
      <c r="D690" s="3" t="s">
        <v>38</v>
      </c>
      <c r="E690" s="3" t="s">
        <v>71</v>
      </c>
      <c r="F690" s="3" t="s">
        <v>18</v>
      </c>
      <c r="G690" s="3" t="s">
        <v>76</v>
      </c>
      <c r="H690" s="3" t="s">
        <v>77</v>
      </c>
      <c r="I690" s="5">
        <v>4790.08</v>
      </c>
      <c r="J690" s="4">
        <v>4</v>
      </c>
      <c r="K690" s="1">
        <v>9</v>
      </c>
      <c r="L690" s="4">
        <v>262.10000000000002</v>
      </c>
      <c r="M690" s="3" t="s">
        <v>28</v>
      </c>
      <c r="N690" s="3" t="s">
        <v>22</v>
      </c>
    </row>
    <row r="691" spans="1:14" x14ac:dyDescent="0.3">
      <c r="A691" s="3" t="s">
        <v>771</v>
      </c>
      <c r="B691" s="2">
        <v>45571</v>
      </c>
      <c r="C691" s="3" t="s">
        <v>86</v>
      </c>
      <c r="D691" s="3" t="s">
        <v>89</v>
      </c>
      <c r="E691" s="3" t="s">
        <v>90</v>
      </c>
      <c r="F691" s="3" t="s">
        <v>18</v>
      </c>
      <c r="G691" s="3" t="s">
        <v>94</v>
      </c>
      <c r="H691" s="3" t="s">
        <v>95</v>
      </c>
      <c r="I691" s="5">
        <v>13613.46</v>
      </c>
      <c r="J691" s="4">
        <v>7</v>
      </c>
      <c r="K691" s="1">
        <v>17</v>
      </c>
      <c r="L691" s="4">
        <v>2292.65</v>
      </c>
      <c r="M691" s="3" t="s">
        <v>21</v>
      </c>
      <c r="N691" s="3" t="s">
        <v>35</v>
      </c>
    </row>
    <row r="692" spans="1:14" x14ac:dyDescent="0.3">
      <c r="A692" s="3" t="s">
        <v>772</v>
      </c>
      <c r="B692" s="2">
        <v>45597</v>
      </c>
      <c r="C692" s="3" t="s">
        <v>70</v>
      </c>
      <c r="D692" s="3" t="s">
        <v>89</v>
      </c>
      <c r="E692" s="3" t="s">
        <v>97</v>
      </c>
      <c r="F692" s="3" t="s">
        <v>62</v>
      </c>
      <c r="G692" s="3" t="s">
        <v>103</v>
      </c>
      <c r="H692" s="3" t="s">
        <v>104</v>
      </c>
      <c r="I692" s="5">
        <v>1723.04</v>
      </c>
      <c r="J692" s="4">
        <v>4</v>
      </c>
      <c r="K692" s="1">
        <v>9</v>
      </c>
      <c r="L692" s="4">
        <v>363.38</v>
      </c>
      <c r="M692" s="3" t="s">
        <v>51</v>
      </c>
      <c r="N692" s="3" t="s">
        <v>22</v>
      </c>
    </row>
    <row r="693" spans="1:14" x14ac:dyDescent="0.3">
      <c r="A693" s="3" t="s">
        <v>773</v>
      </c>
      <c r="B693" s="2">
        <v>45505</v>
      </c>
      <c r="C693" s="3" t="s">
        <v>50</v>
      </c>
      <c r="D693" s="3" t="s">
        <v>56</v>
      </c>
      <c r="E693" s="3" t="s">
        <v>61</v>
      </c>
      <c r="F693" s="3" t="s">
        <v>32</v>
      </c>
      <c r="G693" s="3" t="s">
        <v>47</v>
      </c>
      <c r="H693" s="3" t="s">
        <v>48</v>
      </c>
      <c r="I693" s="5">
        <v>17058.599999999999</v>
      </c>
      <c r="J693" s="4">
        <v>9</v>
      </c>
      <c r="K693" s="1">
        <v>23</v>
      </c>
      <c r="L693" s="4">
        <v>1184.94</v>
      </c>
      <c r="M693" s="3" t="s">
        <v>28</v>
      </c>
      <c r="N693" s="3" t="s">
        <v>35</v>
      </c>
    </row>
    <row r="694" spans="1:14" x14ac:dyDescent="0.3">
      <c r="A694" s="3" t="s">
        <v>774</v>
      </c>
      <c r="B694" s="2">
        <v>45446</v>
      </c>
      <c r="C694" s="3" t="s">
        <v>30</v>
      </c>
      <c r="D694" s="3" t="s">
        <v>16</v>
      </c>
      <c r="E694" s="3" t="s">
        <v>31</v>
      </c>
      <c r="F694" s="3" t="s">
        <v>62</v>
      </c>
      <c r="G694" s="3" t="s">
        <v>63</v>
      </c>
      <c r="H694" s="3" t="s">
        <v>64</v>
      </c>
      <c r="I694" s="5">
        <v>11789.61</v>
      </c>
      <c r="J694" s="4">
        <v>7</v>
      </c>
      <c r="K694" s="1">
        <v>18</v>
      </c>
      <c r="L694" s="4">
        <v>876.45</v>
      </c>
      <c r="M694" s="3" t="s">
        <v>28</v>
      </c>
      <c r="N694" s="3" t="s">
        <v>40</v>
      </c>
    </row>
    <row r="695" spans="1:14" x14ac:dyDescent="0.3">
      <c r="A695" s="3" t="s">
        <v>775</v>
      </c>
      <c r="B695" s="2">
        <v>45677</v>
      </c>
      <c r="C695" s="3" t="s">
        <v>50</v>
      </c>
      <c r="D695" s="3" t="s">
        <v>56</v>
      </c>
      <c r="E695" s="3" t="s">
        <v>61</v>
      </c>
      <c r="F695" s="3" t="s">
        <v>32</v>
      </c>
      <c r="G695" s="3" t="s">
        <v>33</v>
      </c>
      <c r="H695" s="3" t="s">
        <v>34</v>
      </c>
      <c r="I695" s="5">
        <v>5344.32</v>
      </c>
      <c r="J695" s="4">
        <v>3</v>
      </c>
      <c r="K695" s="1">
        <v>12</v>
      </c>
      <c r="L695" s="4">
        <v>659.67</v>
      </c>
      <c r="M695" s="3" t="s">
        <v>51</v>
      </c>
      <c r="N695" s="3" t="s">
        <v>35</v>
      </c>
    </row>
    <row r="696" spans="1:14" x14ac:dyDescent="0.3">
      <c r="A696" s="3" t="s">
        <v>776</v>
      </c>
      <c r="B696" s="2">
        <v>45653</v>
      </c>
      <c r="C696" s="3" t="s">
        <v>70</v>
      </c>
      <c r="D696" s="3" t="s">
        <v>16</v>
      </c>
      <c r="E696" s="3" t="s">
        <v>31</v>
      </c>
      <c r="F696" s="3" t="s">
        <v>32</v>
      </c>
      <c r="G696" s="3" t="s">
        <v>58</v>
      </c>
      <c r="H696" s="3" t="s">
        <v>59</v>
      </c>
      <c r="I696" s="5">
        <v>605.1</v>
      </c>
      <c r="J696" s="4">
        <v>5</v>
      </c>
      <c r="K696" s="1">
        <v>21</v>
      </c>
      <c r="L696" s="4">
        <v>55.69</v>
      </c>
      <c r="M696" s="3" t="s">
        <v>51</v>
      </c>
      <c r="N696" s="3" t="s">
        <v>44</v>
      </c>
    </row>
    <row r="697" spans="1:14" x14ac:dyDescent="0.3">
      <c r="A697" s="3" t="s">
        <v>777</v>
      </c>
      <c r="B697" s="2">
        <v>45755</v>
      </c>
      <c r="C697" s="3" t="s">
        <v>133</v>
      </c>
      <c r="D697" s="3" t="s">
        <v>38</v>
      </c>
      <c r="E697" s="3" t="s">
        <v>71</v>
      </c>
      <c r="F697" s="3" t="s">
        <v>62</v>
      </c>
      <c r="G697" s="3" t="s">
        <v>103</v>
      </c>
      <c r="H697" s="3" t="s">
        <v>104</v>
      </c>
      <c r="I697" s="5">
        <v>6667.57</v>
      </c>
      <c r="J697" s="4">
        <v>7</v>
      </c>
      <c r="K697" s="1">
        <v>8</v>
      </c>
      <c r="L697" s="4">
        <v>989.97</v>
      </c>
      <c r="M697" s="3" t="s">
        <v>21</v>
      </c>
      <c r="N697" s="3" t="s">
        <v>22</v>
      </c>
    </row>
    <row r="698" spans="1:14" x14ac:dyDescent="0.3">
      <c r="A698" s="3" t="s">
        <v>778</v>
      </c>
      <c r="B698" s="2">
        <v>45713</v>
      </c>
      <c r="C698" s="3" t="s">
        <v>24</v>
      </c>
      <c r="D698" s="3" t="s">
        <v>56</v>
      </c>
      <c r="E698" s="3" t="s">
        <v>108</v>
      </c>
      <c r="F698" s="3" t="s">
        <v>18</v>
      </c>
      <c r="G698" s="3" t="s">
        <v>19</v>
      </c>
      <c r="H698" s="3" t="s">
        <v>20</v>
      </c>
      <c r="I698" s="5">
        <v>5276.11</v>
      </c>
      <c r="J698" s="4">
        <v>7</v>
      </c>
      <c r="K698" s="1">
        <v>10</v>
      </c>
      <c r="L698" s="4">
        <v>675.83</v>
      </c>
      <c r="M698" s="3" t="s">
        <v>28</v>
      </c>
      <c r="N698" s="3" t="s">
        <v>22</v>
      </c>
    </row>
    <row r="699" spans="1:14" x14ac:dyDescent="0.3">
      <c r="A699" s="3" t="s">
        <v>779</v>
      </c>
      <c r="B699" s="2">
        <v>45510</v>
      </c>
      <c r="C699" s="3" t="s">
        <v>15</v>
      </c>
      <c r="D699" s="3" t="s">
        <v>56</v>
      </c>
      <c r="E699" s="3" t="s">
        <v>108</v>
      </c>
      <c r="F699" s="3" t="s">
        <v>18</v>
      </c>
      <c r="G699" s="3" t="s">
        <v>76</v>
      </c>
      <c r="H699" s="3" t="s">
        <v>77</v>
      </c>
      <c r="I699" s="5">
        <v>9638.65</v>
      </c>
      <c r="J699" s="4">
        <v>7</v>
      </c>
      <c r="K699" s="1">
        <v>21</v>
      </c>
      <c r="L699" s="4">
        <v>1586.64</v>
      </c>
      <c r="M699" s="3" t="s">
        <v>21</v>
      </c>
      <c r="N699" s="3" t="s">
        <v>44</v>
      </c>
    </row>
    <row r="700" spans="1:14" x14ac:dyDescent="0.3">
      <c r="A700" s="3" t="s">
        <v>780</v>
      </c>
      <c r="B700" s="2">
        <v>45752</v>
      </c>
      <c r="C700" s="3" t="s">
        <v>50</v>
      </c>
      <c r="D700" s="3" t="s">
        <v>38</v>
      </c>
      <c r="E700" s="3" t="s">
        <v>53</v>
      </c>
      <c r="F700" s="3" t="s">
        <v>32</v>
      </c>
      <c r="G700" s="3" t="s">
        <v>47</v>
      </c>
      <c r="H700" s="3" t="s">
        <v>48</v>
      </c>
      <c r="I700" s="5">
        <v>6034.68</v>
      </c>
      <c r="J700" s="4">
        <v>6</v>
      </c>
      <c r="K700" s="1">
        <v>17</v>
      </c>
      <c r="L700" s="4">
        <v>946.33</v>
      </c>
      <c r="M700" s="3" t="s">
        <v>28</v>
      </c>
      <c r="N700" s="3" t="s">
        <v>22</v>
      </c>
    </row>
    <row r="701" spans="1:14" x14ac:dyDescent="0.3">
      <c r="A701" s="3" t="s">
        <v>781</v>
      </c>
      <c r="B701" s="2">
        <v>45691</v>
      </c>
      <c r="C701" s="3" t="s">
        <v>24</v>
      </c>
      <c r="D701" s="3" t="s">
        <v>38</v>
      </c>
      <c r="E701" s="3" t="s">
        <v>53</v>
      </c>
      <c r="F701" s="3" t="s">
        <v>18</v>
      </c>
      <c r="G701" s="3" t="s">
        <v>26</v>
      </c>
      <c r="H701" s="3" t="s">
        <v>27</v>
      </c>
      <c r="I701" s="5">
        <v>2456.86</v>
      </c>
      <c r="J701" s="4">
        <v>7</v>
      </c>
      <c r="K701" s="1">
        <v>1</v>
      </c>
      <c r="L701" s="4">
        <v>226.08</v>
      </c>
      <c r="M701" s="3" t="s">
        <v>21</v>
      </c>
      <c r="N701" s="3" t="s">
        <v>22</v>
      </c>
    </row>
    <row r="702" spans="1:14" x14ac:dyDescent="0.3">
      <c r="A702" s="3" t="s">
        <v>782</v>
      </c>
      <c r="B702" s="2">
        <v>45551</v>
      </c>
      <c r="C702" s="3" t="s">
        <v>99</v>
      </c>
      <c r="D702" s="3" t="s">
        <v>89</v>
      </c>
      <c r="E702" s="3" t="s">
        <v>102</v>
      </c>
      <c r="F702" s="3" t="s">
        <v>18</v>
      </c>
      <c r="G702" s="3" t="s">
        <v>26</v>
      </c>
      <c r="H702" s="3" t="s">
        <v>27</v>
      </c>
      <c r="I702" s="5">
        <v>8436.33</v>
      </c>
      <c r="J702" s="4">
        <v>7</v>
      </c>
      <c r="K702" s="1">
        <v>5</v>
      </c>
      <c r="L702" s="4">
        <v>1680.98</v>
      </c>
      <c r="M702" s="3" t="s">
        <v>28</v>
      </c>
      <c r="N702" s="3" t="s">
        <v>35</v>
      </c>
    </row>
    <row r="703" spans="1:14" x14ac:dyDescent="0.3">
      <c r="A703" s="3" t="s">
        <v>783</v>
      </c>
      <c r="B703" s="2">
        <v>45440</v>
      </c>
      <c r="C703" s="3" t="s">
        <v>73</v>
      </c>
      <c r="D703" s="3" t="s">
        <v>16</v>
      </c>
      <c r="E703" s="3" t="s">
        <v>17</v>
      </c>
      <c r="F703" s="3" t="s">
        <v>62</v>
      </c>
      <c r="G703" s="3" t="s">
        <v>80</v>
      </c>
      <c r="H703" s="3" t="s">
        <v>81</v>
      </c>
      <c r="I703" s="5">
        <v>1277.92</v>
      </c>
      <c r="J703" s="4">
        <v>2</v>
      </c>
      <c r="K703" s="1">
        <v>6</v>
      </c>
      <c r="L703" s="4">
        <v>182.53</v>
      </c>
      <c r="M703" s="3" t="s">
        <v>28</v>
      </c>
      <c r="N703" s="3" t="s">
        <v>44</v>
      </c>
    </row>
    <row r="704" spans="1:14" x14ac:dyDescent="0.3">
      <c r="A704" s="3" t="s">
        <v>784</v>
      </c>
      <c r="B704" s="2">
        <v>45772</v>
      </c>
      <c r="C704" s="3" t="s">
        <v>15</v>
      </c>
      <c r="D704" s="3" t="s">
        <v>89</v>
      </c>
      <c r="E704" s="3" t="s">
        <v>102</v>
      </c>
      <c r="F704" s="3" t="s">
        <v>18</v>
      </c>
      <c r="G704" s="3" t="s">
        <v>94</v>
      </c>
      <c r="H704" s="3" t="s">
        <v>95</v>
      </c>
      <c r="I704" s="5">
        <v>6384.69</v>
      </c>
      <c r="J704" s="4">
        <v>9</v>
      </c>
      <c r="K704" s="1">
        <v>21</v>
      </c>
      <c r="L704" s="4">
        <v>305.61</v>
      </c>
      <c r="M704" s="3" t="s">
        <v>21</v>
      </c>
      <c r="N704" s="3" t="s">
        <v>40</v>
      </c>
    </row>
    <row r="705" spans="1:14" x14ac:dyDescent="0.3">
      <c r="A705" s="3" t="s">
        <v>785</v>
      </c>
      <c r="B705" s="2">
        <v>45521</v>
      </c>
      <c r="C705" s="3" t="s">
        <v>73</v>
      </c>
      <c r="D705" s="3" t="s">
        <v>16</v>
      </c>
      <c r="E705" s="3" t="s">
        <v>31</v>
      </c>
      <c r="F705" s="3" t="s">
        <v>62</v>
      </c>
      <c r="G705" s="3" t="s">
        <v>103</v>
      </c>
      <c r="H705" s="3" t="s">
        <v>104</v>
      </c>
      <c r="I705" s="5">
        <v>2963.08</v>
      </c>
      <c r="J705" s="4">
        <v>2</v>
      </c>
      <c r="K705" s="1">
        <v>6</v>
      </c>
      <c r="L705" s="4">
        <v>690.45</v>
      </c>
      <c r="M705" s="3" t="s">
        <v>21</v>
      </c>
      <c r="N705" s="3" t="s">
        <v>40</v>
      </c>
    </row>
    <row r="706" spans="1:14" x14ac:dyDescent="0.3">
      <c r="A706" s="3" t="s">
        <v>786</v>
      </c>
      <c r="B706" s="2">
        <v>45699</v>
      </c>
      <c r="C706" s="3" t="s">
        <v>37</v>
      </c>
      <c r="D706" s="3" t="s">
        <v>38</v>
      </c>
      <c r="E706" s="3" t="s">
        <v>53</v>
      </c>
      <c r="F706" s="3" t="s">
        <v>32</v>
      </c>
      <c r="G706" s="3" t="s">
        <v>47</v>
      </c>
      <c r="H706" s="3" t="s">
        <v>48</v>
      </c>
      <c r="I706" s="5">
        <v>7077.76</v>
      </c>
      <c r="J706" s="4">
        <v>8</v>
      </c>
      <c r="K706" s="1">
        <v>28</v>
      </c>
      <c r="L706" s="4">
        <v>794.85</v>
      </c>
      <c r="M706" s="3" t="s">
        <v>21</v>
      </c>
      <c r="N706" s="3" t="s">
        <v>40</v>
      </c>
    </row>
    <row r="707" spans="1:14" x14ac:dyDescent="0.3">
      <c r="A707" s="3" t="s">
        <v>787</v>
      </c>
      <c r="B707" s="2">
        <v>45668</v>
      </c>
      <c r="C707" s="3" t="s">
        <v>66</v>
      </c>
      <c r="D707" s="3" t="s">
        <v>56</v>
      </c>
      <c r="E707" s="3" t="s">
        <v>57</v>
      </c>
      <c r="F707" s="3" t="s">
        <v>62</v>
      </c>
      <c r="G707" s="3" t="s">
        <v>103</v>
      </c>
      <c r="H707" s="3" t="s">
        <v>104</v>
      </c>
      <c r="I707" s="5">
        <v>1605.16</v>
      </c>
      <c r="J707" s="4">
        <v>1</v>
      </c>
      <c r="K707" s="1">
        <v>19</v>
      </c>
      <c r="L707" s="4">
        <v>300.94</v>
      </c>
      <c r="M707" s="3" t="s">
        <v>28</v>
      </c>
      <c r="N707" s="3" t="s">
        <v>35</v>
      </c>
    </row>
    <row r="708" spans="1:14" x14ac:dyDescent="0.3">
      <c r="A708" s="3" t="s">
        <v>788</v>
      </c>
      <c r="B708" s="2">
        <v>45782</v>
      </c>
      <c r="C708" s="3" t="s">
        <v>133</v>
      </c>
      <c r="D708" s="3" t="s">
        <v>89</v>
      </c>
      <c r="E708" s="3" t="s">
        <v>116</v>
      </c>
      <c r="F708" s="3" t="s">
        <v>18</v>
      </c>
      <c r="G708" s="3" t="s">
        <v>94</v>
      </c>
      <c r="H708" s="3" t="s">
        <v>95</v>
      </c>
      <c r="I708" s="5">
        <v>2792.44</v>
      </c>
      <c r="J708" s="4">
        <v>2</v>
      </c>
      <c r="K708" s="1">
        <v>12</v>
      </c>
      <c r="L708" s="4">
        <v>500.35</v>
      </c>
      <c r="M708" s="3" t="s">
        <v>21</v>
      </c>
      <c r="N708" s="3" t="s">
        <v>40</v>
      </c>
    </row>
    <row r="709" spans="1:14" x14ac:dyDescent="0.3">
      <c r="A709" s="3" t="s">
        <v>789</v>
      </c>
      <c r="B709" s="2">
        <v>45574</v>
      </c>
      <c r="C709" s="3" t="s">
        <v>133</v>
      </c>
      <c r="D709" s="3" t="s">
        <v>38</v>
      </c>
      <c r="E709" s="3" t="s">
        <v>71</v>
      </c>
      <c r="F709" s="3" t="s">
        <v>18</v>
      </c>
      <c r="G709" s="3" t="s">
        <v>76</v>
      </c>
      <c r="H709" s="3" t="s">
        <v>77</v>
      </c>
      <c r="I709" s="5">
        <v>9324.4</v>
      </c>
      <c r="J709" s="4">
        <v>10</v>
      </c>
      <c r="K709" s="1">
        <v>6</v>
      </c>
      <c r="L709" s="4">
        <v>1754.87</v>
      </c>
      <c r="M709" s="3" t="s">
        <v>28</v>
      </c>
      <c r="N709" s="3" t="s">
        <v>40</v>
      </c>
    </row>
    <row r="710" spans="1:14" x14ac:dyDescent="0.3">
      <c r="A710" s="3" t="s">
        <v>790</v>
      </c>
      <c r="B710" s="2">
        <v>45753</v>
      </c>
      <c r="C710" s="3" t="s">
        <v>75</v>
      </c>
      <c r="D710" s="3" t="s">
        <v>56</v>
      </c>
      <c r="E710" s="3" t="s">
        <v>61</v>
      </c>
      <c r="F710" s="3" t="s">
        <v>32</v>
      </c>
      <c r="G710" s="3" t="s">
        <v>33</v>
      </c>
      <c r="H710" s="3" t="s">
        <v>34</v>
      </c>
      <c r="I710" s="5">
        <v>6054.3</v>
      </c>
      <c r="J710" s="4">
        <v>5</v>
      </c>
      <c r="K710" s="1">
        <v>11</v>
      </c>
      <c r="L710" s="4">
        <v>502.63</v>
      </c>
      <c r="M710" s="3" t="s">
        <v>21</v>
      </c>
      <c r="N710" s="3" t="s">
        <v>22</v>
      </c>
    </row>
    <row r="711" spans="1:14" x14ac:dyDescent="0.3">
      <c r="A711" s="3" t="s">
        <v>791</v>
      </c>
      <c r="B711" s="2">
        <v>45737</v>
      </c>
      <c r="C711" s="3" t="s">
        <v>50</v>
      </c>
      <c r="D711" s="3" t="s">
        <v>56</v>
      </c>
      <c r="E711" s="3" t="s">
        <v>108</v>
      </c>
      <c r="F711" s="3" t="s">
        <v>18</v>
      </c>
      <c r="G711" s="3" t="s">
        <v>19</v>
      </c>
      <c r="H711" s="3" t="s">
        <v>20</v>
      </c>
      <c r="I711" s="5">
        <v>14239.04</v>
      </c>
      <c r="J711" s="4">
        <v>8</v>
      </c>
      <c r="K711" s="1">
        <v>24</v>
      </c>
      <c r="L711" s="4">
        <v>552.21</v>
      </c>
      <c r="M711" s="3" t="s">
        <v>21</v>
      </c>
      <c r="N711" s="3" t="s">
        <v>44</v>
      </c>
    </row>
    <row r="712" spans="1:14" x14ac:dyDescent="0.3">
      <c r="A712" s="3" t="s">
        <v>792</v>
      </c>
      <c r="B712" s="2">
        <v>45742</v>
      </c>
      <c r="C712" s="3" t="s">
        <v>73</v>
      </c>
      <c r="D712" s="3" t="s">
        <v>56</v>
      </c>
      <c r="E712" s="3" t="s">
        <v>57</v>
      </c>
      <c r="F712" s="3" t="s">
        <v>18</v>
      </c>
      <c r="G712" s="3" t="s">
        <v>76</v>
      </c>
      <c r="H712" s="3" t="s">
        <v>77</v>
      </c>
      <c r="I712" s="5">
        <v>19512.599999999999</v>
      </c>
      <c r="J712" s="4">
        <v>10</v>
      </c>
      <c r="K712" s="1">
        <v>18</v>
      </c>
      <c r="L712" s="4">
        <v>1091.53</v>
      </c>
      <c r="M712" s="3" t="s">
        <v>28</v>
      </c>
      <c r="N712" s="3" t="s">
        <v>40</v>
      </c>
    </row>
    <row r="713" spans="1:14" x14ac:dyDescent="0.3">
      <c r="A713" s="3" t="s">
        <v>793</v>
      </c>
      <c r="B713" s="2">
        <v>45659</v>
      </c>
      <c r="C713" s="3" t="s">
        <v>24</v>
      </c>
      <c r="D713" s="3" t="s">
        <v>38</v>
      </c>
      <c r="E713" s="3" t="s">
        <v>53</v>
      </c>
      <c r="F713" s="3" t="s">
        <v>62</v>
      </c>
      <c r="G713" s="3" t="s">
        <v>63</v>
      </c>
      <c r="H713" s="3" t="s">
        <v>64</v>
      </c>
      <c r="I713" s="5">
        <v>7368.66</v>
      </c>
      <c r="J713" s="4">
        <v>6</v>
      </c>
      <c r="K713" s="1">
        <v>28</v>
      </c>
      <c r="L713" s="4">
        <v>983.75</v>
      </c>
      <c r="M713" s="3" t="s">
        <v>28</v>
      </c>
      <c r="N713" s="3" t="s">
        <v>22</v>
      </c>
    </row>
    <row r="714" spans="1:14" x14ac:dyDescent="0.3">
      <c r="A714" s="3" t="s">
        <v>794</v>
      </c>
      <c r="B714" s="2">
        <v>45722</v>
      </c>
      <c r="C714" s="3" t="s">
        <v>50</v>
      </c>
      <c r="D714" s="3" t="s">
        <v>16</v>
      </c>
      <c r="E714" s="3" t="s">
        <v>25</v>
      </c>
      <c r="F714" s="3" t="s">
        <v>62</v>
      </c>
      <c r="G714" s="3" t="s">
        <v>103</v>
      </c>
      <c r="H714" s="3" t="s">
        <v>104</v>
      </c>
      <c r="I714" s="5">
        <v>7462.08</v>
      </c>
      <c r="J714" s="4">
        <v>4</v>
      </c>
      <c r="K714" s="1">
        <v>25</v>
      </c>
      <c r="L714" s="4">
        <v>805.92</v>
      </c>
      <c r="M714" s="3" t="s">
        <v>21</v>
      </c>
      <c r="N714" s="3" t="s">
        <v>40</v>
      </c>
    </row>
    <row r="715" spans="1:14" x14ac:dyDescent="0.3">
      <c r="A715" s="3" t="s">
        <v>795</v>
      </c>
      <c r="B715" s="2">
        <v>45512</v>
      </c>
      <c r="C715" s="3" t="s">
        <v>99</v>
      </c>
      <c r="D715" s="3" t="s">
        <v>16</v>
      </c>
      <c r="E715" s="3" t="s">
        <v>25</v>
      </c>
      <c r="F715" s="3" t="s">
        <v>62</v>
      </c>
      <c r="G715" s="3" t="s">
        <v>63</v>
      </c>
      <c r="H715" s="3" t="s">
        <v>64</v>
      </c>
      <c r="I715" s="5">
        <v>4548.18</v>
      </c>
      <c r="J715" s="4">
        <v>3</v>
      </c>
      <c r="K715" s="1">
        <v>16</v>
      </c>
      <c r="L715" s="4">
        <v>399.48</v>
      </c>
      <c r="M715" s="3" t="s">
        <v>21</v>
      </c>
      <c r="N715" s="3" t="s">
        <v>40</v>
      </c>
    </row>
    <row r="716" spans="1:14" x14ac:dyDescent="0.3">
      <c r="A716" s="3" t="s">
        <v>796</v>
      </c>
      <c r="B716" s="2">
        <v>45720</v>
      </c>
      <c r="C716" s="3" t="s">
        <v>37</v>
      </c>
      <c r="D716" s="3" t="s">
        <v>38</v>
      </c>
      <c r="E716" s="3" t="s">
        <v>43</v>
      </c>
      <c r="F716" s="3" t="s">
        <v>18</v>
      </c>
      <c r="G716" s="3" t="s">
        <v>94</v>
      </c>
      <c r="H716" s="3" t="s">
        <v>95</v>
      </c>
      <c r="I716" s="5">
        <v>1063.07</v>
      </c>
      <c r="J716" s="4">
        <v>1</v>
      </c>
      <c r="K716" s="1">
        <v>26</v>
      </c>
      <c r="L716" s="4">
        <v>111.51</v>
      </c>
      <c r="M716" s="3" t="s">
        <v>21</v>
      </c>
      <c r="N716" s="3" t="s">
        <v>40</v>
      </c>
    </row>
    <row r="717" spans="1:14" x14ac:dyDescent="0.3">
      <c r="A717" s="3" t="s">
        <v>797</v>
      </c>
      <c r="B717" s="2">
        <v>45683</v>
      </c>
      <c r="C717" s="3" t="s">
        <v>101</v>
      </c>
      <c r="D717" s="3" t="s">
        <v>56</v>
      </c>
      <c r="E717" s="3" t="s">
        <v>61</v>
      </c>
      <c r="F717" s="3" t="s">
        <v>18</v>
      </c>
      <c r="G717" s="3" t="s">
        <v>26</v>
      </c>
      <c r="H717" s="3" t="s">
        <v>27</v>
      </c>
      <c r="I717" s="5">
        <v>3950.3</v>
      </c>
      <c r="J717" s="4">
        <v>10</v>
      </c>
      <c r="K717" s="1">
        <v>11</v>
      </c>
      <c r="L717" s="4">
        <v>200.27</v>
      </c>
      <c r="M717" s="3" t="s">
        <v>51</v>
      </c>
      <c r="N717" s="3" t="s">
        <v>22</v>
      </c>
    </row>
    <row r="718" spans="1:14" x14ac:dyDescent="0.3">
      <c r="A718" s="3" t="s">
        <v>798</v>
      </c>
      <c r="B718" s="2">
        <v>45424</v>
      </c>
      <c r="C718" s="3" t="s">
        <v>86</v>
      </c>
      <c r="D718" s="3" t="s">
        <v>38</v>
      </c>
      <c r="E718" s="3" t="s">
        <v>43</v>
      </c>
      <c r="F718" s="3" t="s">
        <v>32</v>
      </c>
      <c r="G718" s="3" t="s">
        <v>47</v>
      </c>
      <c r="H718" s="3" t="s">
        <v>48</v>
      </c>
      <c r="I718" s="5">
        <v>14664.69</v>
      </c>
      <c r="J718" s="4">
        <v>9</v>
      </c>
      <c r="K718" s="1">
        <v>6</v>
      </c>
      <c r="L718" s="4">
        <v>1909.54</v>
      </c>
      <c r="M718" s="3" t="s">
        <v>21</v>
      </c>
      <c r="N718" s="3" t="s">
        <v>40</v>
      </c>
    </row>
    <row r="719" spans="1:14" x14ac:dyDescent="0.3">
      <c r="A719" s="3" t="s">
        <v>799</v>
      </c>
      <c r="B719" s="2">
        <v>45741</v>
      </c>
      <c r="C719" s="3" t="s">
        <v>101</v>
      </c>
      <c r="D719" s="3" t="s">
        <v>89</v>
      </c>
      <c r="E719" s="3" t="s">
        <v>97</v>
      </c>
      <c r="F719" s="3" t="s">
        <v>18</v>
      </c>
      <c r="G719" s="3" t="s">
        <v>26</v>
      </c>
      <c r="H719" s="3" t="s">
        <v>27</v>
      </c>
      <c r="I719" s="5">
        <v>2766.74</v>
      </c>
      <c r="J719" s="4">
        <v>2</v>
      </c>
      <c r="K719" s="1">
        <v>13</v>
      </c>
      <c r="L719" s="4">
        <v>495.67</v>
      </c>
      <c r="M719" s="3" t="s">
        <v>51</v>
      </c>
      <c r="N719" s="3" t="s">
        <v>35</v>
      </c>
    </row>
    <row r="720" spans="1:14" x14ac:dyDescent="0.3">
      <c r="A720" s="3" t="s">
        <v>800</v>
      </c>
      <c r="B720" s="2">
        <v>45473</v>
      </c>
      <c r="C720" s="3" t="s">
        <v>24</v>
      </c>
      <c r="D720" s="3" t="s">
        <v>89</v>
      </c>
      <c r="E720" s="3" t="s">
        <v>97</v>
      </c>
      <c r="F720" s="3" t="s">
        <v>32</v>
      </c>
      <c r="G720" s="3" t="s">
        <v>33</v>
      </c>
      <c r="H720" s="3" t="s">
        <v>34</v>
      </c>
      <c r="I720" s="5">
        <v>7824.04</v>
      </c>
      <c r="J720" s="4">
        <v>7</v>
      </c>
      <c r="K720" s="1">
        <v>28</v>
      </c>
      <c r="L720" s="4">
        <v>611.62</v>
      </c>
      <c r="M720" s="3" t="s">
        <v>21</v>
      </c>
      <c r="N720" s="3" t="s">
        <v>22</v>
      </c>
    </row>
    <row r="721" spans="1:14" x14ac:dyDescent="0.3">
      <c r="A721" s="3" t="s">
        <v>801</v>
      </c>
      <c r="B721" s="2">
        <v>45729</v>
      </c>
      <c r="C721" s="3" t="s">
        <v>73</v>
      </c>
      <c r="D721" s="3" t="s">
        <v>16</v>
      </c>
      <c r="E721" s="3" t="s">
        <v>31</v>
      </c>
      <c r="F721" s="3" t="s">
        <v>18</v>
      </c>
      <c r="G721" s="3" t="s">
        <v>94</v>
      </c>
      <c r="H721" s="3" t="s">
        <v>95</v>
      </c>
      <c r="I721" s="5">
        <v>5342.88</v>
      </c>
      <c r="J721" s="4">
        <v>4</v>
      </c>
      <c r="K721" s="1">
        <v>11</v>
      </c>
      <c r="L721" s="4">
        <v>1116.1400000000001</v>
      </c>
      <c r="M721" s="3" t="s">
        <v>51</v>
      </c>
      <c r="N721" s="3" t="s">
        <v>40</v>
      </c>
    </row>
    <row r="722" spans="1:14" x14ac:dyDescent="0.3">
      <c r="A722" s="3" t="s">
        <v>802</v>
      </c>
      <c r="B722" s="2">
        <v>45753</v>
      </c>
      <c r="C722" s="3" t="s">
        <v>15</v>
      </c>
      <c r="D722" s="3" t="s">
        <v>16</v>
      </c>
      <c r="E722" s="3" t="s">
        <v>25</v>
      </c>
      <c r="F722" s="3" t="s">
        <v>32</v>
      </c>
      <c r="G722" s="3" t="s">
        <v>33</v>
      </c>
      <c r="H722" s="3" t="s">
        <v>34</v>
      </c>
      <c r="I722" s="5">
        <v>3960.99</v>
      </c>
      <c r="J722" s="4">
        <v>3</v>
      </c>
      <c r="K722" s="1">
        <v>11</v>
      </c>
      <c r="L722" s="4">
        <v>296.75</v>
      </c>
      <c r="M722" s="3" t="s">
        <v>28</v>
      </c>
      <c r="N722" s="3" t="s">
        <v>44</v>
      </c>
    </row>
    <row r="723" spans="1:14" x14ac:dyDescent="0.3">
      <c r="A723" s="3" t="s">
        <v>803</v>
      </c>
      <c r="B723" s="2">
        <v>45787</v>
      </c>
      <c r="C723" s="3" t="s">
        <v>84</v>
      </c>
      <c r="D723" s="3" t="s">
        <v>56</v>
      </c>
      <c r="E723" s="3" t="s">
        <v>57</v>
      </c>
      <c r="F723" s="3" t="s">
        <v>18</v>
      </c>
      <c r="G723" s="3" t="s">
        <v>76</v>
      </c>
      <c r="H723" s="3" t="s">
        <v>77</v>
      </c>
      <c r="I723" s="5">
        <v>2156.67</v>
      </c>
      <c r="J723" s="4">
        <v>3</v>
      </c>
      <c r="K723" s="1">
        <v>29</v>
      </c>
      <c r="L723" s="4">
        <v>340.33</v>
      </c>
      <c r="M723" s="3" t="s">
        <v>28</v>
      </c>
      <c r="N723" s="3" t="s">
        <v>22</v>
      </c>
    </row>
    <row r="724" spans="1:14" x14ac:dyDescent="0.3">
      <c r="A724" s="3" t="s">
        <v>804</v>
      </c>
      <c r="B724" s="2">
        <v>45731</v>
      </c>
      <c r="C724" s="3" t="s">
        <v>101</v>
      </c>
      <c r="D724" s="3" t="s">
        <v>89</v>
      </c>
      <c r="E724" s="3" t="s">
        <v>102</v>
      </c>
      <c r="F724" s="3" t="s">
        <v>18</v>
      </c>
      <c r="G724" s="3" t="s">
        <v>76</v>
      </c>
      <c r="H724" s="3" t="s">
        <v>77</v>
      </c>
      <c r="I724" s="5">
        <v>7058.6</v>
      </c>
      <c r="J724" s="4">
        <v>5</v>
      </c>
      <c r="K724" s="1">
        <v>20</v>
      </c>
      <c r="L724" s="4">
        <v>955.66</v>
      </c>
      <c r="M724" s="3" t="s">
        <v>21</v>
      </c>
      <c r="N724" s="3" t="s">
        <v>44</v>
      </c>
    </row>
    <row r="725" spans="1:14" x14ac:dyDescent="0.3">
      <c r="A725" s="3" t="s">
        <v>805</v>
      </c>
      <c r="B725" s="2">
        <v>45617</v>
      </c>
      <c r="C725" s="3" t="s">
        <v>42</v>
      </c>
      <c r="D725" s="3" t="s">
        <v>56</v>
      </c>
      <c r="E725" s="3" t="s">
        <v>61</v>
      </c>
      <c r="F725" s="3" t="s">
        <v>62</v>
      </c>
      <c r="G725" s="3" t="s">
        <v>63</v>
      </c>
      <c r="H725" s="3" t="s">
        <v>64</v>
      </c>
      <c r="I725" s="5">
        <v>11275.38</v>
      </c>
      <c r="J725" s="4">
        <v>9</v>
      </c>
      <c r="K725" s="1">
        <v>9</v>
      </c>
      <c r="L725" s="4">
        <v>820.54</v>
      </c>
      <c r="M725" s="3" t="s">
        <v>51</v>
      </c>
      <c r="N725" s="3" t="s">
        <v>40</v>
      </c>
    </row>
    <row r="726" spans="1:14" x14ac:dyDescent="0.3">
      <c r="A726" s="3" t="s">
        <v>806</v>
      </c>
      <c r="B726" s="2">
        <v>45769</v>
      </c>
      <c r="C726" s="3" t="s">
        <v>99</v>
      </c>
      <c r="D726" s="3" t="s">
        <v>89</v>
      </c>
      <c r="E726" s="3" t="s">
        <v>140</v>
      </c>
      <c r="F726" s="3" t="s">
        <v>18</v>
      </c>
      <c r="G726" s="3" t="s">
        <v>94</v>
      </c>
      <c r="H726" s="3" t="s">
        <v>95</v>
      </c>
      <c r="I726" s="5">
        <v>10349.52</v>
      </c>
      <c r="J726" s="4">
        <v>8</v>
      </c>
      <c r="K726" s="1">
        <v>10</v>
      </c>
      <c r="L726" s="4">
        <v>1020.26</v>
      </c>
      <c r="M726" s="3" t="s">
        <v>21</v>
      </c>
      <c r="N726" s="3" t="s">
        <v>35</v>
      </c>
    </row>
    <row r="727" spans="1:14" x14ac:dyDescent="0.3">
      <c r="A727" s="3" t="s">
        <v>807</v>
      </c>
      <c r="B727" s="2">
        <v>45430</v>
      </c>
      <c r="C727" s="3" t="s">
        <v>84</v>
      </c>
      <c r="D727" s="3" t="s">
        <v>56</v>
      </c>
      <c r="E727" s="3" t="s">
        <v>61</v>
      </c>
      <c r="F727" s="3" t="s">
        <v>18</v>
      </c>
      <c r="G727" s="3" t="s">
        <v>76</v>
      </c>
      <c r="H727" s="3" t="s">
        <v>77</v>
      </c>
      <c r="I727" s="5">
        <v>1365.84</v>
      </c>
      <c r="J727" s="4">
        <v>7</v>
      </c>
      <c r="K727" s="1">
        <v>0</v>
      </c>
      <c r="L727" s="4">
        <v>169.1</v>
      </c>
      <c r="M727" s="3" t="s">
        <v>51</v>
      </c>
      <c r="N727" s="3" t="s">
        <v>40</v>
      </c>
    </row>
    <row r="728" spans="1:14" x14ac:dyDescent="0.3">
      <c r="A728" s="3" t="s">
        <v>808</v>
      </c>
      <c r="B728" s="2">
        <v>45459</v>
      </c>
      <c r="C728" s="3" t="s">
        <v>30</v>
      </c>
      <c r="D728" s="3" t="s">
        <v>89</v>
      </c>
      <c r="E728" s="3" t="s">
        <v>116</v>
      </c>
      <c r="F728" s="3" t="s">
        <v>62</v>
      </c>
      <c r="G728" s="3" t="s">
        <v>80</v>
      </c>
      <c r="H728" s="3" t="s">
        <v>81</v>
      </c>
      <c r="I728" s="5">
        <v>9685.6</v>
      </c>
      <c r="J728" s="4">
        <v>5</v>
      </c>
      <c r="K728" s="1">
        <v>23</v>
      </c>
      <c r="L728" s="4">
        <v>1117.0899999999999</v>
      </c>
      <c r="M728" s="3" t="s">
        <v>51</v>
      </c>
      <c r="N728" s="3" t="s">
        <v>40</v>
      </c>
    </row>
    <row r="729" spans="1:14" x14ac:dyDescent="0.3">
      <c r="A729" s="3" t="s">
        <v>809</v>
      </c>
      <c r="B729" s="2">
        <v>45741</v>
      </c>
      <c r="C729" s="3" t="s">
        <v>86</v>
      </c>
      <c r="D729" s="3" t="s">
        <v>89</v>
      </c>
      <c r="E729" s="3" t="s">
        <v>116</v>
      </c>
      <c r="F729" s="3" t="s">
        <v>18</v>
      </c>
      <c r="G729" s="3" t="s">
        <v>94</v>
      </c>
      <c r="H729" s="3" t="s">
        <v>95</v>
      </c>
      <c r="I729" s="5">
        <v>1841.97</v>
      </c>
      <c r="J729" s="4">
        <v>1</v>
      </c>
      <c r="K729" s="1">
        <v>0</v>
      </c>
      <c r="L729" s="4">
        <v>141.38</v>
      </c>
      <c r="M729" s="3" t="s">
        <v>28</v>
      </c>
      <c r="N729" s="3" t="s">
        <v>44</v>
      </c>
    </row>
    <row r="730" spans="1:14" x14ac:dyDescent="0.3">
      <c r="A730" s="3" t="s">
        <v>810</v>
      </c>
      <c r="B730" s="2">
        <v>45530</v>
      </c>
      <c r="C730" s="3" t="s">
        <v>50</v>
      </c>
      <c r="D730" s="3" t="s">
        <v>16</v>
      </c>
      <c r="E730" s="3" t="s">
        <v>17</v>
      </c>
      <c r="F730" s="3" t="s">
        <v>62</v>
      </c>
      <c r="G730" s="3" t="s">
        <v>103</v>
      </c>
      <c r="H730" s="3" t="s">
        <v>104</v>
      </c>
      <c r="I730" s="5">
        <v>16761.3</v>
      </c>
      <c r="J730" s="4">
        <v>10</v>
      </c>
      <c r="K730" s="1">
        <v>3</v>
      </c>
      <c r="L730" s="4">
        <v>1467.37</v>
      </c>
      <c r="M730" s="3" t="s">
        <v>51</v>
      </c>
      <c r="N730" s="3" t="s">
        <v>44</v>
      </c>
    </row>
    <row r="731" spans="1:14" x14ac:dyDescent="0.3">
      <c r="A731" s="3" t="s">
        <v>811</v>
      </c>
      <c r="B731" s="2">
        <v>45548</v>
      </c>
      <c r="C731" s="3" t="s">
        <v>66</v>
      </c>
      <c r="D731" s="3" t="s">
        <v>89</v>
      </c>
      <c r="E731" s="3" t="s">
        <v>97</v>
      </c>
      <c r="F731" s="3" t="s">
        <v>32</v>
      </c>
      <c r="G731" s="3" t="s">
        <v>47</v>
      </c>
      <c r="H731" s="3" t="s">
        <v>48</v>
      </c>
      <c r="I731" s="5">
        <v>5697</v>
      </c>
      <c r="J731" s="4">
        <v>3</v>
      </c>
      <c r="K731" s="1">
        <v>25</v>
      </c>
      <c r="L731" s="4">
        <v>486.23</v>
      </c>
      <c r="M731" s="3" t="s">
        <v>28</v>
      </c>
      <c r="N731" s="3" t="s">
        <v>22</v>
      </c>
    </row>
    <row r="732" spans="1:14" x14ac:dyDescent="0.3">
      <c r="A732" s="3" t="s">
        <v>812</v>
      </c>
      <c r="B732" s="2">
        <v>45575</v>
      </c>
      <c r="C732" s="3" t="s">
        <v>30</v>
      </c>
      <c r="D732" s="3" t="s">
        <v>38</v>
      </c>
      <c r="E732" s="3" t="s">
        <v>53</v>
      </c>
      <c r="F732" s="3" t="s">
        <v>62</v>
      </c>
      <c r="G732" s="3" t="s">
        <v>80</v>
      </c>
      <c r="H732" s="3" t="s">
        <v>81</v>
      </c>
      <c r="I732" s="5">
        <v>6520.08</v>
      </c>
      <c r="J732" s="4">
        <v>6</v>
      </c>
      <c r="K732" s="1">
        <v>5</v>
      </c>
      <c r="L732" s="4">
        <v>469.73</v>
      </c>
      <c r="M732" s="3" t="s">
        <v>51</v>
      </c>
      <c r="N732" s="3" t="s">
        <v>22</v>
      </c>
    </row>
    <row r="733" spans="1:14" x14ac:dyDescent="0.3">
      <c r="A733" s="3" t="s">
        <v>813</v>
      </c>
      <c r="B733" s="2">
        <v>45525</v>
      </c>
      <c r="C733" s="3" t="s">
        <v>75</v>
      </c>
      <c r="D733" s="3" t="s">
        <v>16</v>
      </c>
      <c r="E733" s="3" t="s">
        <v>17</v>
      </c>
      <c r="F733" s="3" t="s">
        <v>18</v>
      </c>
      <c r="G733" s="3" t="s">
        <v>76</v>
      </c>
      <c r="H733" s="3" t="s">
        <v>77</v>
      </c>
      <c r="I733" s="5">
        <v>8746.2999999999993</v>
      </c>
      <c r="J733" s="4">
        <v>5</v>
      </c>
      <c r="K733" s="1">
        <v>21</v>
      </c>
      <c r="L733" s="4">
        <v>928.17</v>
      </c>
      <c r="M733" s="3" t="s">
        <v>51</v>
      </c>
      <c r="N733" s="3" t="s">
        <v>44</v>
      </c>
    </row>
    <row r="734" spans="1:14" x14ac:dyDescent="0.3">
      <c r="A734" s="3" t="s">
        <v>814</v>
      </c>
      <c r="B734" s="2">
        <v>45751</v>
      </c>
      <c r="C734" s="3" t="s">
        <v>84</v>
      </c>
      <c r="D734" s="3" t="s">
        <v>89</v>
      </c>
      <c r="E734" s="3" t="s">
        <v>102</v>
      </c>
      <c r="F734" s="3" t="s">
        <v>32</v>
      </c>
      <c r="G734" s="3" t="s">
        <v>47</v>
      </c>
      <c r="H734" s="3" t="s">
        <v>48</v>
      </c>
      <c r="I734" s="5">
        <v>3774.06</v>
      </c>
      <c r="J734" s="4">
        <v>3</v>
      </c>
      <c r="K734" s="1">
        <v>29</v>
      </c>
      <c r="L734" s="4">
        <v>460.27</v>
      </c>
      <c r="M734" s="3" t="s">
        <v>51</v>
      </c>
      <c r="N734" s="3" t="s">
        <v>40</v>
      </c>
    </row>
    <row r="735" spans="1:14" x14ac:dyDescent="0.3">
      <c r="A735" s="3" t="s">
        <v>815</v>
      </c>
      <c r="B735" s="2">
        <v>45503</v>
      </c>
      <c r="C735" s="3" t="s">
        <v>99</v>
      </c>
      <c r="D735" s="3" t="s">
        <v>56</v>
      </c>
      <c r="E735" s="3" t="s">
        <v>61</v>
      </c>
      <c r="F735" s="3" t="s">
        <v>62</v>
      </c>
      <c r="G735" s="3" t="s">
        <v>67</v>
      </c>
      <c r="H735" s="3" t="s">
        <v>68</v>
      </c>
      <c r="I735" s="5">
        <v>6311.3</v>
      </c>
      <c r="J735" s="4">
        <v>10</v>
      </c>
      <c r="K735" s="1">
        <v>22</v>
      </c>
      <c r="L735" s="4">
        <v>1188.54</v>
      </c>
      <c r="M735" s="3" t="s">
        <v>28</v>
      </c>
      <c r="N735" s="3" t="s">
        <v>40</v>
      </c>
    </row>
    <row r="736" spans="1:14" x14ac:dyDescent="0.3">
      <c r="A736" s="3" t="s">
        <v>816</v>
      </c>
      <c r="B736" s="2">
        <v>45520</v>
      </c>
      <c r="C736" s="3" t="s">
        <v>84</v>
      </c>
      <c r="D736" s="3" t="s">
        <v>38</v>
      </c>
      <c r="E736" s="3" t="s">
        <v>39</v>
      </c>
      <c r="F736" s="3" t="s">
        <v>18</v>
      </c>
      <c r="G736" s="3" t="s">
        <v>94</v>
      </c>
      <c r="H736" s="3" t="s">
        <v>95</v>
      </c>
      <c r="I736" s="5">
        <v>8120</v>
      </c>
      <c r="J736" s="4">
        <v>5</v>
      </c>
      <c r="K736" s="1">
        <v>25</v>
      </c>
      <c r="L736" s="4">
        <v>1381.16</v>
      </c>
      <c r="M736" s="3" t="s">
        <v>28</v>
      </c>
      <c r="N736" s="3" t="s">
        <v>40</v>
      </c>
    </row>
    <row r="737" spans="1:14" x14ac:dyDescent="0.3">
      <c r="A737" s="3" t="s">
        <v>817</v>
      </c>
      <c r="B737" s="2">
        <v>45575</v>
      </c>
      <c r="C737" s="3" t="s">
        <v>30</v>
      </c>
      <c r="D737" s="3" t="s">
        <v>16</v>
      </c>
      <c r="E737" s="3" t="s">
        <v>17</v>
      </c>
      <c r="F737" s="3" t="s">
        <v>62</v>
      </c>
      <c r="G737" s="3" t="s">
        <v>80</v>
      </c>
      <c r="H737" s="3" t="s">
        <v>81</v>
      </c>
      <c r="I737" s="5">
        <v>945.72</v>
      </c>
      <c r="J737" s="4">
        <v>4</v>
      </c>
      <c r="K737" s="1">
        <v>9</v>
      </c>
      <c r="L737" s="4">
        <v>179.14</v>
      </c>
      <c r="M737" s="3" t="s">
        <v>51</v>
      </c>
      <c r="N737" s="3" t="s">
        <v>22</v>
      </c>
    </row>
    <row r="738" spans="1:14" x14ac:dyDescent="0.3">
      <c r="A738" s="3" t="s">
        <v>818</v>
      </c>
      <c r="B738" s="2">
        <v>45649</v>
      </c>
      <c r="C738" s="3" t="s">
        <v>30</v>
      </c>
      <c r="D738" s="3" t="s">
        <v>38</v>
      </c>
      <c r="E738" s="3" t="s">
        <v>43</v>
      </c>
      <c r="F738" s="3" t="s">
        <v>62</v>
      </c>
      <c r="G738" s="3" t="s">
        <v>67</v>
      </c>
      <c r="H738" s="3" t="s">
        <v>68</v>
      </c>
      <c r="I738" s="5">
        <v>12494.8</v>
      </c>
      <c r="J738" s="4">
        <v>8</v>
      </c>
      <c r="K738" s="1">
        <v>21</v>
      </c>
      <c r="L738" s="4">
        <v>1633.95</v>
      </c>
      <c r="M738" s="3" t="s">
        <v>51</v>
      </c>
      <c r="N738" s="3" t="s">
        <v>22</v>
      </c>
    </row>
    <row r="739" spans="1:14" x14ac:dyDescent="0.3">
      <c r="A739" s="3" t="s">
        <v>819</v>
      </c>
      <c r="B739" s="2">
        <v>45449</v>
      </c>
      <c r="C739" s="3" t="s">
        <v>99</v>
      </c>
      <c r="D739" s="3" t="s">
        <v>89</v>
      </c>
      <c r="E739" s="3" t="s">
        <v>140</v>
      </c>
      <c r="F739" s="3" t="s">
        <v>32</v>
      </c>
      <c r="G739" s="3" t="s">
        <v>33</v>
      </c>
      <c r="H739" s="3" t="s">
        <v>34</v>
      </c>
      <c r="I739" s="5">
        <v>13088.08</v>
      </c>
      <c r="J739" s="4">
        <v>8</v>
      </c>
      <c r="K739" s="1">
        <v>7.0000000000000009</v>
      </c>
      <c r="L739" s="4">
        <v>864.94</v>
      </c>
      <c r="M739" s="3" t="s">
        <v>28</v>
      </c>
      <c r="N739" s="3" t="s">
        <v>40</v>
      </c>
    </row>
    <row r="740" spans="1:14" x14ac:dyDescent="0.3">
      <c r="A740" s="3" t="s">
        <v>820</v>
      </c>
      <c r="B740" s="2">
        <v>45644</v>
      </c>
      <c r="C740" s="3" t="s">
        <v>15</v>
      </c>
      <c r="D740" s="3" t="s">
        <v>56</v>
      </c>
      <c r="E740" s="3" t="s">
        <v>108</v>
      </c>
      <c r="F740" s="3" t="s">
        <v>18</v>
      </c>
      <c r="G740" s="3" t="s">
        <v>76</v>
      </c>
      <c r="H740" s="3" t="s">
        <v>77</v>
      </c>
      <c r="I740" s="5">
        <v>9505.4</v>
      </c>
      <c r="J740" s="4">
        <v>10</v>
      </c>
      <c r="K740" s="1">
        <v>20</v>
      </c>
      <c r="L740" s="4">
        <v>1412.52</v>
      </c>
      <c r="M740" s="3" t="s">
        <v>28</v>
      </c>
      <c r="N740" s="3" t="s">
        <v>22</v>
      </c>
    </row>
    <row r="741" spans="1:14" x14ac:dyDescent="0.3">
      <c r="A741" s="3" t="s">
        <v>821</v>
      </c>
      <c r="B741" s="2">
        <v>45434</v>
      </c>
      <c r="C741" s="3" t="s">
        <v>73</v>
      </c>
      <c r="D741" s="3" t="s">
        <v>89</v>
      </c>
      <c r="E741" s="3" t="s">
        <v>90</v>
      </c>
      <c r="F741" s="3" t="s">
        <v>18</v>
      </c>
      <c r="G741" s="3" t="s">
        <v>94</v>
      </c>
      <c r="H741" s="3" t="s">
        <v>95</v>
      </c>
      <c r="I741" s="5">
        <v>10082.43</v>
      </c>
      <c r="J741" s="4">
        <v>9</v>
      </c>
      <c r="K741" s="1">
        <v>21</v>
      </c>
      <c r="L741" s="4">
        <v>442.02</v>
      </c>
      <c r="M741" s="3" t="s">
        <v>21</v>
      </c>
      <c r="N741" s="3" t="s">
        <v>40</v>
      </c>
    </row>
    <row r="742" spans="1:14" x14ac:dyDescent="0.3">
      <c r="A742" s="3" t="s">
        <v>822</v>
      </c>
      <c r="B742" s="2">
        <v>45486</v>
      </c>
      <c r="C742" s="3" t="s">
        <v>99</v>
      </c>
      <c r="D742" s="3" t="s">
        <v>16</v>
      </c>
      <c r="E742" s="3" t="s">
        <v>25</v>
      </c>
      <c r="F742" s="3" t="s">
        <v>32</v>
      </c>
      <c r="G742" s="3" t="s">
        <v>33</v>
      </c>
      <c r="H742" s="3" t="s">
        <v>34</v>
      </c>
      <c r="I742" s="5">
        <v>906.55</v>
      </c>
      <c r="J742" s="4">
        <v>1</v>
      </c>
      <c r="K742" s="1">
        <v>11</v>
      </c>
      <c r="L742" s="4">
        <v>141.61000000000001</v>
      </c>
      <c r="M742" s="3" t="s">
        <v>28</v>
      </c>
      <c r="N742" s="3" t="s">
        <v>40</v>
      </c>
    </row>
    <row r="743" spans="1:14" x14ac:dyDescent="0.3">
      <c r="A743" s="3" t="s">
        <v>823</v>
      </c>
      <c r="B743" s="2">
        <v>45719</v>
      </c>
      <c r="C743" s="3" t="s">
        <v>84</v>
      </c>
      <c r="D743" s="3" t="s">
        <v>56</v>
      </c>
      <c r="E743" s="3" t="s">
        <v>108</v>
      </c>
      <c r="F743" s="3" t="s">
        <v>62</v>
      </c>
      <c r="G743" s="3" t="s">
        <v>80</v>
      </c>
      <c r="H743" s="3" t="s">
        <v>81</v>
      </c>
      <c r="I743" s="5">
        <v>15569.73</v>
      </c>
      <c r="J743" s="4">
        <v>9</v>
      </c>
      <c r="K743" s="1">
        <v>2</v>
      </c>
      <c r="L743" s="4">
        <v>1936.89</v>
      </c>
      <c r="M743" s="3" t="s">
        <v>51</v>
      </c>
      <c r="N743" s="3" t="s">
        <v>40</v>
      </c>
    </row>
    <row r="744" spans="1:14" x14ac:dyDescent="0.3">
      <c r="A744" s="3" t="s">
        <v>824</v>
      </c>
      <c r="B744" s="2">
        <v>45568</v>
      </c>
      <c r="C744" s="3" t="s">
        <v>101</v>
      </c>
      <c r="D744" s="3" t="s">
        <v>16</v>
      </c>
      <c r="E744" s="3" t="s">
        <v>31</v>
      </c>
      <c r="F744" s="3" t="s">
        <v>32</v>
      </c>
      <c r="G744" s="3" t="s">
        <v>58</v>
      </c>
      <c r="H744" s="3" t="s">
        <v>59</v>
      </c>
      <c r="I744" s="5">
        <v>16686.400000000001</v>
      </c>
      <c r="J744" s="4">
        <v>10</v>
      </c>
      <c r="K744" s="1">
        <v>29</v>
      </c>
      <c r="L744" s="4">
        <v>1598.71</v>
      </c>
      <c r="M744" s="3" t="s">
        <v>28</v>
      </c>
      <c r="N744" s="3" t="s">
        <v>40</v>
      </c>
    </row>
    <row r="745" spans="1:14" x14ac:dyDescent="0.3">
      <c r="A745" s="3" t="s">
        <v>825</v>
      </c>
      <c r="B745" s="2">
        <v>45456</v>
      </c>
      <c r="C745" s="3" t="s">
        <v>73</v>
      </c>
      <c r="D745" s="3" t="s">
        <v>89</v>
      </c>
      <c r="E745" s="3" t="s">
        <v>102</v>
      </c>
      <c r="F745" s="3" t="s">
        <v>32</v>
      </c>
      <c r="G745" s="3" t="s">
        <v>58</v>
      </c>
      <c r="H745" s="3" t="s">
        <v>59</v>
      </c>
      <c r="I745" s="5">
        <v>2118.96</v>
      </c>
      <c r="J745" s="4">
        <v>6</v>
      </c>
      <c r="K745" s="1">
        <v>14</v>
      </c>
      <c r="L745" s="4">
        <v>195.79</v>
      </c>
      <c r="M745" s="3" t="s">
        <v>28</v>
      </c>
      <c r="N745" s="3" t="s">
        <v>22</v>
      </c>
    </row>
    <row r="746" spans="1:14" x14ac:dyDescent="0.3">
      <c r="A746" s="3" t="s">
        <v>826</v>
      </c>
      <c r="B746" s="2">
        <v>45665</v>
      </c>
      <c r="C746" s="3" t="s">
        <v>30</v>
      </c>
      <c r="D746" s="3" t="s">
        <v>89</v>
      </c>
      <c r="E746" s="3" t="s">
        <v>97</v>
      </c>
      <c r="F746" s="3" t="s">
        <v>18</v>
      </c>
      <c r="G746" s="3" t="s">
        <v>19</v>
      </c>
      <c r="H746" s="3" t="s">
        <v>20</v>
      </c>
      <c r="I746" s="5">
        <v>2815.68</v>
      </c>
      <c r="J746" s="4">
        <v>3</v>
      </c>
      <c r="K746" s="1">
        <v>10</v>
      </c>
      <c r="L746" s="4">
        <v>602.45000000000005</v>
      </c>
      <c r="M746" s="3" t="s">
        <v>21</v>
      </c>
      <c r="N746" s="3" t="s">
        <v>44</v>
      </c>
    </row>
    <row r="747" spans="1:14" x14ac:dyDescent="0.3">
      <c r="A747" s="3" t="s">
        <v>827</v>
      </c>
      <c r="B747" s="2">
        <v>45693</v>
      </c>
      <c r="C747" s="3" t="s">
        <v>86</v>
      </c>
      <c r="D747" s="3" t="s">
        <v>16</v>
      </c>
      <c r="E747" s="3" t="s">
        <v>31</v>
      </c>
      <c r="F747" s="3" t="s">
        <v>62</v>
      </c>
      <c r="G747" s="3" t="s">
        <v>103</v>
      </c>
      <c r="H747" s="3" t="s">
        <v>104</v>
      </c>
      <c r="I747" s="5">
        <v>4671.04</v>
      </c>
      <c r="J747" s="4">
        <v>4</v>
      </c>
      <c r="K747" s="1">
        <v>21</v>
      </c>
      <c r="L747" s="4">
        <v>809.44</v>
      </c>
      <c r="M747" s="3" t="s">
        <v>28</v>
      </c>
      <c r="N747" s="3" t="s">
        <v>35</v>
      </c>
    </row>
    <row r="748" spans="1:14" x14ac:dyDescent="0.3">
      <c r="A748" s="3" t="s">
        <v>828</v>
      </c>
      <c r="B748" s="2">
        <v>45652</v>
      </c>
      <c r="C748" s="3" t="s">
        <v>99</v>
      </c>
      <c r="D748" s="3" t="s">
        <v>56</v>
      </c>
      <c r="E748" s="3" t="s">
        <v>61</v>
      </c>
      <c r="F748" s="3" t="s">
        <v>18</v>
      </c>
      <c r="G748" s="3" t="s">
        <v>94</v>
      </c>
      <c r="H748" s="3" t="s">
        <v>95</v>
      </c>
      <c r="I748" s="5">
        <v>1778.04</v>
      </c>
      <c r="J748" s="4">
        <v>6</v>
      </c>
      <c r="K748" s="1">
        <v>4</v>
      </c>
      <c r="L748" s="4">
        <v>234.19</v>
      </c>
      <c r="M748" s="3" t="s">
        <v>21</v>
      </c>
      <c r="N748" s="3" t="s">
        <v>35</v>
      </c>
    </row>
    <row r="749" spans="1:14" x14ac:dyDescent="0.3">
      <c r="A749" s="3" t="s">
        <v>829</v>
      </c>
      <c r="B749" s="2">
        <v>45461</v>
      </c>
      <c r="C749" s="3" t="s">
        <v>37</v>
      </c>
      <c r="D749" s="3" t="s">
        <v>89</v>
      </c>
      <c r="E749" s="3" t="s">
        <v>116</v>
      </c>
      <c r="F749" s="3" t="s">
        <v>62</v>
      </c>
      <c r="G749" s="3" t="s">
        <v>63</v>
      </c>
      <c r="H749" s="3" t="s">
        <v>64</v>
      </c>
      <c r="I749" s="5">
        <v>12463.15</v>
      </c>
      <c r="J749" s="4">
        <v>7</v>
      </c>
      <c r="K749" s="1">
        <v>2</v>
      </c>
      <c r="L749" s="4">
        <v>945.75</v>
      </c>
      <c r="M749" s="3" t="s">
        <v>28</v>
      </c>
      <c r="N749" s="3" t="s">
        <v>40</v>
      </c>
    </row>
    <row r="750" spans="1:14" x14ac:dyDescent="0.3">
      <c r="A750" s="3" t="s">
        <v>830</v>
      </c>
      <c r="B750" s="2">
        <v>45481</v>
      </c>
      <c r="C750" s="3" t="s">
        <v>99</v>
      </c>
      <c r="D750" s="3" t="s">
        <v>56</v>
      </c>
      <c r="E750" s="3" t="s">
        <v>57</v>
      </c>
      <c r="F750" s="3" t="s">
        <v>62</v>
      </c>
      <c r="G750" s="3" t="s">
        <v>67</v>
      </c>
      <c r="H750" s="3" t="s">
        <v>68</v>
      </c>
      <c r="I750" s="5">
        <v>4602.57</v>
      </c>
      <c r="J750" s="4">
        <v>3</v>
      </c>
      <c r="K750" s="1">
        <v>26</v>
      </c>
      <c r="L750" s="4">
        <v>651.08000000000004</v>
      </c>
      <c r="M750" s="3" t="s">
        <v>21</v>
      </c>
      <c r="N750" s="3" t="s">
        <v>40</v>
      </c>
    </row>
    <row r="751" spans="1:14" x14ac:dyDescent="0.3">
      <c r="A751" s="3" t="s">
        <v>831</v>
      </c>
      <c r="B751" s="2">
        <v>45641</v>
      </c>
      <c r="C751" s="3" t="s">
        <v>66</v>
      </c>
      <c r="D751" s="3" t="s">
        <v>38</v>
      </c>
      <c r="E751" s="3" t="s">
        <v>53</v>
      </c>
      <c r="F751" s="3" t="s">
        <v>62</v>
      </c>
      <c r="G751" s="3" t="s">
        <v>63</v>
      </c>
      <c r="H751" s="3" t="s">
        <v>64</v>
      </c>
      <c r="I751" s="5">
        <v>8567.25</v>
      </c>
      <c r="J751" s="4">
        <v>5</v>
      </c>
      <c r="K751" s="1">
        <v>25</v>
      </c>
      <c r="L751" s="4">
        <v>1075.51</v>
      </c>
      <c r="M751" s="3" t="s">
        <v>28</v>
      </c>
      <c r="N751" s="3" t="s">
        <v>22</v>
      </c>
    </row>
    <row r="752" spans="1:14" x14ac:dyDescent="0.3">
      <c r="A752" s="3" t="s">
        <v>832</v>
      </c>
      <c r="B752" s="2">
        <v>45641</v>
      </c>
      <c r="C752" s="3" t="s">
        <v>30</v>
      </c>
      <c r="D752" s="3" t="s">
        <v>89</v>
      </c>
      <c r="E752" s="3" t="s">
        <v>116</v>
      </c>
      <c r="F752" s="3" t="s">
        <v>18</v>
      </c>
      <c r="G752" s="3" t="s">
        <v>19</v>
      </c>
      <c r="H752" s="3" t="s">
        <v>20</v>
      </c>
      <c r="I752" s="5">
        <v>1196.8599999999999</v>
      </c>
      <c r="J752" s="4">
        <v>2</v>
      </c>
      <c r="K752" s="1">
        <v>9</v>
      </c>
      <c r="L752" s="4">
        <v>106.43</v>
      </c>
      <c r="M752" s="3" t="s">
        <v>21</v>
      </c>
      <c r="N752" s="3" t="s">
        <v>35</v>
      </c>
    </row>
    <row r="753" spans="1:14" x14ac:dyDescent="0.3">
      <c r="A753" s="3" t="s">
        <v>833</v>
      </c>
      <c r="B753" s="2">
        <v>45514</v>
      </c>
      <c r="C753" s="3" t="s">
        <v>70</v>
      </c>
      <c r="D753" s="3" t="s">
        <v>16</v>
      </c>
      <c r="E753" s="3" t="s">
        <v>25</v>
      </c>
      <c r="F753" s="3" t="s">
        <v>18</v>
      </c>
      <c r="G753" s="3" t="s">
        <v>26</v>
      </c>
      <c r="H753" s="3" t="s">
        <v>27</v>
      </c>
      <c r="I753" s="5">
        <v>5192.7299999999996</v>
      </c>
      <c r="J753" s="4">
        <v>9</v>
      </c>
      <c r="K753" s="1">
        <v>25</v>
      </c>
      <c r="L753" s="4">
        <v>227.88</v>
      </c>
      <c r="M753" s="3" t="s">
        <v>51</v>
      </c>
      <c r="N753" s="3" t="s">
        <v>22</v>
      </c>
    </row>
    <row r="754" spans="1:14" x14ac:dyDescent="0.3">
      <c r="A754" s="3" t="s">
        <v>834</v>
      </c>
      <c r="B754" s="2">
        <v>45786</v>
      </c>
      <c r="C754" s="3" t="s">
        <v>37</v>
      </c>
      <c r="D754" s="3" t="s">
        <v>38</v>
      </c>
      <c r="E754" s="3" t="s">
        <v>53</v>
      </c>
      <c r="F754" s="3" t="s">
        <v>62</v>
      </c>
      <c r="G754" s="3" t="s">
        <v>103</v>
      </c>
      <c r="H754" s="3" t="s">
        <v>104</v>
      </c>
      <c r="I754" s="5">
        <v>13622.13</v>
      </c>
      <c r="J754" s="4">
        <v>9</v>
      </c>
      <c r="K754" s="1">
        <v>8</v>
      </c>
      <c r="L754" s="4">
        <v>3065.99</v>
      </c>
      <c r="M754" s="3" t="s">
        <v>51</v>
      </c>
      <c r="N754" s="3" t="s">
        <v>44</v>
      </c>
    </row>
    <row r="755" spans="1:14" x14ac:dyDescent="0.3">
      <c r="A755" s="3" t="s">
        <v>835</v>
      </c>
      <c r="B755" s="2">
        <v>45649</v>
      </c>
      <c r="C755" s="3" t="s">
        <v>30</v>
      </c>
      <c r="D755" s="3" t="s">
        <v>89</v>
      </c>
      <c r="E755" s="3" t="s">
        <v>140</v>
      </c>
      <c r="F755" s="3" t="s">
        <v>62</v>
      </c>
      <c r="G755" s="3" t="s">
        <v>80</v>
      </c>
      <c r="H755" s="3" t="s">
        <v>81</v>
      </c>
      <c r="I755" s="5">
        <v>17284.099999999999</v>
      </c>
      <c r="J755" s="4">
        <v>10</v>
      </c>
      <c r="K755" s="1">
        <v>21</v>
      </c>
      <c r="L755" s="4">
        <v>3043.46</v>
      </c>
      <c r="M755" s="3" t="s">
        <v>28</v>
      </c>
      <c r="N755" s="3" t="s">
        <v>44</v>
      </c>
    </row>
    <row r="756" spans="1:14" x14ac:dyDescent="0.3">
      <c r="A756" s="3" t="s">
        <v>836</v>
      </c>
      <c r="B756" s="2">
        <v>45438</v>
      </c>
      <c r="C756" s="3" t="s">
        <v>30</v>
      </c>
      <c r="D756" s="3" t="s">
        <v>89</v>
      </c>
      <c r="E756" s="3" t="s">
        <v>140</v>
      </c>
      <c r="F756" s="3" t="s">
        <v>18</v>
      </c>
      <c r="G756" s="3" t="s">
        <v>94</v>
      </c>
      <c r="H756" s="3" t="s">
        <v>95</v>
      </c>
      <c r="I756" s="5">
        <v>1062.8499999999999</v>
      </c>
      <c r="J756" s="4">
        <v>1</v>
      </c>
      <c r="K756" s="1">
        <v>25</v>
      </c>
      <c r="L756" s="4">
        <v>102.68</v>
      </c>
      <c r="M756" s="3" t="s">
        <v>28</v>
      </c>
      <c r="N756" s="3" t="s">
        <v>35</v>
      </c>
    </row>
    <row r="757" spans="1:14" x14ac:dyDescent="0.3">
      <c r="A757" s="3" t="s">
        <v>837</v>
      </c>
      <c r="B757" s="2">
        <v>45453</v>
      </c>
      <c r="C757" s="3" t="s">
        <v>30</v>
      </c>
      <c r="D757" s="3" t="s">
        <v>38</v>
      </c>
      <c r="E757" s="3" t="s">
        <v>71</v>
      </c>
      <c r="F757" s="3" t="s">
        <v>32</v>
      </c>
      <c r="G757" s="3" t="s">
        <v>47</v>
      </c>
      <c r="H757" s="3" t="s">
        <v>48</v>
      </c>
      <c r="I757" s="5">
        <v>6195.9</v>
      </c>
      <c r="J757" s="4">
        <v>6</v>
      </c>
      <c r="K757" s="1">
        <v>18</v>
      </c>
      <c r="L757" s="4">
        <v>852.86</v>
      </c>
      <c r="M757" s="3" t="s">
        <v>51</v>
      </c>
      <c r="N757" s="3" t="s">
        <v>35</v>
      </c>
    </row>
    <row r="758" spans="1:14" x14ac:dyDescent="0.3">
      <c r="A758" s="3" t="s">
        <v>838</v>
      </c>
      <c r="B758" s="2">
        <v>45550</v>
      </c>
      <c r="C758" s="3" t="s">
        <v>70</v>
      </c>
      <c r="D758" s="3" t="s">
        <v>16</v>
      </c>
      <c r="E758" s="3" t="s">
        <v>17</v>
      </c>
      <c r="F758" s="3" t="s">
        <v>32</v>
      </c>
      <c r="G758" s="3" t="s">
        <v>58</v>
      </c>
      <c r="H758" s="3" t="s">
        <v>59</v>
      </c>
      <c r="I758" s="5">
        <v>4253.5200000000004</v>
      </c>
      <c r="J758" s="4">
        <v>3</v>
      </c>
      <c r="K758" s="1">
        <v>27</v>
      </c>
      <c r="L758" s="4">
        <v>297.99</v>
      </c>
      <c r="M758" s="3" t="s">
        <v>28</v>
      </c>
      <c r="N758" s="3" t="s">
        <v>40</v>
      </c>
    </row>
    <row r="759" spans="1:14" x14ac:dyDescent="0.3">
      <c r="A759" s="3" t="s">
        <v>839</v>
      </c>
      <c r="B759" s="2">
        <v>45526</v>
      </c>
      <c r="C759" s="3" t="s">
        <v>133</v>
      </c>
      <c r="D759" s="3" t="s">
        <v>38</v>
      </c>
      <c r="E759" s="3" t="s">
        <v>43</v>
      </c>
      <c r="F759" s="3" t="s">
        <v>18</v>
      </c>
      <c r="G759" s="3" t="s">
        <v>26</v>
      </c>
      <c r="H759" s="3" t="s">
        <v>27</v>
      </c>
      <c r="I759" s="5">
        <v>6102.92</v>
      </c>
      <c r="J759" s="4">
        <v>4</v>
      </c>
      <c r="K759" s="1">
        <v>25</v>
      </c>
      <c r="L759" s="4">
        <v>553.41999999999996</v>
      </c>
      <c r="M759" s="3" t="s">
        <v>21</v>
      </c>
      <c r="N759" s="3" t="s">
        <v>22</v>
      </c>
    </row>
    <row r="760" spans="1:14" x14ac:dyDescent="0.3">
      <c r="A760" s="3" t="s">
        <v>840</v>
      </c>
      <c r="B760" s="2">
        <v>45773</v>
      </c>
      <c r="C760" s="3" t="s">
        <v>42</v>
      </c>
      <c r="D760" s="3" t="s">
        <v>16</v>
      </c>
      <c r="E760" s="3" t="s">
        <v>17</v>
      </c>
      <c r="F760" s="3" t="s">
        <v>18</v>
      </c>
      <c r="G760" s="3" t="s">
        <v>94</v>
      </c>
      <c r="H760" s="3" t="s">
        <v>95</v>
      </c>
      <c r="I760" s="5">
        <v>11149.98</v>
      </c>
      <c r="J760" s="4">
        <v>6</v>
      </c>
      <c r="K760" s="1">
        <v>28</v>
      </c>
      <c r="L760" s="4">
        <v>550.69000000000005</v>
      </c>
      <c r="M760" s="3" t="s">
        <v>28</v>
      </c>
      <c r="N760" s="3" t="s">
        <v>44</v>
      </c>
    </row>
    <row r="761" spans="1:14" x14ac:dyDescent="0.3">
      <c r="A761" s="3" t="s">
        <v>841</v>
      </c>
      <c r="B761" s="2">
        <v>45512</v>
      </c>
      <c r="C761" s="3" t="s">
        <v>75</v>
      </c>
      <c r="D761" s="3" t="s">
        <v>89</v>
      </c>
      <c r="E761" s="3" t="s">
        <v>90</v>
      </c>
      <c r="F761" s="3" t="s">
        <v>62</v>
      </c>
      <c r="G761" s="3" t="s">
        <v>80</v>
      </c>
      <c r="H761" s="3" t="s">
        <v>81</v>
      </c>
      <c r="I761" s="5">
        <v>18614.400000000001</v>
      </c>
      <c r="J761" s="4">
        <v>10</v>
      </c>
      <c r="K761" s="1">
        <v>21</v>
      </c>
      <c r="L761" s="4">
        <v>3359.62</v>
      </c>
      <c r="M761" s="3" t="s">
        <v>21</v>
      </c>
      <c r="N761" s="3" t="s">
        <v>35</v>
      </c>
    </row>
    <row r="762" spans="1:14" x14ac:dyDescent="0.3">
      <c r="A762" s="3" t="s">
        <v>842</v>
      </c>
      <c r="B762" s="2">
        <v>45624</v>
      </c>
      <c r="C762" s="3" t="s">
        <v>66</v>
      </c>
      <c r="D762" s="3" t="s">
        <v>56</v>
      </c>
      <c r="E762" s="3" t="s">
        <v>61</v>
      </c>
      <c r="F762" s="3" t="s">
        <v>32</v>
      </c>
      <c r="G762" s="3" t="s">
        <v>47</v>
      </c>
      <c r="H762" s="3" t="s">
        <v>48</v>
      </c>
      <c r="I762" s="5">
        <v>2791.88</v>
      </c>
      <c r="J762" s="4">
        <v>4</v>
      </c>
      <c r="K762" s="1">
        <v>5</v>
      </c>
      <c r="L762" s="4">
        <v>326.77</v>
      </c>
      <c r="M762" s="3" t="s">
        <v>51</v>
      </c>
      <c r="N762" s="3" t="s">
        <v>40</v>
      </c>
    </row>
    <row r="763" spans="1:14" x14ac:dyDescent="0.3">
      <c r="A763" s="3" t="s">
        <v>843</v>
      </c>
      <c r="B763" s="2">
        <v>45667</v>
      </c>
      <c r="C763" s="3" t="s">
        <v>37</v>
      </c>
      <c r="D763" s="3" t="s">
        <v>16</v>
      </c>
      <c r="E763" s="3" t="s">
        <v>17</v>
      </c>
      <c r="F763" s="3" t="s">
        <v>62</v>
      </c>
      <c r="G763" s="3" t="s">
        <v>103</v>
      </c>
      <c r="H763" s="3" t="s">
        <v>104</v>
      </c>
      <c r="I763" s="5">
        <v>4522.68</v>
      </c>
      <c r="J763" s="4">
        <v>6</v>
      </c>
      <c r="K763" s="1">
        <v>0</v>
      </c>
      <c r="L763" s="4">
        <v>294.75</v>
      </c>
      <c r="M763" s="3" t="s">
        <v>28</v>
      </c>
      <c r="N763" s="3" t="s">
        <v>22</v>
      </c>
    </row>
    <row r="764" spans="1:14" x14ac:dyDescent="0.3">
      <c r="A764" s="3" t="s">
        <v>844</v>
      </c>
      <c r="B764" s="2">
        <v>45626</v>
      </c>
      <c r="C764" s="3" t="s">
        <v>37</v>
      </c>
      <c r="D764" s="3" t="s">
        <v>89</v>
      </c>
      <c r="E764" s="3" t="s">
        <v>116</v>
      </c>
      <c r="F764" s="3" t="s">
        <v>62</v>
      </c>
      <c r="G764" s="3" t="s">
        <v>67</v>
      </c>
      <c r="H764" s="3" t="s">
        <v>68</v>
      </c>
      <c r="I764" s="5">
        <v>10717.36</v>
      </c>
      <c r="J764" s="4">
        <v>8</v>
      </c>
      <c r="K764" s="1">
        <v>27</v>
      </c>
      <c r="L764" s="4">
        <v>776.96</v>
      </c>
      <c r="M764" s="3" t="s">
        <v>51</v>
      </c>
      <c r="N764" s="3" t="s">
        <v>22</v>
      </c>
    </row>
    <row r="765" spans="1:14" x14ac:dyDescent="0.3">
      <c r="A765" s="3" t="s">
        <v>845</v>
      </c>
      <c r="B765" s="2">
        <v>45730</v>
      </c>
      <c r="C765" s="3" t="s">
        <v>75</v>
      </c>
      <c r="D765" s="3" t="s">
        <v>89</v>
      </c>
      <c r="E765" s="3" t="s">
        <v>97</v>
      </c>
      <c r="F765" s="3" t="s">
        <v>62</v>
      </c>
      <c r="G765" s="3" t="s">
        <v>103</v>
      </c>
      <c r="H765" s="3" t="s">
        <v>104</v>
      </c>
      <c r="I765" s="5">
        <v>2928.16</v>
      </c>
      <c r="J765" s="4">
        <v>2</v>
      </c>
      <c r="K765" s="1">
        <v>21</v>
      </c>
      <c r="L765" s="4">
        <v>262.06</v>
      </c>
      <c r="M765" s="3" t="s">
        <v>51</v>
      </c>
      <c r="N765" s="3" t="s">
        <v>22</v>
      </c>
    </row>
    <row r="766" spans="1:14" x14ac:dyDescent="0.3">
      <c r="A766" s="3" t="s">
        <v>846</v>
      </c>
      <c r="B766" s="2">
        <v>45481</v>
      </c>
      <c r="C766" s="3" t="s">
        <v>133</v>
      </c>
      <c r="D766" s="3" t="s">
        <v>16</v>
      </c>
      <c r="E766" s="3" t="s">
        <v>17</v>
      </c>
      <c r="F766" s="3" t="s">
        <v>32</v>
      </c>
      <c r="G766" s="3" t="s">
        <v>112</v>
      </c>
      <c r="H766" s="3" t="s">
        <v>113</v>
      </c>
      <c r="I766" s="5">
        <v>6467.55</v>
      </c>
      <c r="J766" s="4">
        <v>5</v>
      </c>
      <c r="K766" s="1">
        <v>3</v>
      </c>
      <c r="L766" s="4">
        <v>444.3</v>
      </c>
      <c r="M766" s="3" t="s">
        <v>51</v>
      </c>
      <c r="N766" s="3" t="s">
        <v>40</v>
      </c>
    </row>
    <row r="767" spans="1:14" x14ac:dyDescent="0.3">
      <c r="A767" s="3" t="s">
        <v>847</v>
      </c>
      <c r="B767" s="2">
        <v>45531</v>
      </c>
      <c r="C767" s="3" t="s">
        <v>66</v>
      </c>
      <c r="D767" s="3" t="s">
        <v>56</v>
      </c>
      <c r="E767" s="3" t="s">
        <v>61</v>
      </c>
      <c r="F767" s="3" t="s">
        <v>32</v>
      </c>
      <c r="G767" s="3" t="s">
        <v>47</v>
      </c>
      <c r="H767" s="3" t="s">
        <v>48</v>
      </c>
      <c r="I767" s="5">
        <v>2542.0500000000002</v>
      </c>
      <c r="J767" s="4">
        <v>3</v>
      </c>
      <c r="K767" s="1">
        <v>4</v>
      </c>
      <c r="L767" s="4">
        <v>346.02</v>
      </c>
      <c r="M767" s="3" t="s">
        <v>51</v>
      </c>
      <c r="N767" s="3" t="s">
        <v>35</v>
      </c>
    </row>
    <row r="768" spans="1:14" x14ac:dyDescent="0.3">
      <c r="A768" s="3" t="s">
        <v>848</v>
      </c>
      <c r="B768" s="2">
        <v>45654</v>
      </c>
      <c r="C768" s="3" t="s">
        <v>37</v>
      </c>
      <c r="D768" s="3" t="s">
        <v>38</v>
      </c>
      <c r="E768" s="3" t="s">
        <v>39</v>
      </c>
      <c r="F768" s="3" t="s">
        <v>18</v>
      </c>
      <c r="G768" s="3" t="s">
        <v>19</v>
      </c>
      <c r="H768" s="3" t="s">
        <v>20</v>
      </c>
      <c r="I768" s="5">
        <v>9668.5</v>
      </c>
      <c r="J768" s="4">
        <v>10</v>
      </c>
      <c r="K768" s="1">
        <v>5</v>
      </c>
      <c r="L768" s="4">
        <v>856.08</v>
      </c>
      <c r="M768" s="3" t="s">
        <v>28</v>
      </c>
      <c r="N768" s="3" t="s">
        <v>40</v>
      </c>
    </row>
    <row r="769" spans="1:14" x14ac:dyDescent="0.3">
      <c r="A769" s="3" t="s">
        <v>849</v>
      </c>
      <c r="B769" s="2">
        <v>45655</v>
      </c>
      <c r="C769" s="3" t="s">
        <v>30</v>
      </c>
      <c r="D769" s="3" t="s">
        <v>89</v>
      </c>
      <c r="E769" s="3" t="s">
        <v>102</v>
      </c>
      <c r="F769" s="3" t="s">
        <v>18</v>
      </c>
      <c r="G769" s="3" t="s">
        <v>26</v>
      </c>
      <c r="H769" s="3" t="s">
        <v>27</v>
      </c>
      <c r="I769" s="5">
        <v>16881.48</v>
      </c>
      <c r="J769" s="4">
        <v>9</v>
      </c>
      <c r="K769" s="1">
        <v>15</v>
      </c>
      <c r="L769" s="4">
        <v>2096.96</v>
      </c>
      <c r="M769" s="3" t="s">
        <v>21</v>
      </c>
      <c r="N769" s="3" t="s">
        <v>44</v>
      </c>
    </row>
    <row r="770" spans="1:14" x14ac:dyDescent="0.3">
      <c r="A770" s="3" t="s">
        <v>850</v>
      </c>
      <c r="B770" s="2">
        <v>45756</v>
      </c>
      <c r="C770" s="3" t="s">
        <v>73</v>
      </c>
      <c r="D770" s="3" t="s">
        <v>89</v>
      </c>
      <c r="E770" s="3" t="s">
        <v>116</v>
      </c>
      <c r="F770" s="3" t="s">
        <v>32</v>
      </c>
      <c r="G770" s="3" t="s">
        <v>47</v>
      </c>
      <c r="H770" s="3" t="s">
        <v>48</v>
      </c>
      <c r="I770" s="5">
        <v>5009.24</v>
      </c>
      <c r="J770" s="4">
        <v>4</v>
      </c>
      <c r="K770" s="1">
        <v>27</v>
      </c>
      <c r="L770" s="4">
        <v>780.02</v>
      </c>
      <c r="M770" s="3" t="s">
        <v>28</v>
      </c>
      <c r="N770" s="3" t="s">
        <v>35</v>
      </c>
    </row>
    <row r="771" spans="1:14" x14ac:dyDescent="0.3">
      <c r="A771" s="3" t="s">
        <v>851</v>
      </c>
      <c r="B771" s="2">
        <v>45761</v>
      </c>
      <c r="C771" s="3" t="s">
        <v>50</v>
      </c>
      <c r="D771" s="3" t="s">
        <v>38</v>
      </c>
      <c r="E771" s="3" t="s">
        <v>39</v>
      </c>
      <c r="F771" s="3" t="s">
        <v>32</v>
      </c>
      <c r="G771" s="3" t="s">
        <v>112</v>
      </c>
      <c r="H771" s="3" t="s">
        <v>113</v>
      </c>
      <c r="I771" s="5">
        <v>7640.78</v>
      </c>
      <c r="J771" s="4">
        <v>7</v>
      </c>
      <c r="K771" s="1">
        <v>29</v>
      </c>
      <c r="L771" s="4">
        <v>829.5</v>
      </c>
      <c r="M771" s="3" t="s">
        <v>21</v>
      </c>
      <c r="N771" s="3" t="s">
        <v>44</v>
      </c>
    </row>
    <row r="772" spans="1:14" x14ac:dyDescent="0.3">
      <c r="A772" s="3" t="s">
        <v>852</v>
      </c>
      <c r="B772" s="2">
        <v>45732</v>
      </c>
      <c r="C772" s="3" t="s">
        <v>24</v>
      </c>
      <c r="D772" s="3" t="s">
        <v>56</v>
      </c>
      <c r="E772" s="3" t="s">
        <v>108</v>
      </c>
      <c r="F772" s="3" t="s">
        <v>62</v>
      </c>
      <c r="G772" s="3" t="s">
        <v>63</v>
      </c>
      <c r="H772" s="3" t="s">
        <v>64</v>
      </c>
      <c r="I772" s="5">
        <v>11262.24</v>
      </c>
      <c r="J772" s="4">
        <v>8</v>
      </c>
      <c r="K772" s="1">
        <v>26</v>
      </c>
      <c r="L772" s="4">
        <v>733.61</v>
      </c>
      <c r="M772" s="3" t="s">
        <v>28</v>
      </c>
      <c r="N772" s="3" t="s">
        <v>44</v>
      </c>
    </row>
    <row r="773" spans="1:14" x14ac:dyDescent="0.3">
      <c r="A773" s="3" t="s">
        <v>853</v>
      </c>
      <c r="B773" s="2">
        <v>45714</v>
      </c>
      <c r="C773" s="3" t="s">
        <v>73</v>
      </c>
      <c r="D773" s="3" t="s">
        <v>89</v>
      </c>
      <c r="E773" s="3" t="s">
        <v>97</v>
      </c>
      <c r="F773" s="3" t="s">
        <v>18</v>
      </c>
      <c r="G773" s="3" t="s">
        <v>94</v>
      </c>
      <c r="H773" s="3" t="s">
        <v>95</v>
      </c>
      <c r="I773" s="5">
        <v>2918.64</v>
      </c>
      <c r="J773" s="4">
        <v>6</v>
      </c>
      <c r="K773" s="1">
        <v>27</v>
      </c>
      <c r="L773" s="4">
        <v>174.34</v>
      </c>
      <c r="M773" s="3" t="s">
        <v>21</v>
      </c>
      <c r="N773" s="3" t="s">
        <v>40</v>
      </c>
    </row>
    <row r="774" spans="1:14" x14ac:dyDescent="0.3">
      <c r="A774" s="3" t="s">
        <v>854</v>
      </c>
      <c r="B774" s="2">
        <v>45556</v>
      </c>
      <c r="C774" s="3" t="s">
        <v>15</v>
      </c>
      <c r="D774" s="3" t="s">
        <v>89</v>
      </c>
      <c r="E774" s="3" t="s">
        <v>116</v>
      </c>
      <c r="F774" s="3" t="s">
        <v>18</v>
      </c>
      <c r="G774" s="3" t="s">
        <v>94</v>
      </c>
      <c r="H774" s="3" t="s">
        <v>95</v>
      </c>
      <c r="I774" s="5">
        <v>976.08</v>
      </c>
      <c r="J774" s="4">
        <v>6</v>
      </c>
      <c r="K774" s="1">
        <v>12</v>
      </c>
      <c r="L774" s="4">
        <v>44.68</v>
      </c>
      <c r="M774" s="3" t="s">
        <v>28</v>
      </c>
      <c r="N774" s="3" t="s">
        <v>35</v>
      </c>
    </row>
    <row r="775" spans="1:14" x14ac:dyDescent="0.3">
      <c r="A775" s="3" t="s">
        <v>855</v>
      </c>
      <c r="B775" s="2">
        <v>45772</v>
      </c>
      <c r="C775" s="3" t="s">
        <v>101</v>
      </c>
      <c r="D775" s="3" t="s">
        <v>56</v>
      </c>
      <c r="E775" s="3" t="s">
        <v>61</v>
      </c>
      <c r="F775" s="3" t="s">
        <v>62</v>
      </c>
      <c r="G775" s="3" t="s">
        <v>63</v>
      </c>
      <c r="H775" s="3" t="s">
        <v>64</v>
      </c>
      <c r="I775" s="5">
        <v>2285.88</v>
      </c>
      <c r="J775" s="4">
        <v>4</v>
      </c>
      <c r="K775" s="1">
        <v>5</v>
      </c>
      <c r="L775" s="4">
        <v>425.77</v>
      </c>
      <c r="M775" s="3" t="s">
        <v>51</v>
      </c>
      <c r="N775" s="3" t="s">
        <v>35</v>
      </c>
    </row>
    <row r="776" spans="1:14" x14ac:dyDescent="0.3">
      <c r="A776" s="3" t="s">
        <v>856</v>
      </c>
      <c r="B776" s="2">
        <v>45448</v>
      </c>
      <c r="C776" s="3" t="s">
        <v>15</v>
      </c>
      <c r="D776" s="3" t="s">
        <v>38</v>
      </c>
      <c r="E776" s="3" t="s">
        <v>71</v>
      </c>
      <c r="F776" s="3" t="s">
        <v>62</v>
      </c>
      <c r="G776" s="3" t="s">
        <v>103</v>
      </c>
      <c r="H776" s="3" t="s">
        <v>104</v>
      </c>
      <c r="I776" s="5">
        <v>2272.27</v>
      </c>
      <c r="J776" s="4">
        <v>7</v>
      </c>
      <c r="K776" s="1">
        <v>3</v>
      </c>
      <c r="L776" s="4">
        <v>347.48</v>
      </c>
      <c r="M776" s="3" t="s">
        <v>21</v>
      </c>
      <c r="N776" s="3" t="s">
        <v>35</v>
      </c>
    </row>
    <row r="777" spans="1:14" x14ac:dyDescent="0.3">
      <c r="A777" s="3" t="s">
        <v>857</v>
      </c>
      <c r="B777" s="2">
        <v>45476</v>
      </c>
      <c r="C777" s="3" t="s">
        <v>15</v>
      </c>
      <c r="D777" s="3" t="s">
        <v>16</v>
      </c>
      <c r="E777" s="3" t="s">
        <v>25</v>
      </c>
      <c r="F777" s="3" t="s">
        <v>32</v>
      </c>
      <c r="G777" s="3" t="s">
        <v>58</v>
      </c>
      <c r="H777" s="3" t="s">
        <v>59</v>
      </c>
      <c r="I777" s="5">
        <v>5561.43</v>
      </c>
      <c r="J777" s="4">
        <v>3</v>
      </c>
      <c r="K777" s="1">
        <v>27</v>
      </c>
      <c r="L777" s="4">
        <v>570.20000000000005</v>
      </c>
      <c r="M777" s="3" t="s">
        <v>28</v>
      </c>
      <c r="N777" s="3" t="s">
        <v>22</v>
      </c>
    </row>
    <row r="778" spans="1:14" x14ac:dyDescent="0.3">
      <c r="A778" s="3" t="s">
        <v>858</v>
      </c>
      <c r="B778" s="2">
        <v>45517</v>
      </c>
      <c r="C778" s="3" t="s">
        <v>42</v>
      </c>
      <c r="D778" s="3" t="s">
        <v>16</v>
      </c>
      <c r="E778" s="3" t="s">
        <v>17</v>
      </c>
      <c r="F778" s="3" t="s">
        <v>32</v>
      </c>
      <c r="G778" s="3" t="s">
        <v>47</v>
      </c>
      <c r="H778" s="3" t="s">
        <v>48</v>
      </c>
      <c r="I778" s="5">
        <v>2975.28</v>
      </c>
      <c r="J778" s="4">
        <v>2</v>
      </c>
      <c r="K778" s="1">
        <v>13</v>
      </c>
      <c r="L778" s="4">
        <v>570.04999999999995</v>
      </c>
      <c r="M778" s="3" t="s">
        <v>51</v>
      </c>
      <c r="N778" s="3" t="s">
        <v>22</v>
      </c>
    </row>
    <row r="779" spans="1:14" x14ac:dyDescent="0.3">
      <c r="A779" s="3" t="s">
        <v>859</v>
      </c>
      <c r="B779" s="2">
        <v>45626</v>
      </c>
      <c r="C779" s="3" t="s">
        <v>24</v>
      </c>
      <c r="D779" s="3" t="s">
        <v>38</v>
      </c>
      <c r="E779" s="3" t="s">
        <v>71</v>
      </c>
      <c r="F779" s="3" t="s">
        <v>62</v>
      </c>
      <c r="G779" s="3" t="s">
        <v>63</v>
      </c>
      <c r="H779" s="3" t="s">
        <v>64</v>
      </c>
      <c r="I779" s="5">
        <v>11932.83</v>
      </c>
      <c r="J779" s="4">
        <v>7</v>
      </c>
      <c r="K779" s="1">
        <v>5</v>
      </c>
      <c r="L779" s="4">
        <v>1583.17</v>
      </c>
      <c r="M779" s="3" t="s">
        <v>28</v>
      </c>
      <c r="N779" s="3" t="s">
        <v>22</v>
      </c>
    </row>
    <row r="780" spans="1:14" x14ac:dyDescent="0.3">
      <c r="A780" s="3" t="s">
        <v>860</v>
      </c>
      <c r="B780" s="2">
        <v>45609</v>
      </c>
      <c r="C780" s="3" t="s">
        <v>84</v>
      </c>
      <c r="D780" s="3" t="s">
        <v>16</v>
      </c>
      <c r="E780" s="3" t="s">
        <v>31</v>
      </c>
      <c r="F780" s="3" t="s">
        <v>18</v>
      </c>
      <c r="G780" s="3" t="s">
        <v>76</v>
      </c>
      <c r="H780" s="3" t="s">
        <v>77</v>
      </c>
      <c r="I780" s="5">
        <v>10058.719999999999</v>
      </c>
      <c r="J780" s="4">
        <v>7</v>
      </c>
      <c r="K780" s="1">
        <v>3</v>
      </c>
      <c r="L780" s="4">
        <v>749.4</v>
      </c>
      <c r="M780" s="3" t="s">
        <v>28</v>
      </c>
      <c r="N780" s="3" t="s">
        <v>40</v>
      </c>
    </row>
    <row r="781" spans="1:14" x14ac:dyDescent="0.3">
      <c r="A781" s="3" t="s">
        <v>861</v>
      </c>
      <c r="B781" s="2">
        <v>45658</v>
      </c>
      <c r="C781" s="3" t="s">
        <v>15</v>
      </c>
      <c r="D781" s="3" t="s">
        <v>56</v>
      </c>
      <c r="E781" s="3" t="s">
        <v>61</v>
      </c>
      <c r="F781" s="3" t="s">
        <v>32</v>
      </c>
      <c r="G781" s="3" t="s">
        <v>47</v>
      </c>
      <c r="H781" s="3" t="s">
        <v>48</v>
      </c>
      <c r="I781" s="5">
        <v>1005.37</v>
      </c>
      <c r="J781" s="4">
        <v>1</v>
      </c>
      <c r="K781" s="1">
        <v>25</v>
      </c>
      <c r="L781" s="4">
        <v>104.35</v>
      </c>
      <c r="M781" s="3" t="s">
        <v>51</v>
      </c>
      <c r="N781" s="3" t="s">
        <v>35</v>
      </c>
    </row>
    <row r="782" spans="1:14" x14ac:dyDescent="0.3">
      <c r="A782" s="3" t="s">
        <v>862</v>
      </c>
      <c r="B782" s="2">
        <v>45510</v>
      </c>
      <c r="C782" s="3" t="s">
        <v>37</v>
      </c>
      <c r="D782" s="3" t="s">
        <v>56</v>
      </c>
      <c r="E782" s="3" t="s">
        <v>108</v>
      </c>
      <c r="F782" s="3" t="s">
        <v>62</v>
      </c>
      <c r="G782" s="3" t="s">
        <v>103</v>
      </c>
      <c r="H782" s="3" t="s">
        <v>104</v>
      </c>
      <c r="I782" s="5">
        <v>1281.24</v>
      </c>
      <c r="J782" s="4">
        <v>4</v>
      </c>
      <c r="K782" s="1">
        <v>5</v>
      </c>
      <c r="L782" s="4">
        <v>117.17</v>
      </c>
      <c r="M782" s="3" t="s">
        <v>51</v>
      </c>
      <c r="N782" s="3" t="s">
        <v>44</v>
      </c>
    </row>
    <row r="783" spans="1:14" x14ac:dyDescent="0.3">
      <c r="A783" s="3" t="s">
        <v>863</v>
      </c>
      <c r="B783" s="2">
        <v>45544</v>
      </c>
      <c r="C783" s="3" t="s">
        <v>75</v>
      </c>
      <c r="D783" s="3" t="s">
        <v>16</v>
      </c>
      <c r="E783" s="3" t="s">
        <v>25</v>
      </c>
      <c r="F783" s="3" t="s">
        <v>32</v>
      </c>
      <c r="G783" s="3" t="s">
        <v>112</v>
      </c>
      <c r="H783" s="3" t="s">
        <v>113</v>
      </c>
      <c r="I783" s="5">
        <v>8910.75</v>
      </c>
      <c r="J783" s="4">
        <v>5</v>
      </c>
      <c r="K783" s="1">
        <v>29</v>
      </c>
      <c r="L783" s="4">
        <v>835.33</v>
      </c>
      <c r="M783" s="3" t="s">
        <v>28</v>
      </c>
      <c r="N783" s="3" t="s">
        <v>40</v>
      </c>
    </row>
    <row r="784" spans="1:14" x14ac:dyDescent="0.3">
      <c r="A784" s="3" t="s">
        <v>864</v>
      </c>
      <c r="B784" s="2">
        <v>45609</v>
      </c>
      <c r="C784" s="3" t="s">
        <v>133</v>
      </c>
      <c r="D784" s="3" t="s">
        <v>38</v>
      </c>
      <c r="E784" s="3" t="s">
        <v>71</v>
      </c>
      <c r="F784" s="3" t="s">
        <v>62</v>
      </c>
      <c r="G784" s="3" t="s">
        <v>80</v>
      </c>
      <c r="H784" s="3" t="s">
        <v>81</v>
      </c>
      <c r="I784" s="5">
        <v>9302.2999999999993</v>
      </c>
      <c r="J784" s="4">
        <v>10</v>
      </c>
      <c r="K784" s="1">
        <v>1</v>
      </c>
      <c r="L784" s="4">
        <v>1993.84</v>
      </c>
      <c r="M784" s="3" t="s">
        <v>51</v>
      </c>
      <c r="N784" s="3" t="s">
        <v>40</v>
      </c>
    </row>
    <row r="785" spans="1:14" x14ac:dyDescent="0.3">
      <c r="A785" s="3" t="s">
        <v>865</v>
      </c>
      <c r="B785" s="2">
        <v>45683</v>
      </c>
      <c r="C785" s="3" t="s">
        <v>99</v>
      </c>
      <c r="D785" s="3" t="s">
        <v>16</v>
      </c>
      <c r="E785" s="3" t="s">
        <v>31</v>
      </c>
      <c r="F785" s="3" t="s">
        <v>18</v>
      </c>
      <c r="G785" s="3" t="s">
        <v>76</v>
      </c>
      <c r="H785" s="3" t="s">
        <v>77</v>
      </c>
      <c r="I785" s="5">
        <v>5747.82</v>
      </c>
      <c r="J785" s="4">
        <v>6</v>
      </c>
      <c r="K785" s="1">
        <v>27</v>
      </c>
      <c r="L785" s="4">
        <v>556.46</v>
      </c>
      <c r="M785" s="3" t="s">
        <v>21</v>
      </c>
      <c r="N785" s="3" t="s">
        <v>40</v>
      </c>
    </row>
    <row r="786" spans="1:14" x14ac:dyDescent="0.3">
      <c r="A786" s="3" t="s">
        <v>866</v>
      </c>
      <c r="B786" s="2">
        <v>45624</v>
      </c>
      <c r="C786" s="3" t="s">
        <v>42</v>
      </c>
      <c r="D786" s="3" t="s">
        <v>56</v>
      </c>
      <c r="E786" s="3" t="s">
        <v>108</v>
      </c>
      <c r="F786" s="3" t="s">
        <v>32</v>
      </c>
      <c r="G786" s="3" t="s">
        <v>33</v>
      </c>
      <c r="H786" s="3" t="s">
        <v>34</v>
      </c>
      <c r="I786" s="5">
        <v>1848.78</v>
      </c>
      <c r="J786" s="4">
        <v>6</v>
      </c>
      <c r="K786" s="1">
        <v>0</v>
      </c>
      <c r="L786" s="4">
        <v>237.59</v>
      </c>
      <c r="M786" s="3" t="s">
        <v>28</v>
      </c>
      <c r="N786" s="3" t="s">
        <v>40</v>
      </c>
    </row>
    <row r="787" spans="1:14" x14ac:dyDescent="0.3">
      <c r="A787" s="3" t="s">
        <v>867</v>
      </c>
      <c r="B787" s="2">
        <v>45756</v>
      </c>
      <c r="C787" s="3" t="s">
        <v>66</v>
      </c>
      <c r="D787" s="3" t="s">
        <v>56</v>
      </c>
      <c r="E787" s="3" t="s">
        <v>108</v>
      </c>
      <c r="F787" s="3" t="s">
        <v>62</v>
      </c>
      <c r="G787" s="3" t="s">
        <v>67</v>
      </c>
      <c r="H787" s="3" t="s">
        <v>68</v>
      </c>
      <c r="I787" s="5">
        <v>1089.54</v>
      </c>
      <c r="J787" s="4">
        <v>3</v>
      </c>
      <c r="K787" s="1">
        <v>4</v>
      </c>
      <c r="L787" s="4">
        <v>93.64</v>
      </c>
      <c r="M787" s="3" t="s">
        <v>21</v>
      </c>
      <c r="N787" s="3" t="s">
        <v>35</v>
      </c>
    </row>
    <row r="788" spans="1:14" x14ac:dyDescent="0.3">
      <c r="A788" s="3" t="s">
        <v>868</v>
      </c>
      <c r="B788" s="2">
        <v>45587</v>
      </c>
      <c r="C788" s="3" t="s">
        <v>15</v>
      </c>
      <c r="D788" s="3" t="s">
        <v>56</v>
      </c>
      <c r="E788" s="3" t="s">
        <v>61</v>
      </c>
      <c r="F788" s="3" t="s">
        <v>62</v>
      </c>
      <c r="G788" s="3" t="s">
        <v>80</v>
      </c>
      <c r="H788" s="3" t="s">
        <v>81</v>
      </c>
      <c r="I788" s="5">
        <v>6915.87</v>
      </c>
      <c r="J788" s="4">
        <v>9</v>
      </c>
      <c r="K788" s="1">
        <v>5</v>
      </c>
      <c r="L788" s="4">
        <v>563.84</v>
      </c>
      <c r="M788" s="3" t="s">
        <v>21</v>
      </c>
      <c r="N788" s="3" t="s">
        <v>22</v>
      </c>
    </row>
    <row r="789" spans="1:14" x14ac:dyDescent="0.3">
      <c r="A789" s="3" t="s">
        <v>869</v>
      </c>
      <c r="B789" s="2">
        <v>45556</v>
      </c>
      <c r="C789" s="3" t="s">
        <v>101</v>
      </c>
      <c r="D789" s="3" t="s">
        <v>16</v>
      </c>
      <c r="E789" s="3" t="s">
        <v>25</v>
      </c>
      <c r="F789" s="3" t="s">
        <v>62</v>
      </c>
      <c r="G789" s="3" t="s">
        <v>80</v>
      </c>
      <c r="H789" s="3" t="s">
        <v>81</v>
      </c>
      <c r="I789" s="5">
        <v>8697.36</v>
      </c>
      <c r="J789" s="4">
        <v>6</v>
      </c>
      <c r="K789" s="1">
        <v>17</v>
      </c>
      <c r="L789" s="4">
        <v>1283.9000000000001</v>
      </c>
      <c r="M789" s="3" t="s">
        <v>51</v>
      </c>
      <c r="N789" s="3" t="s">
        <v>22</v>
      </c>
    </row>
    <row r="790" spans="1:14" x14ac:dyDescent="0.3">
      <c r="A790" s="3" t="s">
        <v>870</v>
      </c>
      <c r="B790" s="2">
        <v>45470</v>
      </c>
      <c r="C790" s="3" t="s">
        <v>66</v>
      </c>
      <c r="D790" s="3" t="s">
        <v>89</v>
      </c>
      <c r="E790" s="3" t="s">
        <v>102</v>
      </c>
      <c r="F790" s="3" t="s">
        <v>32</v>
      </c>
      <c r="G790" s="3" t="s">
        <v>58</v>
      </c>
      <c r="H790" s="3" t="s">
        <v>59</v>
      </c>
      <c r="I790" s="5">
        <v>1718.18</v>
      </c>
      <c r="J790" s="4">
        <v>2</v>
      </c>
      <c r="K790" s="1">
        <v>25</v>
      </c>
      <c r="L790" s="4">
        <v>306.25</v>
      </c>
      <c r="M790" s="3" t="s">
        <v>51</v>
      </c>
      <c r="N790" s="3" t="s">
        <v>40</v>
      </c>
    </row>
    <row r="791" spans="1:14" x14ac:dyDescent="0.3">
      <c r="A791" s="3" t="s">
        <v>871</v>
      </c>
      <c r="B791" s="2">
        <v>45599</v>
      </c>
      <c r="C791" s="3" t="s">
        <v>73</v>
      </c>
      <c r="D791" s="3" t="s">
        <v>16</v>
      </c>
      <c r="E791" s="3" t="s">
        <v>31</v>
      </c>
      <c r="F791" s="3" t="s">
        <v>62</v>
      </c>
      <c r="G791" s="3" t="s">
        <v>103</v>
      </c>
      <c r="H791" s="3" t="s">
        <v>104</v>
      </c>
      <c r="I791" s="5">
        <v>16347.8</v>
      </c>
      <c r="J791" s="4">
        <v>10</v>
      </c>
      <c r="K791" s="1">
        <v>10</v>
      </c>
      <c r="L791" s="4">
        <v>1663.24</v>
      </c>
      <c r="M791" s="3" t="s">
        <v>21</v>
      </c>
      <c r="N791" s="3" t="s">
        <v>35</v>
      </c>
    </row>
    <row r="792" spans="1:14" x14ac:dyDescent="0.3">
      <c r="A792" s="3" t="s">
        <v>872</v>
      </c>
      <c r="B792" s="2">
        <v>45522</v>
      </c>
      <c r="C792" s="3" t="s">
        <v>30</v>
      </c>
      <c r="D792" s="3" t="s">
        <v>16</v>
      </c>
      <c r="E792" s="3" t="s">
        <v>31</v>
      </c>
      <c r="F792" s="3" t="s">
        <v>32</v>
      </c>
      <c r="G792" s="3" t="s">
        <v>33</v>
      </c>
      <c r="H792" s="3" t="s">
        <v>34</v>
      </c>
      <c r="I792" s="5">
        <v>7855.68</v>
      </c>
      <c r="J792" s="4">
        <v>4</v>
      </c>
      <c r="K792" s="1">
        <v>26</v>
      </c>
      <c r="L792" s="4">
        <v>554.11</v>
      </c>
      <c r="M792" s="3" t="s">
        <v>21</v>
      </c>
      <c r="N792" s="3" t="s">
        <v>35</v>
      </c>
    </row>
    <row r="793" spans="1:14" x14ac:dyDescent="0.3">
      <c r="A793" s="3" t="s">
        <v>873</v>
      </c>
      <c r="B793" s="2">
        <v>45747</v>
      </c>
      <c r="C793" s="3" t="s">
        <v>73</v>
      </c>
      <c r="D793" s="3" t="s">
        <v>89</v>
      </c>
      <c r="E793" s="3" t="s">
        <v>140</v>
      </c>
      <c r="F793" s="3" t="s">
        <v>32</v>
      </c>
      <c r="G793" s="3" t="s">
        <v>58</v>
      </c>
      <c r="H793" s="3" t="s">
        <v>59</v>
      </c>
      <c r="I793" s="5">
        <v>5458.65</v>
      </c>
      <c r="J793" s="4">
        <v>3</v>
      </c>
      <c r="K793" s="1">
        <v>26</v>
      </c>
      <c r="L793" s="4">
        <v>736.14</v>
      </c>
      <c r="M793" s="3" t="s">
        <v>21</v>
      </c>
      <c r="N793" s="3" t="s">
        <v>22</v>
      </c>
    </row>
    <row r="794" spans="1:14" x14ac:dyDescent="0.3">
      <c r="A794" s="3" t="s">
        <v>874</v>
      </c>
      <c r="B794" s="2">
        <v>45527</v>
      </c>
      <c r="C794" s="3" t="s">
        <v>86</v>
      </c>
      <c r="D794" s="3" t="s">
        <v>56</v>
      </c>
      <c r="E794" s="3" t="s">
        <v>61</v>
      </c>
      <c r="F794" s="3" t="s">
        <v>62</v>
      </c>
      <c r="G794" s="3" t="s">
        <v>103</v>
      </c>
      <c r="H794" s="3" t="s">
        <v>104</v>
      </c>
      <c r="I794" s="5">
        <v>820.72</v>
      </c>
      <c r="J794" s="4">
        <v>4</v>
      </c>
      <c r="K794" s="1">
        <v>9</v>
      </c>
      <c r="L794" s="4">
        <v>180.26</v>
      </c>
      <c r="M794" s="3" t="s">
        <v>51</v>
      </c>
      <c r="N794" s="3" t="s">
        <v>44</v>
      </c>
    </row>
    <row r="795" spans="1:14" x14ac:dyDescent="0.3">
      <c r="A795" s="3" t="s">
        <v>875</v>
      </c>
      <c r="B795" s="2">
        <v>45772</v>
      </c>
      <c r="C795" s="3" t="s">
        <v>50</v>
      </c>
      <c r="D795" s="3" t="s">
        <v>56</v>
      </c>
      <c r="E795" s="3" t="s">
        <v>61</v>
      </c>
      <c r="F795" s="3" t="s">
        <v>62</v>
      </c>
      <c r="G795" s="3" t="s">
        <v>63</v>
      </c>
      <c r="H795" s="3" t="s">
        <v>64</v>
      </c>
      <c r="I795" s="5">
        <v>4884.16</v>
      </c>
      <c r="J795" s="4">
        <v>4</v>
      </c>
      <c r="K795" s="1">
        <v>10</v>
      </c>
      <c r="L795" s="4">
        <v>386.71</v>
      </c>
      <c r="M795" s="3" t="s">
        <v>28</v>
      </c>
      <c r="N795" s="3" t="s">
        <v>22</v>
      </c>
    </row>
    <row r="796" spans="1:14" x14ac:dyDescent="0.3">
      <c r="A796" s="3" t="s">
        <v>876</v>
      </c>
      <c r="B796" s="2">
        <v>45506</v>
      </c>
      <c r="C796" s="3" t="s">
        <v>15</v>
      </c>
      <c r="D796" s="3" t="s">
        <v>56</v>
      </c>
      <c r="E796" s="3" t="s">
        <v>61</v>
      </c>
      <c r="F796" s="3" t="s">
        <v>18</v>
      </c>
      <c r="G796" s="3" t="s">
        <v>76</v>
      </c>
      <c r="H796" s="3" t="s">
        <v>77</v>
      </c>
      <c r="I796" s="5">
        <v>2843.84</v>
      </c>
      <c r="J796" s="4">
        <v>4</v>
      </c>
      <c r="K796" s="1">
        <v>9</v>
      </c>
      <c r="L796" s="4">
        <v>336.82</v>
      </c>
      <c r="M796" s="3" t="s">
        <v>51</v>
      </c>
      <c r="N796" s="3" t="s">
        <v>44</v>
      </c>
    </row>
    <row r="797" spans="1:14" x14ac:dyDescent="0.3">
      <c r="A797" s="3" t="s">
        <v>877</v>
      </c>
      <c r="B797" s="2">
        <v>45548</v>
      </c>
      <c r="C797" s="3" t="s">
        <v>66</v>
      </c>
      <c r="D797" s="3" t="s">
        <v>16</v>
      </c>
      <c r="E797" s="3" t="s">
        <v>31</v>
      </c>
      <c r="F797" s="3" t="s">
        <v>62</v>
      </c>
      <c r="G797" s="3" t="s">
        <v>67</v>
      </c>
      <c r="H797" s="3" t="s">
        <v>68</v>
      </c>
      <c r="I797" s="5">
        <v>2487.7800000000002</v>
      </c>
      <c r="J797" s="4">
        <v>6</v>
      </c>
      <c r="K797" s="1">
        <v>15</v>
      </c>
      <c r="L797" s="4">
        <v>374.55</v>
      </c>
      <c r="M797" s="3" t="s">
        <v>21</v>
      </c>
      <c r="N797" s="3" t="s">
        <v>35</v>
      </c>
    </row>
    <row r="798" spans="1:14" x14ac:dyDescent="0.3">
      <c r="A798" s="3" t="s">
        <v>878</v>
      </c>
      <c r="B798" s="2">
        <v>45470</v>
      </c>
      <c r="C798" s="3" t="s">
        <v>86</v>
      </c>
      <c r="D798" s="3" t="s">
        <v>38</v>
      </c>
      <c r="E798" s="3" t="s">
        <v>53</v>
      </c>
      <c r="F798" s="3" t="s">
        <v>62</v>
      </c>
      <c r="G798" s="3" t="s">
        <v>103</v>
      </c>
      <c r="H798" s="3" t="s">
        <v>104</v>
      </c>
      <c r="I798" s="5">
        <v>8350.2999999999993</v>
      </c>
      <c r="J798" s="4">
        <v>5</v>
      </c>
      <c r="K798" s="1">
        <v>0</v>
      </c>
      <c r="L798" s="4">
        <v>869.55</v>
      </c>
      <c r="M798" s="3" t="s">
        <v>28</v>
      </c>
      <c r="N798" s="3" t="s">
        <v>40</v>
      </c>
    </row>
    <row r="799" spans="1:14" x14ac:dyDescent="0.3">
      <c r="A799" s="3" t="s">
        <v>879</v>
      </c>
      <c r="B799" s="2">
        <v>45649</v>
      </c>
      <c r="C799" s="3" t="s">
        <v>50</v>
      </c>
      <c r="D799" s="3" t="s">
        <v>16</v>
      </c>
      <c r="E799" s="3" t="s">
        <v>31</v>
      </c>
      <c r="F799" s="3" t="s">
        <v>62</v>
      </c>
      <c r="G799" s="3" t="s">
        <v>63</v>
      </c>
      <c r="H799" s="3" t="s">
        <v>64</v>
      </c>
      <c r="I799" s="5">
        <v>15735.33</v>
      </c>
      <c r="J799" s="4">
        <v>9</v>
      </c>
      <c r="K799" s="1">
        <v>7.0000000000000009</v>
      </c>
      <c r="L799" s="4">
        <v>2157.83</v>
      </c>
      <c r="M799" s="3" t="s">
        <v>51</v>
      </c>
      <c r="N799" s="3" t="s">
        <v>40</v>
      </c>
    </row>
    <row r="800" spans="1:14" x14ac:dyDescent="0.3">
      <c r="A800" s="3" t="s">
        <v>880</v>
      </c>
      <c r="B800" s="2">
        <v>45498</v>
      </c>
      <c r="C800" s="3" t="s">
        <v>42</v>
      </c>
      <c r="D800" s="3" t="s">
        <v>89</v>
      </c>
      <c r="E800" s="3" t="s">
        <v>102</v>
      </c>
      <c r="F800" s="3" t="s">
        <v>62</v>
      </c>
      <c r="G800" s="3" t="s">
        <v>67</v>
      </c>
      <c r="H800" s="3" t="s">
        <v>68</v>
      </c>
      <c r="I800" s="5">
        <v>2906.24</v>
      </c>
      <c r="J800" s="4">
        <v>2</v>
      </c>
      <c r="K800" s="1">
        <v>23</v>
      </c>
      <c r="L800" s="4">
        <v>327.16000000000003</v>
      </c>
      <c r="M800" s="3" t="s">
        <v>28</v>
      </c>
      <c r="N800" s="3" t="s">
        <v>44</v>
      </c>
    </row>
    <row r="801" spans="1:14" x14ac:dyDescent="0.3">
      <c r="A801" s="3" t="s">
        <v>881</v>
      </c>
      <c r="B801" s="2">
        <v>45590</v>
      </c>
      <c r="C801" s="3" t="s">
        <v>37</v>
      </c>
      <c r="D801" s="3" t="s">
        <v>56</v>
      </c>
      <c r="E801" s="3" t="s">
        <v>57</v>
      </c>
      <c r="F801" s="3" t="s">
        <v>62</v>
      </c>
      <c r="G801" s="3" t="s">
        <v>103</v>
      </c>
      <c r="H801" s="3" t="s">
        <v>104</v>
      </c>
      <c r="I801" s="5">
        <v>2712.18</v>
      </c>
      <c r="J801" s="4">
        <v>2</v>
      </c>
      <c r="K801" s="1">
        <v>20</v>
      </c>
      <c r="L801" s="4">
        <v>399</v>
      </c>
      <c r="M801" s="3" t="s">
        <v>28</v>
      </c>
      <c r="N801" s="3" t="s">
        <v>35</v>
      </c>
    </row>
    <row r="802" spans="1:14" x14ac:dyDescent="0.3">
      <c r="A802" s="3" t="s">
        <v>882</v>
      </c>
      <c r="B802" s="2">
        <v>45587</v>
      </c>
      <c r="C802" s="3" t="s">
        <v>99</v>
      </c>
      <c r="D802" s="3" t="s">
        <v>89</v>
      </c>
      <c r="E802" s="3" t="s">
        <v>97</v>
      </c>
      <c r="F802" s="3" t="s">
        <v>62</v>
      </c>
      <c r="G802" s="3" t="s">
        <v>63</v>
      </c>
      <c r="H802" s="3" t="s">
        <v>64</v>
      </c>
      <c r="I802" s="5">
        <v>4983.6000000000004</v>
      </c>
      <c r="J802" s="4">
        <v>6</v>
      </c>
      <c r="K802" s="1">
        <v>20</v>
      </c>
      <c r="L802" s="4">
        <v>908.04</v>
      </c>
      <c r="M802" s="3" t="s">
        <v>51</v>
      </c>
      <c r="N802" s="3" t="s">
        <v>44</v>
      </c>
    </row>
    <row r="803" spans="1:14" x14ac:dyDescent="0.3">
      <c r="A803" s="3" t="s">
        <v>883</v>
      </c>
      <c r="B803" s="2">
        <v>45731</v>
      </c>
      <c r="C803" s="3" t="s">
        <v>133</v>
      </c>
      <c r="D803" s="3" t="s">
        <v>56</v>
      </c>
      <c r="E803" s="3" t="s">
        <v>61</v>
      </c>
      <c r="F803" s="3" t="s">
        <v>18</v>
      </c>
      <c r="G803" s="3" t="s">
        <v>94</v>
      </c>
      <c r="H803" s="3" t="s">
        <v>95</v>
      </c>
      <c r="I803" s="5">
        <v>1311.39</v>
      </c>
      <c r="J803" s="4">
        <v>3</v>
      </c>
      <c r="K803" s="1">
        <v>20</v>
      </c>
      <c r="L803" s="4">
        <v>95.24</v>
      </c>
      <c r="M803" s="3" t="s">
        <v>51</v>
      </c>
      <c r="N803" s="3" t="s">
        <v>40</v>
      </c>
    </row>
    <row r="804" spans="1:14" x14ac:dyDescent="0.3">
      <c r="A804" s="3" t="s">
        <v>884</v>
      </c>
      <c r="B804" s="2">
        <v>45595</v>
      </c>
      <c r="C804" s="3" t="s">
        <v>37</v>
      </c>
      <c r="D804" s="3" t="s">
        <v>56</v>
      </c>
      <c r="E804" s="3" t="s">
        <v>108</v>
      </c>
      <c r="F804" s="3" t="s">
        <v>62</v>
      </c>
      <c r="G804" s="3" t="s">
        <v>80</v>
      </c>
      <c r="H804" s="3" t="s">
        <v>81</v>
      </c>
      <c r="I804" s="5">
        <v>763.32</v>
      </c>
      <c r="J804" s="4">
        <v>4</v>
      </c>
      <c r="K804" s="1">
        <v>17</v>
      </c>
      <c r="L804" s="4">
        <v>68.72</v>
      </c>
      <c r="M804" s="3" t="s">
        <v>21</v>
      </c>
      <c r="N804" s="3" t="s">
        <v>40</v>
      </c>
    </row>
    <row r="805" spans="1:14" x14ac:dyDescent="0.3">
      <c r="A805" s="3" t="s">
        <v>885</v>
      </c>
      <c r="B805" s="2">
        <v>45604</v>
      </c>
      <c r="C805" s="3" t="s">
        <v>75</v>
      </c>
      <c r="D805" s="3" t="s">
        <v>56</v>
      </c>
      <c r="E805" s="3" t="s">
        <v>57</v>
      </c>
      <c r="F805" s="3" t="s">
        <v>32</v>
      </c>
      <c r="G805" s="3" t="s">
        <v>112</v>
      </c>
      <c r="H805" s="3" t="s">
        <v>113</v>
      </c>
      <c r="I805" s="5">
        <v>867.27</v>
      </c>
      <c r="J805" s="4">
        <v>1</v>
      </c>
      <c r="K805" s="1">
        <v>18</v>
      </c>
      <c r="L805" s="4">
        <v>140.68</v>
      </c>
      <c r="M805" s="3" t="s">
        <v>28</v>
      </c>
      <c r="N805" s="3" t="s">
        <v>35</v>
      </c>
    </row>
    <row r="806" spans="1:14" x14ac:dyDescent="0.3">
      <c r="A806" s="3" t="s">
        <v>886</v>
      </c>
      <c r="B806" s="2">
        <v>45602</v>
      </c>
      <c r="C806" s="3" t="s">
        <v>101</v>
      </c>
      <c r="D806" s="3" t="s">
        <v>56</v>
      </c>
      <c r="E806" s="3" t="s">
        <v>61</v>
      </c>
      <c r="F806" s="3" t="s">
        <v>18</v>
      </c>
      <c r="G806" s="3" t="s">
        <v>26</v>
      </c>
      <c r="H806" s="3" t="s">
        <v>27</v>
      </c>
      <c r="I806" s="5">
        <v>5939.46</v>
      </c>
      <c r="J806" s="4">
        <v>6</v>
      </c>
      <c r="K806" s="1">
        <v>21</v>
      </c>
      <c r="L806" s="4">
        <v>352.18</v>
      </c>
      <c r="M806" s="3" t="s">
        <v>28</v>
      </c>
      <c r="N806" s="3" t="s">
        <v>40</v>
      </c>
    </row>
    <row r="807" spans="1:14" x14ac:dyDescent="0.3">
      <c r="A807" s="3" t="s">
        <v>887</v>
      </c>
      <c r="B807" s="2">
        <v>45533</v>
      </c>
      <c r="C807" s="3" t="s">
        <v>133</v>
      </c>
      <c r="D807" s="3" t="s">
        <v>38</v>
      </c>
      <c r="E807" s="3" t="s">
        <v>71</v>
      </c>
      <c r="F807" s="3" t="s">
        <v>18</v>
      </c>
      <c r="G807" s="3" t="s">
        <v>94</v>
      </c>
      <c r="H807" s="3" t="s">
        <v>95</v>
      </c>
      <c r="I807" s="5">
        <v>13483.12</v>
      </c>
      <c r="J807" s="4">
        <v>8</v>
      </c>
      <c r="K807" s="1">
        <v>30</v>
      </c>
      <c r="L807" s="4">
        <v>2114.42</v>
      </c>
      <c r="M807" s="3" t="s">
        <v>28</v>
      </c>
      <c r="N807" s="3" t="s">
        <v>44</v>
      </c>
    </row>
    <row r="808" spans="1:14" x14ac:dyDescent="0.3">
      <c r="A808" s="3" t="s">
        <v>888</v>
      </c>
      <c r="B808" s="2">
        <v>45468</v>
      </c>
      <c r="C808" s="3" t="s">
        <v>70</v>
      </c>
      <c r="D808" s="3" t="s">
        <v>16</v>
      </c>
      <c r="E808" s="3" t="s">
        <v>17</v>
      </c>
      <c r="F808" s="3" t="s">
        <v>18</v>
      </c>
      <c r="G808" s="3" t="s">
        <v>19</v>
      </c>
      <c r="H808" s="3" t="s">
        <v>20</v>
      </c>
      <c r="I808" s="5">
        <v>5071.0200000000004</v>
      </c>
      <c r="J808" s="4">
        <v>6</v>
      </c>
      <c r="K808" s="1">
        <v>18</v>
      </c>
      <c r="L808" s="4">
        <v>841.74</v>
      </c>
      <c r="M808" s="3" t="s">
        <v>21</v>
      </c>
      <c r="N808" s="3" t="s">
        <v>40</v>
      </c>
    </row>
    <row r="809" spans="1:14" x14ac:dyDescent="0.3">
      <c r="A809" s="3" t="s">
        <v>889</v>
      </c>
      <c r="B809" s="2">
        <v>45561</v>
      </c>
      <c r="C809" s="3" t="s">
        <v>15</v>
      </c>
      <c r="D809" s="3" t="s">
        <v>38</v>
      </c>
      <c r="E809" s="3" t="s">
        <v>39</v>
      </c>
      <c r="F809" s="3" t="s">
        <v>62</v>
      </c>
      <c r="G809" s="3" t="s">
        <v>67</v>
      </c>
      <c r="H809" s="3" t="s">
        <v>68</v>
      </c>
      <c r="I809" s="5">
        <v>1495.69</v>
      </c>
      <c r="J809" s="4">
        <v>1</v>
      </c>
      <c r="K809" s="1">
        <v>17</v>
      </c>
      <c r="L809" s="4">
        <v>279.8</v>
      </c>
      <c r="M809" s="3" t="s">
        <v>51</v>
      </c>
      <c r="N809" s="3" t="s">
        <v>40</v>
      </c>
    </row>
    <row r="810" spans="1:14" x14ac:dyDescent="0.3">
      <c r="A810" s="3" t="s">
        <v>890</v>
      </c>
      <c r="B810" s="2">
        <v>45600</v>
      </c>
      <c r="C810" s="3" t="s">
        <v>24</v>
      </c>
      <c r="D810" s="3" t="s">
        <v>89</v>
      </c>
      <c r="E810" s="3" t="s">
        <v>97</v>
      </c>
      <c r="F810" s="3" t="s">
        <v>18</v>
      </c>
      <c r="G810" s="3" t="s">
        <v>19</v>
      </c>
      <c r="H810" s="3" t="s">
        <v>20</v>
      </c>
      <c r="I810" s="5">
        <v>6508.7</v>
      </c>
      <c r="J810" s="4">
        <v>5</v>
      </c>
      <c r="K810" s="1">
        <v>25</v>
      </c>
      <c r="L810" s="4">
        <v>335.09</v>
      </c>
      <c r="M810" s="3" t="s">
        <v>21</v>
      </c>
      <c r="N810" s="3" t="s">
        <v>35</v>
      </c>
    </row>
    <row r="811" spans="1:14" x14ac:dyDescent="0.3">
      <c r="A811" s="3" t="s">
        <v>891</v>
      </c>
      <c r="B811" s="2">
        <v>45764</v>
      </c>
      <c r="C811" s="3" t="s">
        <v>73</v>
      </c>
      <c r="D811" s="3" t="s">
        <v>38</v>
      </c>
      <c r="E811" s="3" t="s">
        <v>71</v>
      </c>
      <c r="F811" s="3" t="s">
        <v>18</v>
      </c>
      <c r="G811" s="3" t="s">
        <v>26</v>
      </c>
      <c r="H811" s="3" t="s">
        <v>27</v>
      </c>
      <c r="I811" s="5">
        <v>1041.81</v>
      </c>
      <c r="J811" s="4">
        <v>7</v>
      </c>
      <c r="K811" s="1">
        <v>15</v>
      </c>
      <c r="L811" s="4">
        <v>146.04</v>
      </c>
      <c r="M811" s="3" t="s">
        <v>28</v>
      </c>
      <c r="N811" s="3" t="s">
        <v>40</v>
      </c>
    </row>
    <row r="812" spans="1:14" x14ac:dyDescent="0.3">
      <c r="A812" s="3" t="s">
        <v>892</v>
      </c>
      <c r="B812" s="2">
        <v>45466</v>
      </c>
      <c r="C812" s="3" t="s">
        <v>37</v>
      </c>
      <c r="D812" s="3" t="s">
        <v>38</v>
      </c>
      <c r="E812" s="3" t="s">
        <v>43</v>
      </c>
      <c r="F812" s="3" t="s">
        <v>32</v>
      </c>
      <c r="G812" s="3" t="s">
        <v>58</v>
      </c>
      <c r="H812" s="3" t="s">
        <v>59</v>
      </c>
      <c r="I812" s="5">
        <v>3976.59</v>
      </c>
      <c r="J812" s="4">
        <v>3</v>
      </c>
      <c r="K812" s="1">
        <v>16</v>
      </c>
      <c r="L812" s="4">
        <v>577.5</v>
      </c>
      <c r="M812" s="3" t="s">
        <v>21</v>
      </c>
      <c r="N812" s="3" t="s">
        <v>40</v>
      </c>
    </row>
    <row r="813" spans="1:14" x14ac:dyDescent="0.3">
      <c r="A813" s="3" t="s">
        <v>893</v>
      </c>
      <c r="B813" s="2">
        <v>45457</v>
      </c>
      <c r="C813" s="3" t="s">
        <v>133</v>
      </c>
      <c r="D813" s="3" t="s">
        <v>38</v>
      </c>
      <c r="E813" s="3" t="s">
        <v>43</v>
      </c>
      <c r="F813" s="3" t="s">
        <v>32</v>
      </c>
      <c r="G813" s="3" t="s">
        <v>58</v>
      </c>
      <c r="H813" s="3" t="s">
        <v>59</v>
      </c>
      <c r="I813" s="5">
        <v>2747.7</v>
      </c>
      <c r="J813" s="4">
        <v>2</v>
      </c>
      <c r="K813" s="1">
        <v>5</v>
      </c>
      <c r="L813" s="4">
        <v>519.14</v>
      </c>
      <c r="M813" s="3" t="s">
        <v>21</v>
      </c>
      <c r="N813" s="3" t="s">
        <v>44</v>
      </c>
    </row>
    <row r="814" spans="1:14" x14ac:dyDescent="0.3">
      <c r="A814" s="3" t="s">
        <v>894</v>
      </c>
      <c r="B814" s="2">
        <v>45445</v>
      </c>
      <c r="C814" s="3" t="s">
        <v>37</v>
      </c>
      <c r="D814" s="3" t="s">
        <v>89</v>
      </c>
      <c r="E814" s="3" t="s">
        <v>102</v>
      </c>
      <c r="F814" s="3" t="s">
        <v>62</v>
      </c>
      <c r="G814" s="3" t="s">
        <v>80</v>
      </c>
      <c r="H814" s="3" t="s">
        <v>81</v>
      </c>
      <c r="I814" s="5">
        <v>2332.6799999999998</v>
      </c>
      <c r="J814" s="4">
        <v>6</v>
      </c>
      <c r="K814" s="1">
        <v>14</v>
      </c>
      <c r="L814" s="4">
        <v>137.13</v>
      </c>
      <c r="M814" s="3" t="s">
        <v>21</v>
      </c>
      <c r="N814" s="3" t="s">
        <v>44</v>
      </c>
    </row>
    <row r="815" spans="1:14" x14ac:dyDescent="0.3">
      <c r="A815" s="3" t="s">
        <v>895</v>
      </c>
      <c r="B815" s="2">
        <v>45698</v>
      </c>
      <c r="C815" s="3" t="s">
        <v>99</v>
      </c>
      <c r="D815" s="3" t="s">
        <v>38</v>
      </c>
      <c r="E815" s="3" t="s">
        <v>71</v>
      </c>
      <c r="F815" s="3" t="s">
        <v>18</v>
      </c>
      <c r="G815" s="3" t="s">
        <v>26</v>
      </c>
      <c r="H815" s="3" t="s">
        <v>27</v>
      </c>
      <c r="I815" s="5">
        <v>5194.5</v>
      </c>
      <c r="J815" s="4">
        <v>10</v>
      </c>
      <c r="K815" s="1">
        <v>25</v>
      </c>
      <c r="L815" s="4">
        <v>199.22</v>
      </c>
      <c r="M815" s="3" t="s">
        <v>21</v>
      </c>
      <c r="N815" s="3" t="s">
        <v>40</v>
      </c>
    </row>
    <row r="816" spans="1:14" x14ac:dyDescent="0.3">
      <c r="A816" s="3" t="s">
        <v>896</v>
      </c>
      <c r="B816" s="2">
        <v>45681</v>
      </c>
      <c r="C816" s="3" t="s">
        <v>84</v>
      </c>
      <c r="D816" s="3" t="s">
        <v>16</v>
      </c>
      <c r="E816" s="3" t="s">
        <v>17</v>
      </c>
      <c r="F816" s="3" t="s">
        <v>32</v>
      </c>
      <c r="G816" s="3" t="s">
        <v>112</v>
      </c>
      <c r="H816" s="3" t="s">
        <v>113</v>
      </c>
      <c r="I816" s="5">
        <v>4929.1899999999996</v>
      </c>
      <c r="J816" s="4">
        <v>7</v>
      </c>
      <c r="K816" s="1">
        <v>11</v>
      </c>
      <c r="L816" s="4">
        <v>955.68</v>
      </c>
      <c r="M816" s="3" t="s">
        <v>21</v>
      </c>
      <c r="N816" s="3" t="s">
        <v>22</v>
      </c>
    </row>
    <row r="817" spans="1:14" x14ac:dyDescent="0.3">
      <c r="A817" s="3" t="s">
        <v>897</v>
      </c>
      <c r="B817" s="2">
        <v>45537</v>
      </c>
      <c r="C817" s="3" t="s">
        <v>84</v>
      </c>
      <c r="D817" s="3" t="s">
        <v>56</v>
      </c>
      <c r="E817" s="3" t="s">
        <v>57</v>
      </c>
      <c r="F817" s="3" t="s">
        <v>18</v>
      </c>
      <c r="G817" s="3" t="s">
        <v>19</v>
      </c>
      <c r="H817" s="3" t="s">
        <v>20</v>
      </c>
      <c r="I817" s="5">
        <v>1587.18</v>
      </c>
      <c r="J817" s="4">
        <v>6</v>
      </c>
      <c r="K817" s="1">
        <v>12</v>
      </c>
      <c r="L817" s="4">
        <v>274.35000000000002</v>
      </c>
      <c r="M817" s="3" t="s">
        <v>28</v>
      </c>
      <c r="N817" s="3" t="s">
        <v>44</v>
      </c>
    </row>
    <row r="818" spans="1:14" x14ac:dyDescent="0.3">
      <c r="A818" s="3" t="s">
        <v>898</v>
      </c>
      <c r="B818" s="2">
        <v>45586</v>
      </c>
      <c r="C818" s="3" t="s">
        <v>75</v>
      </c>
      <c r="D818" s="3" t="s">
        <v>89</v>
      </c>
      <c r="E818" s="3" t="s">
        <v>140</v>
      </c>
      <c r="F818" s="3" t="s">
        <v>18</v>
      </c>
      <c r="G818" s="3" t="s">
        <v>76</v>
      </c>
      <c r="H818" s="3" t="s">
        <v>77</v>
      </c>
      <c r="I818" s="5">
        <v>3225</v>
      </c>
      <c r="J818" s="4">
        <v>2</v>
      </c>
      <c r="K818" s="1">
        <v>12</v>
      </c>
      <c r="L818" s="4">
        <v>648.48</v>
      </c>
      <c r="M818" s="3" t="s">
        <v>21</v>
      </c>
      <c r="N818" s="3" t="s">
        <v>44</v>
      </c>
    </row>
    <row r="819" spans="1:14" x14ac:dyDescent="0.3">
      <c r="A819" s="3" t="s">
        <v>899</v>
      </c>
      <c r="B819" s="2">
        <v>45514</v>
      </c>
      <c r="C819" s="3" t="s">
        <v>133</v>
      </c>
      <c r="D819" s="3" t="s">
        <v>56</v>
      </c>
      <c r="E819" s="3" t="s">
        <v>108</v>
      </c>
      <c r="F819" s="3" t="s">
        <v>32</v>
      </c>
      <c r="G819" s="3" t="s">
        <v>47</v>
      </c>
      <c r="H819" s="3" t="s">
        <v>48</v>
      </c>
      <c r="I819" s="5">
        <v>13721.54</v>
      </c>
      <c r="J819" s="4">
        <v>7</v>
      </c>
      <c r="K819" s="1">
        <v>12</v>
      </c>
      <c r="L819" s="4">
        <v>2122.98</v>
      </c>
      <c r="M819" s="3" t="s">
        <v>51</v>
      </c>
      <c r="N819" s="3" t="s">
        <v>35</v>
      </c>
    </row>
    <row r="820" spans="1:14" x14ac:dyDescent="0.3">
      <c r="A820" s="3" t="s">
        <v>900</v>
      </c>
      <c r="B820" s="2">
        <v>45760</v>
      </c>
      <c r="C820" s="3" t="s">
        <v>73</v>
      </c>
      <c r="D820" s="3" t="s">
        <v>89</v>
      </c>
      <c r="E820" s="3" t="s">
        <v>140</v>
      </c>
      <c r="F820" s="3" t="s">
        <v>32</v>
      </c>
      <c r="G820" s="3" t="s">
        <v>47</v>
      </c>
      <c r="H820" s="3" t="s">
        <v>48</v>
      </c>
      <c r="I820" s="5">
        <v>12752.6</v>
      </c>
      <c r="J820" s="4">
        <v>7</v>
      </c>
      <c r="K820" s="1">
        <v>17</v>
      </c>
      <c r="L820" s="4">
        <v>2130.5700000000002</v>
      </c>
      <c r="M820" s="3" t="s">
        <v>28</v>
      </c>
      <c r="N820" s="3" t="s">
        <v>35</v>
      </c>
    </row>
    <row r="821" spans="1:14" x14ac:dyDescent="0.3">
      <c r="A821" s="3" t="s">
        <v>901</v>
      </c>
      <c r="B821" s="2">
        <v>45734</v>
      </c>
      <c r="C821" s="3" t="s">
        <v>99</v>
      </c>
      <c r="D821" s="3" t="s">
        <v>56</v>
      </c>
      <c r="E821" s="3" t="s">
        <v>108</v>
      </c>
      <c r="F821" s="3" t="s">
        <v>18</v>
      </c>
      <c r="G821" s="3" t="s">
        <v>19</v>
      </c>
      <c r="H821" s="3" t="s">
        <v>20</v>
      </c>
      <c r="I821" s="5">
        <v>5371.96</v>
      </c>
      <c r="J821" s="4">
        <v>4</v>
      </c>
      <c r="K821" s="1">
        <v>15</v>
      </c>
      <c r="L821" s="4">
        <v>737.69</v>
      </c>
      <c r="M821" s="3" t="s">
        <v>51</v>
      </c>
      <c r="N821" s="3" t="s">
        <v>40</v>
      </c>
    </row>
    <row r="822" spans="1:14" x14ac:dyDescent="0.3">
      <c r="A822" s="3" t="s">
        <v>902</v>
      </c>
      <c r="B822" s="2">
        <v>45475</v>
      </c>
      <c r="C822" s="3" t="s">
        <v>101</v>
      </c>
      <c r="D822" s="3" t="s">
        <v>89</v>
      </c>
      <c r="E822" s="3" t="s">
        <v>90</v>
      </c>
      <c r="F822" s="3" t="s">
        <v>18</v>
      </c>
      <c r="G822" s="3" t="s">
        <v>76</v>
      </c>
      <c r="H822" s="3" t="s">
        <v>77</v>
      </c>
      <c r="I822" s="5">
        <v>12371.76</v>
      </c>
      <c r="J822" s="4">
        <v>9</v>
      </c>
      <c r="K822" s="1">
        <v>8</v>
      </c>
      <c r="L822" s="4">
        <v>1010.97</v>
      </c>
      <c r="M822" s="3" t="s">
        <v>28</v>
      </c>
      <c r="N822" s="3" t="s">
        <v>22</v>
      </c>
    </row>
    <row r="823" spans="1:14" x14ac:dyDescent="0.3">
      <c r="A823" s="3" t="s">
        <v>903</v>
      </c>
      <c r="B823" s="2">
        <v>45433</v>
      </c>
      <c r="C823" s="3" t="s">
        <v>42</v>
      </c>
      <c r="D823" s="3" t="s">
        <v>56</v>
      </c>
      <c r="E823" s="3" t="s">
        <v>57</v>
      </c>
      <c r="F823" s="3" t="s">
        <v>32</v>
      </c>
      <c r="G823" s="3" t="s">
        <v>112</v>
      </c>
      <c r="H823" s="3" t="s">
        <v>113</v>
      </c>
      <c r="I823" s="5">
        <v>3975.35</v>
      </c>
      <c r="J823" s="4">
        <v>5</v>
      </c>
      <c r="K823" s="1">
        <v>29</v>
      </c>
      <c r="L823" s="4">
        <v>474.95</v>
      </c>
      <c r="M823" s="3" t="s">
        <v>51</v>
      </c>
      <c r="N823" s="3" t="s">
        <v>35</v>
      </c>
    </row>
    <row r="824" spans="1:14" x14ac:dyDescent="0.3">
      <c r="A824" s="3" t="s">
        <v>904</v>
      </c>
      <c r="B824" s="2">
        <v>45620</v>
      </c>
      <c r="C824" s="3" t="s">
        <v>75</v>
      </c>
      <c r="D824" s="3" t="s">
        <v>56</v>
      </c>
      <c r="E824" s="3" t="s">
        <v>61</v>
      </c>
      <c r="F824" s="3" t="s">
        <v>32</v>
      </c>
      <c r="G824" s="3" t="s">
        <v>58</v>
      </c>
      <c r="H824" s="3" t="s">
        <v>59</v>
      </c>
      <c r="I824" s="5">
        <v>4039.7</v>
      </c>
      <c r="J824" s="4">
        <v>5</v>
      </c>
      <c r="K824" s="1">
        <v>25</v>
      </c>
      <c r="L824" s="4">
        <v>226.87</v>
      </c>
      <c r="M824" s="3" t="s">
        <v>51</v>
      </c>
      <c r="N824" s="3" t="s">
        <v>22</v>
      </c>
    </row>
    <row r="825" spans="1:14" x14ac:dyDescent="0.3">
      <c r="A825" s="3" t="s">
        <v>905</v>
      </c>
      <c r="B825" s="2">
        <v>45624</v>
      </c>
      <c r="C825" s="3" t="s">
        <v>73</v>
      </c>
      <c r="D825" s="3" t="s">
        <v>38</v>
      </c>
      <c r="E825" s="3" t="s">
        <v>43</v>
      </c>
      <c r="F825" s="3" t="s">
        <v>18</v>
      </c>
      <c r="G825" s="3" t="s">
        <v>76</v>
      </c>
      <c r="H825" s="3" t="s">
        <v>77</v>
      </c>
      <c r="I825" s="5">
        <v>330.18</v>
      </c>
      <c r="J825" s="4">
        <v>2</v>
      </c>
      <c r="K825" s="1">
        <v>29</v>
      </c>
      <c r="L825" s="4">
        <v>42.83</v>
      </c>
      <c r="M825" s="3" t="s">
        <v>28</v>
      </c>
      <c r="N825" s="3" t="s">
        <v>22</v>
      </c>
    </row>
    <row r="826" spans="1:14" x14ac:dyDescent="0.3">
      <c r="A826" s="3" t="s">
        <v>906</v>
      </c>
      <c r="B826" s="2">
        <v>45582</v>
      </c>
      <c r="C826" s="3" t="s">
        <v>66</v>
      </c>
      <c r="D826" s="3" t="s">
        <v>89</v>
      </c>
      <c r="E826" s="3" t="s">
        <v>97</v>
      </c>
      <c r="F826" s="3" t="s">
        <v>62</v>
      </c>
      <c r="G826" s="3" t="s">
        <v>63</v>
      </c>
      <c r="H826" s="3" t="s">
        <v>64</v>
      </c>
      <c r="I826" s="5">
        <v>12039.48</v>
      </c>
      <c r="J826" s="4">
        <v>9</v>
      </c>
      <c r="K826" s="1">
        <v>2</v>
      </c>
      <c r="L826" s="4">
        <v>2484.9699999999998</v>
      </c>
      <c r="M826" s="3" t="s">
        <v>51</v>
      </c>
      <c r="N826" s="3" t="s">
        <v>35</v>
      </c>
    </row>
    <row r="827" spans="1:14" x14ac:dyDescent="0.3">
      <c r="A827" s="3" t="s">
        <v>907</v>
      </c>
      <c r="B827" s="2">
        <v>45613</v>
      </c>
      <c r="C827" s="3" t="s">
        <v>75</v>
      </c>
      <c r="D827" s="3" t="s">
        <v>38</v>
      </c>
      <c r="E827" s="3" t="s">
        <v>39</v>
      </c>
      <c r="F827" s="3" t="s">
        <v>62</v>
      </c>
      <c r="G827" s="3" t="s">
        <v>63</v>
      </c>
      <c r="H827" s="3" t="s">
        <v>64</v>
      </c>
      <c r="I827" s="5">
        <v>628.98</v>
      </c>
      <c r="J827" s="4">
        <v>2</v>
      </c>
      <c r="K827" s="1">
        <v>14</v>
      </c>
      <c r="L827" s="4">
        <v>84.47</v>
      </c>
      <c r="M827" s="3" t="s">
        <v>21</v>
      </c>
      <c r="N827" s="3" t="s">
        <v>44</v>
      </c>
    </row>
    <row r="828" spans="1:14" x14ac:dyDescent="0.3">
      <c r="A828" s="3" t="s">
        <v>908</v>
      </c>
      <c r="B828" s="2">
        <v>45691</v>
      </c>
      <c r="C828" s="3" t="s">
        <v>86</v>
      </c>
      <c r="D828" s="3" t="s">
        <v>16</v>
      </c>
      <c r="E828" s="3" t="s">
        <v>31</v>
      </c>
      <c r="F828" s="3" t="s">
        <v>62</v>
      </c>
      <c r="G828" s="3" t="s">
        <v>80</v>
      </c>
      <c r="H828" s="3" t="s">
        <v>81</v>
      </c>
      <c r="I828" s="5">
        <v>10712.97</v>
      </c>
      <c r="J828" s="4">
        <v>9</v>
      </c>
      <c r="K828" s="1">
        <v>14</v>
      </c>
      <c r="L828" s="4">
        <v>2237.8000000000002</v>
      </c>
      <c r="M828" s="3" t="s">
        <v>51</v>
      </c>
      <c r="N828" s="3" t="s">
        <v>40</v>
      </c>
    </row>
    <row r="829" spans="1:14" x14ac:dyDescent="0.3">
      <c r="A829" s="3" t="s">
        <v>909</v>
      </c>
      <c r="B829" s="2">
        <v>45637</v>
      </c>
      <c r="C829" s="3" t="s">
        <v>70</v>
      </c>
      <c r="D829" s="3" t="s">
        <v>38</v>
      </c>
      <c r="E829" s="3" t="s">
        <v>43</v>
      </c>
      <c r="F829" s="3" t="s">
        <v>32</v>
      </c>
      <c r="G829" s="3" t="s">
        <v>47</v>
      </c>
      <c r="H829" s="3" t="s">
        <v>48</v>
      </c>
      <c r="I829" s="5">
        <v>1656.48</v>
      </c>
      <c r="J829" s="4">
        <v>6</v>
      </c>
      <c r="K829" s="1">
        <v>29</v>
      </c>
      <c r="L829" s="4">
        <v>82.31</v>
      </c>
      <c r="M829" s="3" t="s">
        <v>51</v>
      </c>
      <c r="N829" s="3" t="s">
        <v>35</v>
      </c>
    </row>
    <row r="830" spans="1:14" x14ac:dyDescent="0.3">
      <c r="A830" s="3" t="s">
        <v>910</v>
      </c>
      <c r="B830" s="2">
        <v>45653</v>
      </c>
      <c r="C830" s="3" t="s">
        <v>84</v>
      </c>
      <c r="D830" s="3" t="s">
        <v>38</v>
      </c>
      <c r="E830" s="3" t="s">
        <v>43</v>
      </c>
      <c r="F830" s="3" t="s">
        <v>62</v>
      </c>
      <c r="G830" s="3" t="s">
        <v>103</v>
      </c>
      <c r="H830" s="3" t="s">
        <v>104</v>
      </c>
      <c r="I830" s="5">
        <v>8279.85</v>
      </c>
      <c r="J830" s="4">
        <v>5</v>
      </c>
      <c r="K830" s="1">
        <v>3</v>
      </c>
      <c r="L830" s="4">
        <v>1425.47</v>
      </c>
      <c r="M830" s="3" t="s">
        <v>21</v>
      </c>
      <c r="N830" s="3" t="s">
        <v>35</v>
      </c>
    </row>
    <row r="831" spans="1:14" x14ac:dyDescent="0.3">
      <c r="A831" s="3" t="s">
        <v>911</v>
      </c>
      <c r="B831" s="2">
        <v>45668</v>
      </c>
      <c r="C831" s="3" t="s">
        <v>86</v>
      </c>
      <c r="D831" s="3" t="s">
        <v>16</v>
      </c>
      <c r="E831" s="3" t="s">
        <v>17</v>
      </c>
      <c r="F831" s="3" t="s">
        <v>32</v>
      </c>
      <c r="G831" s="3" t="s">
        <v>33</v>
      </c>
      <c r="H831" s="3" t="s">
        <v>34</v>
      </c>
      <c r="I831" s="5">
        <v>7192.14</v>
      </c>
      <c r="J831" s="4">
        <v>6</v>
      </c>
      <c r="K831" s="1">
        <v>19</v>
      </c>
      <c r="L831" s="4">
        <v>727.52</v>
      </c>
      <c r="M831" s="3" t="s">
        <v>28</v>
      </c>
      <c r="N831" s="3" t="s">
        <v>44</v>
      </c>
    </row>
    <row r="832" spans="1:14" x14ac:dyDescent="0.3">
      <c r="A832" s="3" t="s">
        <v>912</v>
      </c>
      <c r="B832" s="2">
        <v>45443</v>
      </c>
      <c r="C832" s="3" t="s">
        <v>86</v>
      </c>
      <c r="D832" s="3" t="s">
        <v>38</v>
      </c>
      <c r="E832" s="3" t="s">
        <v>71</v>
      </c>
      <c r="F832" s="3" t="s">
        <v>18</v>
      </c>
      <c r="G832" s="3" t="s">
        <v>76</v>
      </c>
      <c r="H832" s="3" t="s">
        <v>77</v>
      </c>
      <c r="I832" s="5">
        <v>2520.3000000000002</v>
      </c>
      <c r="J832" s="4">
        <v>2</v>
      </c>
      <c r="K832" s="1">
        <v>18</v>
      </c>
      <c r="L832" s="4">
        <v>262.43</v>
      </c>
      <c r="M832" s="3" t="s">
        <v>28</v>
      </c>
      <c r="N832" s="3" t="s">
        <v>35</v>
      </c>
    </row>
    <row r="833" spans="1:14" x14ac:dyDescent="0.3">
      <c r="A833" s="3" t="s">
        <v>913</v>
      </c>
      <c r="B833" s="2">
        <v>45724</v>
      </c>
      <c r="C833" s="3" t="s">
        <v>70</v>
      </c>
      <c r="D833" s="3" t="s">
        <v>16</v>
      </c>
      <c r="E833" s="3" t="s">
        <v>25</v>
      </c>
      <c r="F833" s="3" t="s">
        <v>62</v>
      </c>
      <c r="G833" s="3" t="s">
        <v>63</v>
      </c>
      <c r="H833" s="3" t="s">
        <v>64</v>
      </c>
      <c r="I833" s="5">
        <v>3159.51</v>
      </c>
      <c r="J833" s="4">
        <v>3</v>
      </c>
      <c r="K833" s="1">
        <v>3</v>
      </c>
      <c r="L833" s="4">
        <v>170</v>
      </c>
      <c r="M833" s="3" t="s">
        <v>51</v>
      </c>
      <c r="N833" s="3" t="s">
        <v>35</v>
      </c>
    </row>
    <row r="834" spans="1:14" x14ac:dyDescent="0.3">
      <c r="A834" s="3" t="s">
        <v>914</v>
      </c>
      <c r="B834" s="2">
        <v>45438</v>
      </c>
      <c r="C834" s="3" t="s">
        <v>15</v>
      </c>
      <c r="D834" s="3" t="s">
        <v>16</v>
      </c>
      <c r="E834" s="3" t="s">
        <v>31</v>
      </c>
      <c r="F834" s="3" t="s">
        <v>32</v>
      </c>
      <c r="G834" s="3" t="s">
        <v>33</v>
      </c>
      <c r="H834" s="3" t="s">
        <v>34</v>
      </c>
      <c r="I834" s="5">
        <v>1567.68</v>
      </c>
      <c r="J834" s="4">
        <v>3</v>
      </c>
      <c r="K834" s="1">
        <v>17</v>
      </c>
      <c r="L834" s="4">
        <v>78.709999999999994</v>
      </c>
      <c r="M834" s="3" t="s">
        <v>51</v>
      </c>
      <c r="N834" s="3" t="s">
        <v>35</v>
      </c>
    </row>
    <row r="835" spans="1:14" x14ac:dyDescent="0.3">
      <c r="A835" s="3" t="s">
        <v>915</v>
      </c>
      <c r="B835" s="2">
        <v>45467</v>
      </c>
      <c r="C835" s="3" t="s">
        <v>75</v>
      </c>
      <c r="D835" s="3" t="s">
        <v>38</v>
      </c>
      <c r="E835" s="3" t="s">
        <v>39</v>
      </c>
      <c r="F835" s="3" t="s">
        <v>32</v>
      </c>
      <c r="G835" s="3" t="s">
        <v>33</v>
      </c>
      <c r="H835" s="3" t="s">
        <v>34</v>
      </c>
      <c r="I835" s="5">
        <v>3507.18</v>
      </c>
      <c r="J835" s="4">
        <v>6</v>
      </c>
      <c r="K835" s="1">
        <v>23</v>
      </c>
      <c r="L835" s="4">
        <v>489.59</v>
      </c>
      <c r="M835" s="3" t="s">
        <v>21</v>
      </c>
      <c r="N835" s="3" t="s">
        <v>35</v>
      </c>
    </row>
    <row r="836" spans="1:14" x14ac:dyDescent="0.3">
      <c r="A836" s="3" t="s">
        <v>916</v>
      </c>
      <c r="B836" s="2">
        <v>45590</v>
      </c>
      <c r="C836" s="3" t="s">
        <v>24</v>
      </c>
      <c r="D836" s="3" t="s">
        <v>89</v>
      </c>
      <c r="E836" s="3" t="s">
        <v>116</v>
      </c>
      <c r="F836" s="3" t="s">
        <v>32</v>
      </c>
      <c r="G836" s="3" t="s">
        <v>33</v>
      </c>
      <c r="H836" s="3" t="s">
        <v>34</v>
      </c>
      <c r="I836" s="5">
        <v>6779.04</v>
      </c>
      <c r="J836" s="4">
        <v>6</v>
      </c>
      <c r="K836" s="1">
        <v>5</v>
      </c>
      <c r="L836" s="4">
        <v>422.15</v>
      </c>
      <c r="M836" s="3" t="s">
        <v>21</v>
      </c>
      <c r="N836" s="3" t="s">
        <v>40</v>
      </c>
    </row>
    <row r="837" spans="1:14" x14ac:dyDescent="0.3">
      <c r="A837" s="3" t="s">
        <v>917</v>
      </c>
      <c r="B837" s="2">
        <v>45748</v>
      </c>
      <c r="C837" s="3" t="s">
        <v>42</v>
      </c>
      <c r="D837" s="3" t="s">
        <v>56</v>
      </c>
      <c r="E837" s="3" t="s">
        <v>108</v>
      </c>
      <c r="F837" s="3" t="s">
        <v>18</v>
      </c>
      <c r="G837" s="3" t="s">
        <v>26</v>
      </c>
      <c r="H837" s="3" t="s">
        <v>27</v>
      </c>
      <c r="I837" s="5">
        <v>1188.78</v>
      </c>
      <c r="J837" s="4">
        <v>2</v>
      </c>
      <c r="K837" s="1">
        <v>10</v>
      </c>
      <c r="L837" s="4">
        <v>81.67</v>
      </c>
      <c r="M837" s="3" t="s">
        <v>28</v>
      </c>
      <c r="N837" s="3" t="s">
        <v>22</v>
      </c>
    </row>
    <row r="838" spans="1:14" x14ac:dyDescent="0.3">
      <c r="A838" s="3" t="s">
        <v>918</v>
      </c>
      <c r="B838" s="2">
        <v>45504</v>
      </c>
      <c r="C838" s="3" t="s">
        <v>86</v>
      </c>
      <c r="D838" s="3" t="s">
        <v>38</v>
      </c>
      <c r="E838" s="3" t="s">
        <v>53</v>
      </c>
      <c r="F838" s="3" t="s">
        <v>18</v>
      </c>
      <c r="G838" s="3" t="s">
        <v>26</v>
      </c>
      <c r="H838" s="3" t="s">
        <v>27</v>
      </c>
      <c r="I838" s="5">
        <v>6671.43</v>
      </c>
      <c r="J838" s="4">
        <v>9</v>
      </c>
      <c r="K838" s="1">
        <v>27</v>
      </c>
      <c r="L838" s="4">
        <v>796.8</v>
      </c>
      <c r="M838" s="3" t="s">
        <v>51</v>
      </c>
      <c r="N838" s="3" t="s">
        <v>22</v>
      </c>
    </row>
    <row r="839" spans="1:14" x14ac:dyDescent="0.3">
      <c r="A839" s="3" t="s">
        <v>919</v>
      </c>
      <c r="B839" s="2">
        <v>45583</v>
      </c>
      <c r="C839" s="3" t="s">
        <v>99</v>
      </c>
      <c r="D839" s="3" t="s">
        <v>56</v>
      </c>
      <c r="E839" s="3" t="s">
        <v>61</v>
      </c>
      <c r="F839" s="3" t="s">
        <v>18</v>
      </c>
      <c r="G839" s="3" t="s">
        <v>94</v>
      </c>
      <c r="H839" s="3" t="s">
        <v>95</v>
      </c>
      <c r="I839" s="5">
        <v>3274.08</v>
      </c>
      <c r="J839" s="4">
        <v>8</v>
      </c>
      <c r="K839" s="1">
        <v>14</v>
      </c>
      <c r="L839" s="4">
        <v>437.36</v>
      </c>
      <c r="M839" s="3" t="s">
        <v>28</v>
      </c>
      <c r="N839" s="3" t="s">
        <v>40</v>
      </c>
    </row>
    <row r="840" spans="1:14" x14ac:dyDescent="0.3">
      <c r="A840" s="3" t="s">
        <v>920</v>
      </c>
      <c r="B840" s="2">
        <v>45518</v>
      </c>
      <c r="C840" s="3" t="s">
        <v>24</v>
      </c>
      <c r="D840" s="3" t="s">
        <v>89</v>
      </c>
      <c r="E840" s="3" t="s">
        <v>102</v>
      </c>
      <c r="F840" s="3" t="s">
        <v>32</v>
      </c>
      <c r="G840" s="3" t="s">
        <v>58</v>
      </c>
      <c r="H840" s="3" t="s">
        <v>59</v>
      </c>
      <c r="I840" s="5">
        <v>6254</v>
      </c>
      <c r="J840" s="4">
        <v>4</v>
      </c>
      <c r="K840" s="1">
        <v>11</v>
      </c>
      <c r="L840" s="4">
        <v>890.82</v>
      </c>
      <c r="M840" s="3" t="s">
        <v>21</v>
      </c>
      <c r="N840" s="3" t="s">
        <v>40</v>
      </c>
    </row>
    <row r="841" spans="1:14" x14ac:dyDescent="0.3">
      <c r="A841" s="3" t="s">
        <v>921</v>
      </c>
      <c r="B841" s="2">
        <v>45456</v>
      </c>
      <c r="C841" s="3" t="s">
        <v>73</v>
      </c>
      <c r="D841" s="3" t="s">
        <v>38</v>
      </c>
      <c r="E841" s="3" t="s">
        <v>43</v>
      </c>
      <c r="F841" s="3" t="s">
        <v>62</v>
      </c>
      <c r="G841" s="3" t="s">
        <v>80</v>
      </c>
      <c r="H841" s="3" t="s">
        <v>81</v>
      </c>
      <c r="I841" s="5">
        <v>3457.88</v>
      </c>
      <c r="J841" s="4">
        <v>4</v>
      </c>
      <c r="K841" s="1">
        <v>30</v>
      </c>
      <c r="L841" s="4">
        <v>276.37</v>
      </c>
      <c r="M841" s="3" t="s">
        <v>21</v>
      </c>
      <c r="N841" s="3" t="s">
        <v>35</v>
      </c>
    </row>
    <row r="842" spans="1:14" x14ac:dyDescent="0.3">
      <c r="A842" s="3" t="s">
        <v>922</v>
      </c>
      <c r="B842" s="2">
        <v>45520</v>
      </c>
      <c r="C842" s="3" t="s">
        <v>42</v>
      </c>
      <c r="D842" s="3" t="s">
        <v>56</v>
      </c>
      <c r="E842" s="3" t="s">
        <v>57</v>
      </c>
      <c r="F842" s="3" t="s">
        <v>32</v>
      </c>
      <c r="G842" s="3" t="s">
        <v>58</v>
      </c>
      <c r="H842" s="3" t="s">
        <v>59</v>
      </c>
      <c r="I842" s="5">
        <v>2268.14</v>
      </c>
      <c r="J842" s="4">
        <v>7</v>
      </c>
      <c r="K842" s="1">
        <v>6</v>
      </c>
      <c r="L842" s="4">
        <v>249.14</v>
      </c>
      <c r="M842" s="3" t="s">
        <v>28</v>
      </c>
      <c r="N842" s="3" t="s">
        <v>35</v>
      </c>
    </row>
    <row r="843" spans="1:14" x14ac:dyDescent="0.3">
      <c r="A843" s="3" t="s">
        <v>923</v>
      </c>
      <c r="B843" s="2">
        <v>45689</v>
      </c>
      <c r="C843" s="3" t="s">
        <v>24</v>
      </c>
      <c r="D843" s="3" t="s">
        <v>89</v>
      </c>
      <c r="E843" s="3" t="s">
        <v>90</v>
      </c>
      <c r="F843" s="3" t="s">
        <v>62</v>
      </c>
      <c r="G843" s="3" t="s">
        <v>67</v>
      </c>
      <c r="H843" s="3" t="s">
        <v>68</v>
      </c>
      <c r="I843" s="5">
        <v>1266.57</v>
      </c>
      <c r="J843" s="4">
        <v>9</v>
      </c>
      <c r="K843" s="1">
        <v>20</v>
      </c>
      <c r="L843" s="4">
        <v>160.6</v>
      </c>
      <c r="M843" s="3" t="s">
        <v>28</v>
      </c>
      <c r="N843" s="3" t="s">
        <v>22</v>
      </c>
    </row>
    <row r="844" spans="1:14" x14ac:dyDescent="0.3">
      <c r="A844" s="3" t="s">
        <v>924</v>
      </c>
      <c r="B844" s="2">
        <v>45558</v>
      </c>
      <c r="C844" s="3" t="s">
        <v>86</v>
      </c>
      <c r="D844" s="3" t="s">
        <v>16</v>
      </c>
      <c r="E844" s="3" t="s">
        <v>25</v>
      </c>
      <c r="F844" s="3" t="s">
        <v>62</v>
      </c>
      <c r="G844" s="3" t="s">
        <v>67</v>
      </c>
      <c r="H844" s="3" t="s">
        <v>68</v>
      </c>
      <c r="I844" s="5">
        <v>701.7</v>
      </c>
      <c r="J844" s="4">
        <v>2</v>
      </c>
      <c r="K844" s="1">
        <v>6</v>
      </c>
      <c r="L844" s="4">
        <v>35.25</v>
      </c>
      <c r="M844" s="3" t="s">
        <v>51</v>
      </c>
      <c r="N844" s="3" t="s">
        <v>35</v>
      </c>
    </row>
    <row r="845" spans="1:14" x14ac:dyDescent="0.3">
      <c r="A845" s="3" t="s">
        <v>925</v>
      </c>
      <c r="B845" s="2">
        <v>45607</v>
      </c>
      <c r="C845" s="3" t="s">
        <v>30</v>
      </c>
      <c r="D845" s="3" t="s">
        <v>89</v>
      </c>
      <c r="E845" s="3" t="s">
        <v>97</v>
      </c>
      <c r="F845" s="3" t="s">
        <v>62</v>
      </c>
      <c r="G845" s="3" t="s">
        <v>80</v>
      </c>
      <c r="H845" s="3" t="s">
        <v>81</v>
      </c>
      <c r="I845" s="5">
        <v>1194.8699999999999</v>
      </c>
      <c r="J845" s="4">
        <v>1</v>
      </c>
      <c r="K845" s="1">
        <v>13</v>
      </c>
      <c r="L845" s="4">
        <v>151.02000000000001</v>
      </c>
      <c r="M845" s="3" t="s">
        <v>21</v>
      </c>
      <c r="N845" s="3" t="s">
        <v>22</v>
      </c>
    </row>
    <row r="846" spans="1:14" x14ac:dyDescent="0.3">
      <c r="A846" s="3" t="s">
        <v>926</v>
      </c>
      <c r="B846" s="2">
        <v>45474</v>
      </c>
      <c r="C846" s="3" t="s">
        <v>101</v>
      </c>
      <c r="D846" s="3" t="s">
        <v>56</v>
      </c>
      <c r="E846" s="3" t="s">
        <v>57</v>
      </c>
      <c r="F846" s="3" t="s">
        <v>18</v>
      </c>
      <c r="G846" s="3" t="s">
        <v>19</v>
      </c>
      <c r="H846" s="3" t="s">
        <v>20</v>
      </c>
      <c r="I846" s="5">
        <v>7021.05</v>
      </c>
      <c r="J846" s="4">
        <v>5</v>
      </c>
      <c r="K846" s="1">
        <v>15</v>
      </c>
      <c r="L846" s="4">
        <v>1264.83</v>
      </c>
      <c r="M846" s="3" t="s">
        <v>51</v>
      </c>
      <c r="N846" s="3" t="s">
        <v>40</v>
      </c>
    </row>
    <row r="847" spans="1:14" x14ac:dyDescent="0.3">
      <c r="A847" s="3" t="s">
        <v>927</v>
      </c>
      <c r="B847" s="2">
        <v>45574</v>
      </c>
      <c r="C847" s="3" t="s">
        <v>133</v>
      </c>
      <c r="D847" s="3" t="s">
        <v>89</v>
      </c>
      <c r="E847" s="3" t="s">
        <v>90</v>
      </c>
      <c r="F847" s="3" t="s">
        <v>32</v>
      </c>
      <c r="G847" s="3" t="s">
        <v>47</v>
      </c>
      <c r="H847" s="3" t="s">
        <v>48</v>
      </c>
      <c r="I847" s="5">
        <v>1005.06</v>
      </c>
      <c r="J847" s="4">
        <v>1</v>
      </c>
      <c r="K847" s="1">
        <v>29</v>
      </c>
      <c r="L847" s="4">
        <v>46.25</v>
      </c>
      <c r="M847" s="3" t="s">
        <v>21</v>
      </c>
      <c r="N847" s="3" t="s">
        <v>22</v>
      </c>
    </row>
    <row r="848" spans="1:14" x14ac:dyDescent="0.3">
      <c r="A848" s="3" t="s">
        <v>928</v>
      </c>
      <c r="B848" s="2">
        <v>45628</v>
      </c>
      <c r="C848" s="3" t="s">
        <v>73</v>
      </c>
      <c r="D848" s="3" t="s">
        <v>89</v>
      </c>
      <c r="E848" s="3" t="s">
        <v>140</v>
      </c>
      <c r="F848" s="3" t="s">
        <v>32</v>
      </c>
      <c r="G848" s="3" t="s">
        <v>33</v>
      </c>
      <c r="H848" s="3" t="s">
        <v>34</v>
      </c>
      <c r="I848" s="5">
        <v>8064.6</v>
      </c>
      <c r="J848" s="4">
        <v>6</v>
      </c>
      <c r="K848" s="1">
        <v>1</v>
      </c>
      <c r="L848" s="4">
        <v>1365.38</v>
      </c>
      <c r="M848" s="3" t="s">
        <v>51</v>
      </c>
      <c r="N848" s="3" t="s">
        <v>44</v>
      </c>
    </row>
    <row r="849" spans="1:14" x14ac:dyDescent="0.3">
      <c r="A849" s="3" t="s">
        <v>929</v>
      </c>
      <c r="B849" s="2">
        <v>45545</v>
      </c>
      <c r="C849" s="3" t="s">
        <v>133</v>
      </c>
      <c r="D849" s="3" t="s">
        <v>16</v>
      </c>
      <c r="E849" s="3" t="s">
        <v>31</v>
      </c>
      <c r="F849" s="3" t="s">
        <v>18</v>
      </c>
      <c r="G849" s="3" t="s">
        <v>94</v>
      </c>
      <c r="H849" s="3" t="s">
        <v>95</v>
      </c>
      <c r="I849" s="5">
        <v>5198.24</v>
      </c>
      <c r="J849" s="4">
        <v>8</v>
      </c>
      <c r="K849" s="1">
        <v>9</v>
      </c>
      <c r="L849" s="4">
        <v>722.81</v>
      </c>
      <c r="M849" s="3" t="s">
        <v>28</v>
      </c>
      <c r="N849" s="3" t="s">
        <v>44</v>
      </c>
    </row>
    <row r="850" spans="1:14" x14ac:dyDescent="0.3">
      <c r="A850" s="3" t="s">
        <v>930</v>
      </c>
      <c r="B850" s="2">
        <v>45430</v>
      </c>
      <c r="C850" s="3" t="s">
        <v>70</v>
      </c>
      <c r="D850" s="3" t="s">
        <v>56</v>
      </c>
      <c r="E850" s="3" t="s">
        <v>57</v>
      </c>
      <c r="F850" s="3" t="s">
        <v>32</v>
      </c>
      <c r="G850" s="3" t="s">
        <v>112</v>
      </c>
      <c r="H850" s="3" t="s">
        <v>113</v>
      </c>
      <c r="I850" s="5">
        <v>8254.89</v>
      </c>
      <c r="J850" s="4">
        <v>9</v>
      </c>
      <c r="K850" s="1">
        <v>10</v>
      </c>
      <c r="L850" s="4">
        <v>688.09</v>
      </c>
      <c r="M850" s="3" t="s">
        <v>51</v>
      </c>
      <c r="N850" s="3" t="s">
        <v>44</v>
      </c>
    </row>
    <row r="851" spans="1:14" x14ac:dyDescent="0.3">
      <c r="A851" s="3" t="s">
        <v>931</v>
      </c>
      <c r="B851" s="2">
        <v>45444</v>
      </c>
      <c r="C851" s="3" t="s">
        <v>42</v>
      </c>
      <c r="D851" s="3" t="s">
        <v>16</v>
      </c>
      <c r="E851" s="3" t="s">
        <v>17</v>
      </c>
      <c r="F851" s="3" t="s">
        <v>62</v>
      </c>
      <c r="G851" s="3" t="s">
        <v>103</v>
      </c>
      <c r="H851" s="3" t="s">
        <v>104</v>
      </c>
      <c r="I851" s="5">
        <v>16609.3</v>
      </c>
      <c r="J851" s="4">
        <v>10</v>
      </c>
      <c r="K851" s="1">
        <v>30</v>
      </c>
      <c r="L851" s="4">
        <v>2503.6</v>
      </c>
      <c r="M851" s="3" t="s">
        <v>28</v>
      </c>
      <c r="N851" s="3" t="s">
        <v>22</v>
      </c>
    </row>
    <row r="852" spans="1:14" x14ac:dyDescent="0.3">
      <c r="A852" s="3" t="s">
        <v>932</v>
      </c>
      <c r="B852" s="2">
        <v>45509</v>
      </c>
      <c r="C852" s="3" t="s">
        <v>101</v>
      </c>
      <c r="D852" s="3" t="s">
        <v>16</v>
      </c>
      <c r="E852" s="3" t="s">
        <v>17</v>
      </c>
      <c r="F852" s="3" t="s">
        <v>62</v>
      </c>
      <c r="G852" s="3" t="s">
        <v>63</v>
      </c>
      <c r="H852" s="3" t="s">
        <v>64</v>
      </c>
      <c r="I852" s="5">
        <v>10279.98</v>
      </c>
      <c r="J852" s="4">
        <v>9</v>
      </c>
      <c r="K852" s="1">
        <v>28</v>
      </c>
      <c r="L852" s="4">
        <v>482.3</v>
      </c>
      <c r="M852" s="3" t="s">
        <v>51</v>
      </c>
      <c r="N852" s="3" t="s">
        <v>40</v>
      </c>
    </row>
    <row r="853" spans="1:14" x14ac:dyDescent="0.3">
      <c r="A853" s="3" t="s">
        <v>933</v>
      </c>
      <c r="B853" s="2">
        <v>45561</v>
      </c>
      <c r="C853" s="3" t="s">
        <v>84</v>
      </c>
      <c r="D853" s="3" t="s">
        <v>89</v>
      </c>
      <c r="E853" s="3" t="s">
        <v>90</v>
      </c>
      <c r="F853" s="3" t="s">
        <v>62</v>
      </c>
      <c r="G853" s="3" t="s">
        <v>63</v>
      </c>
      <c r="H853" s="3" t="s">
        <v>64</v>
      </c>
      <c r="I853" s="5">
        <v>1683.09</v>
      </c>
      <c r="J853" s="4">
        <v>3</v>
      </c>
      <c r="K853" s="1">
        <v>26</v>
      </c>
      <c r="L853" s="4">
        <v>270.97000000000003</v>
      </c>
      <c r="M853" s="3" t="s">
        <v>51</v>
      </c>
      <c r="N853" s="3" t="s">
        <v>22</v>
      </c>
    </row>
    <row r="854" spans="1:14" x14ac:dyDescent="0.3">
      <c r="A854" s="3" t="s">
        <v>934</v>
      </c>
      <c r="B854" s="2">
        <v>45679</v>
      </c>
      <c r="C854" s="3" t="s">
        <v>42</v>
      </c>
      <c r="D854" s="3" t="s">
        <v>38</v>
      </c>
      <c r="E854" s="3" t="s">
        <v>71</v>
      </c>
      <c r="F854" s="3" t="s">
        <v>18</v>
      </c>
      <c r="G854" s="3" t="s">
        <v>94</v>
      </c>
      <c r="H854" s="3" t="s">
        <v>95</v>
      </c>
      <c r="I854" s="5">
        <v>16597.8</v>
      </c>
      <c r="J854" s="4">
        <v>10</v>
      </c>
      <c r="K854" s="1">
        <v>16</v>
      </c>
      <c r="L854" s="4">
        <v>2692.54</v>
      </c>
      <c r="M854" s="3" t="s">
        <v>21</v>
      </c>
      <c r="N854" s="3" t="s">
        <v>35</v>
      </c>
    </row>
    <row r="855" spans="1:14" x14ac:dyDescent="0.3">
      <c r="A855" s="3" t="s">
        <v>935</v>
      </c>
      <c r="B855" s="2">
        <v>45745</v>
      </c>
      <c r="C855" s="3" t="s">
        <v>24</v>
      </c>
      <c r="D855" s="3" t="s">
        <v>38</v>
      </c>
      <c r="E855" s="3" t="s">
        <v>71</v>
      </c>
      <c r="F855" s="3" t="s">
        <v>18</v>
      </c>
      <c r="G855" s="3" t="s">
        <v>76</v>
      </c>
      <c r="H855" s="3" t="s">
        <v>77</v>
      </c>
      <c r="I855" s="5">
        <v>1801.34</v>
      </c>
      <c r="J855" s="4">
        <v>2</v>
      </c>
      <c r="K855" s="1">
        <v>30</v>
      </c>
      <c r="L855" s="4">
        <v>110.46</v>
      </c>
      <c r="M855" s="3" t="s">
        <v>28</v>
      </c>
      <c r="N855" s="3" t="s">
        <v>44</v>
      </c>
    </row>
    <row r="856" spans="1:14" x14ac:dyDescent="0.3">
      <c r="A856" s="3" t="s">
        <v>936</v>
      </c>
      <c r="B856" s="2">
        <v>45586</v>
      </c>
      <c r="C856" s="3" t="s">
        <v>75</v>
      </c>
      <c r="D856" s="3" t="s">
        <v>38</v>
      </c>
      <c r="E856" s="3" t="s">
        <v>53</v>
      </c>
      <c r="F856" s="3" t="s">
        <v>18</v>
      </c>
      <c r="G856" s="3" t="s">
        <v>26</v>
      </c>
      <c r="H856" s="3" t="s">
        <v>27</v>
      </c>
      <c r="I856" s="5">
        <v>5823.96</v>
      </c>
      <c r="J856" s="4">
        <v>4</v>
      </c>
      <c r="K856" s="1">
        <v>16</v>
      </c>
      <c r="L856" s="4">
        <v>992.09</v>
      </c>
      <c r="M856" s="3" t="s">
        <v>28</v>
      </c>
      <c r="N856" s="3" t="s">
        <v>35</v>
      </c>
    </row>
    <row r="857" spans="1:14" x14ac:dyDescent="0.3">
      <c r="A857" s="3" t="s">
        <v>937</v>
      </c>
      <c r="B857" s="2">
        <v>45475</v>
      </c>
      <c r="C857" s="3" t="s">
        <v>24</v>
      </c>
      <c r="D857" s="3" t="s">
        <v>89</v>
      </c>
      <c r="E857" s="3" t="s">
        <v>102</v>
      </c>
      <c r="F857" s="3" t="s">
        <v>62</v>
      </c>
      <c r="G857" s="3" t="s">
        <v>80</v>
      </c>
      <c r="H857" s="3" t="s">
        <v>81</v>
      </c>
      <c r="I857" s="5">
        <v>11546.76</v>
      </c>
      <c r="J857" s="4">
        <v>6</v>
      </c>
      <c r="K857" s="1">
        <v>19</v>
      </c>
      <c r="L857" s="4">
        <v>1813.43</v>
      </c>
      <c r="M857" s="3" t="s">
        <v>51</v>
      </c>
      <c r="N857" s="3" t="s">
        <v>35</v>
      </c>
    </row>
    <row r="858" spans="1:14" x14ac:dyDescent="0.3">
      <c r="A858" s="3" t="s">
        <v>938</v>
      </c>
      <c r="B858" s="2">
        <v>45748</v>
      </c>
      <c r="C858" s="3" t="s">
        <v>66</v>
      </c>
      <c r="D858" s="3" t="s">
        <v>89</v>
      </c>
      <c r="E858" s="3" t="s">
        <v>90</v>
      </c>
      <c r="F858" s="3" t="s">
        <v>18</v>
      </c>
      <c r="G858" s="3" t="s">
        <v>94</v>
      </c>
      <c r="H858" s="3" t="s">
        <v>95</v>
      </c>
      <c r="I858" s="5">
        <v>8941.41</v>
      </c>
      <c r="J858" s="4">
        <v>9</v>
      </c>
      <c r="K858" s="1">
        <v>30</v>
      </c>
      <c r="L858" s="4">
        <v>694.19</v>
      </c>
      <c r="M858" s="3" t="s">
        <v>21</v>
      </c>
      <c r="N858" s="3" t="s">
        <v>22</v>
      </c>
    </row>
    <row r="859" spans="1:14" x14ac:dyDescent="0.3">
      <c r="A859" s="3" t="s">
        <v>939</v>
      </c>
      <c r="B859" s="2">
        <v>45521</v>
      </c>
      <c r="C859" s="3" t="s">
        <v>70</v>
      </c>
      <c r="D859" s="3" t="s">
        <v>16</v>
      </c>
      <c r="E859" s="3" t="s">
        <v>17</v>
      </c>
      <c r="F859" s="3" t="s">
        <v>32</v>
      </c>
      <c r="G859" s="3" t="s">
        <v>58</v>
      </c>
      <c r="H859" s="3" t="s">
        <v>59</v>
      </c>
      <c r="I859" s="5">
        <v>515.98</v>
      </c>
      <c r="J859" s="4">
        <v>1</v>
      </c>
      <c r="K859" s="1">
        <v>13</v>
      </c>
      <c r="L859" s="4">
        <v>47.68</v>
      </c>
      <c r="M859" s="3" t="s">
        <v>28</v>
      </c>
      <c r="N859" s="3" t="s">
        <v>35</v>
      </c>
    </row>
    <row r="860" spans="1:14" x14ac:dyDescent="0.3">
      <c r="A860" s="3" t="s">
        <v>940</v>
      </c>
      <c r="B860" s="2">
        <v>45445</v>
      </c>
      <c r="C860" s="3" t="s">
        <v>133</v>
      </c>
      <c r="D860" s="3" t="s">
        <v>56</v>
      </c>
      <c r="E860" s="3" t="s">
        <v>108</v>
      </c>
      <c r="F860" s="3" t="s">
        <v>18</v>
      </c>
      <c r="G860" s="3" t="s">
        <v>19</v>
      </c>
      <c r="H860" s="3" t="s">
        <v>20</v>
      </c>
      <c r="I860" s="5">
        <v>2846.58</v>
      </c>
      <c r="J860" s="4">
        <v>2</v>
      </c>
      <c r="K860" s="1">
        <v>22</v>
      </c>
      <c r="L860" s="4">
        <v>549.17999999999995</v>
      </c>
      <c r="M860" s="3" t="s">
        <v>21</v>
      </c>
      <c r="N860" s="3" t="s">
        <v>22</v>
      </c>
    </row>
    <row r="861" spans="1:14" x14ac:dyDescent="0.3">
      <c r="A861" s="3" t="s">
        <v>941</v>
      </c>
      <c r="B861" s="2">
        <v>45654</v>
      </c>
      <c r="C861" s="3" t="s">
        <v>73</v>
      </c>
      <c r="D861" s="3" t="s">
        <v>56</v>
      </c>
      <c r="E861" s="3" t="s">
        <v>108</v>
      </c>
      <c r="F861" s="3" t="s">
        <v>32</v>
      </c>
      <c r="G861" s="3" t="s">
        <v>33</v>
      </c>
      <c r="H861" s="3" t="s">
        <v>34</v>
      </c>
      <c r="I861" s="5">
        <v>9961.1200000000008</v>
      </c>
      <c r="J861" s="4">
        <v>8</v>
      </c>
      <c r="K861" s="1">
        <v>24</v>
      </c>
      <c r="L861" s="4">
        <v>1052.79</v>
      </c>
      <c r="M861" s="3" t="s">
        <v>21</v>
      </c>
      <c r="N861" s="3" t="s">
        <v>35</v>
      </c>
    </row>
    <row r="862" spans="1:14" x14ac:dyDescent="0.3">
      <c r="A862" s="3" t="s">
        <v>942</v>
      </c>
      <c r="B862" s="2">
        <v>45427</v>
      </c>
      <c r="C862" s="3" t="s">
        <v>101</v>
      </c>
      <c r="D862" s="3" t="s">
        <v>16</v>
      </c>
      <c r="E862" s="3" t="s">
        <v>31</v>
      </c>
      <c r="F862" s="3" t="s">
        <v>18</v>
      </c>
      <c r="G862" s="3" t="s">
        <v>76</v>
      </c>
      <c r="H862" s="3" t="s">
        <v>77</v>
      </c>
      <c r="I862" s="5">
        <v>548.46</v>
      </c>
      <c r="J862" s="4">
        <v>1</v>
      </c>
      <c r="K862" s="1">
        <v>24</v>
      </c>
      <c r="L862" s="4">
        <v>22.49</v>
      </c>
      <c r="M862" s="3" t="s">
        <v>21</v>
      </c>
      <c r="N862" s="3" t="s">
        <v>40</v>
      </c>
    </row>
    <row r="863" spans="1:14" x14ac:dyDescent="0.3">
      <c r="A863" s="3" t="s">
        <v>943</v>
      </c>
      <c r="B863" s="2">
        <v>45776</v>
      </c>
      <c r="C863" s="3" t="s">
        <v>42</v>
      </c>
      <c r="D863" s="3" t="s">
        <v>56</v>
      </c>
      <c r="E863" s="3" t="s">
        <v>61</v>
      </c>
      <c r="F863" s="3" t="s">
        <v>18</v>
      </c>
      <c r="G863" s="3" t="s">
        <v>94</v>
      </c>
      <c r="H863" s="3" t="s">
        <v>95</v>
      </c>
      <c r="I863" s="5">
        <v>1897.2</v>
      </c>
      <c r="J863" s="4">
        <v>10</v>
      </c>
      <c r="K863" s="1">
        <v>11</v>
      </c>
      <c r="L863" s="4">
        <v>341</v>
      </c>
      <c r="M863" s="3" t="s">
        <v>28</v>
      </c>
      <c r="N863" s="3" t="s">
        <v>35</v>
      </c>
    </row>
    <row r="864" spans="1:14" x14ac:dyDescent="0.3">
      <c r="A864" s="3" t="s">
        <v>944</v>
      </c>
      <c r="B864" s="2">
        <v>45471</v>
      </c>
      <c r="C864" s="3" t="s">
        <v>73</v>
      </c>
      <c r="D864" s="3" t="s">
        <v>89</v>
      </c>
      <c r="E864" s="3" t="s">
        <v>102</v>
      </c>
      <c r="F864" s="3" t="s">
        <v>32</v>
      </c>
      <c r="G864" s="3" t="s">
        <v>47</v>
      </c>
      <c r="H864" s="3" t="s">
        <v>48</v>
      </c>
      <c r="I864" s="5">
        <v>1264.75</v>
      </c>
      <c r="J864" s="4">
        <v>5</v>
      </c>
      <c r="K864" s="1">
        <v>10</v>
      </c>
      <c r="L864" s="4">
        <v>235.03</v>
      </c>
      <c r="M864" s="3" t="s">
        <v>28</v>
      </c>
      <c r="N864" s="3" t="s">
        <v>35</v>
      </c>
    </row>
    <row r="865" spans="1:14" x14ac:dyDescent="0.3">
      <c r="A865" s="3" t="s">
        <v>945</v>
      </c>
      <c r="B865" s="2">
        <v>45670</v>
      </c>
      <c r="C865" s="3" t="s">
        <v>86</v>
      </c>
      <c r="D865" s="3" t="s">
        <v>38</v>
      </c>
      <c r="E865" s="3" t="s">
        <v>43</v>
      </c>
      <c r="F865" s="3" t="s">
        <v>62</v>
      </c>
      <c r="G865" s="3" t="s">
        <v>103</v>
      </c>
      <c r="H865" s="3" t="s">
        <v>104</v>
      </c>
      <c r="I865" s="5">
        <v>1582.74</v>
      </c>
      <c r="J865" s="4">
        <v>1</v>
      </c>
      <c r="K865" s="1">
        <v>27</v>
      </c>
      <c r="L865" s="4">
        <v>145.09</v>
      </c>
      <c r="M865" s="3" t="s">
        <v>28</v>
      </c>
      <c r="N865" s="3" t="s">
        <v>22</v>
      </c>
    </row>
    <row r="866" spans="1:14" x14ac:dyDescent="0.3">
      <c r="A866" s="3" t="s">
        <v>946</v>
      </c>
      <c r="B866" s="2">
        <v>45575</v>
      </c>
      <c r="C866" s="3" t="s">
        <v>15</v>
      </c>
      <c r="D866" s="3" t="s">
        <v>56</v>
      </c>
      <c r="E866" s="3" t="s">
        <v>57</v>
      </c>
      <c r="F866" s="3" t="s">
        <v>32</v>
      </c>
      <c r="G866" s="3" t="s">
        <v>33</v>
      </c>
      <c r="H866" s="3" t="s">
        <v>34</v>
      </c>
      <c r="I866" s="5">
        <v>5842.92</v>
      </c>
      <c r="J866" s="4">
        <v>4</v>
      </c>
      <c r="K866" s="1">
        <v>15</v>
      </c>
      <c r="L866" s="4">
        <v>1196.26</v>
      </c>
      <c r="M866" s="3" t="s">
        <v>28</v>
      </c>
      <c r="N866" s="3" t="s">
        <v>44</v>
      </c>
    </row>
    <row r="867" spans="1:14" x14ac:dyDescent="0.3">
      <c r="A867" s="3" t="s">
        <v>947</v>
      </c>
      <c r="B867" s="2">
        <v>45467</v>
      </c>
      <c r="C867" s="3" t="s">
        <v>24</v>
      </c>
      <c r="D867" s="3" t="s">
        <v>38</v>
      </c>
      <c r="E867" s="3" t="s">
        <v>53</v>
      </c>
      <c r="F867" s="3" t="s">
        <v>32</v>
      </c>
      <c r="G867" s="3" t="s">
        <v>58</v>
      </c>
      <c r="H867" s="3" t="s">
        <v>59</v>
      </c>
      <c r="I867" s="5">
        <v>3775.83</v>
      </c>
      <c r="J867" s="4">
        <v>3</v>
      </c>
      <c r="K867" s="1">
        <v>28</v>
      </c>
      <c r="L867" s="4">
        <v>645.46</v>
      </c>
      <c r="M867" s="3" t="s">
        <v>28</v>
      </c>
      <c r="N867" s="3" t="s">
        <v>35</v>
      </c>
    </row>
    <row r="868" spans="1:14" x14ac:dyDescent="0.3">
      <c r="A868" s="3" t="s">
        <v>948</v>
      </c>
      <c r="B868" s="2">
        <v>45508</v>
      </c>
      <c r="C868" s="3" t="s">
        <v>133</v>
      </c>
      <c r="D868" s="3" t="s">
        <v>89</v>
      </c>
      <c r="E868" s="3" t="s">
        <v>97</v>
      </c>
      <c r="F868" s="3" t="s">
        <v>18</v>
      </c>
      <c r="G868" s="3" t="s">
        <v>26</v>
      </c>
      <c r="H868" s="3" t="s">
        <v>27</v>
      </c>
      <c r="I868" s="5">
        <v>15228</v>
      </c>
      <c r="J868" s="4">
        <v>9</v>
      </c>
      <c r="K868" s="1">
        <v>17</v>
      </c>
      <c r="L868" s="4">
        <v>2050.6799999999998</v>
      </c>
      <c r="M868" s="3" t="s">
        <v>28</v>
      </c>
      <c r="N868" s="3" t="s">
        <v>44</v>
      </c>
    </row>
    <row r="869" spans="1:14" x14ac:dyDescent="0.3">
      <c r="A869" s="3" t="s">
        <v>949</v>
      </c>
      <c r="B869" s="2">
        <v>45503</v>
      </c>
      <c r="C869" s="3" t="s">
        <v>99</v>
      </c>
      <c r="D869" s="3" t="s">
        <v>56</v>
      </c>
      <c r="E869" s="3" t="s">
        <v>108</v>
      </c>
      <c r="F869" s="3" t="s">
        <v>18</v>
      </c>
      <c r="G869" s="3" t="s">
        <v>94</v>
      </c>
      <c r="H869" s="3" t="s">
        <v>95</v>
      </c>
      <c r="I869" s="5">
        <v>11171.84</v>
      </c>
      <c r="J869" s="4">
        <v>8</v>
      </c>
      <c r="K869" s="1">
        <v>1</v>
      </c>
      <c r="L869" s="4">
        <v>2236.56</v>
      </c>
      <c r="M869" s="3" t="s">
        <v>21</v>
      </c>
      <c r="N869" s="3" t="s">
        <v>22</v>
      </c>
    </row>
    <row r="870" spans="1:14" x14ac:dyDescent="0.3">
      <c r="A870" s="3" t="s">
        <v>950</v>
      </c>
      <c r="B870" s="2">
        <v>45428</v>
      </c>
      <c r="C870" s="3" t="s">
        <v>37</v>
      </c>
      <c r="D870" s="3" t="s">
        <v>38</v>
      </c>
      <c r="E870" s="3" t="s">
        <v>53</v>
      </c>
      <c r="F870" s="3" t="s">
        <v>32</v>
      </c>
      <c r="G870" s="3" t="s">
        <v>58</v>
      </c>
      <c r="H870" s="3" t="s">
        <v>59</v>
      </c>
      <c r="I870" s="5">
        <v>10296.24</v>
      </c>
      <c r="J870" s="4">
        <v>6</v>
      </c>
      <c r="K870" s="1">
        <v>28</v>
      </c>
      <c r="L870" s="4">
        <v>1243.8499999999999</v>
      </c>
      <c r="M870" s="3" t="s">
        <v>51</v>
      </c>
      <c r="N870" s="3" t="s">
        <v>22</v>
      </c>
    </row>
    <row r="871" spans="1:14" x14ac:dyDescent="0.3">
      <c r="A871" s="3" t="s">
        <v>951</v>
      </c>
      <c r="B871" s="2">
        <v>45444</v>
      </c>
      <c r="C871" s="3" t="s">
        <v>15</v>
      </c>
      <c r="D871" s="3" t="s">
        <v>38</v>
      </c>
      <c r="E871" s="3" t="s">
        <v>39</v>
      </c>
      <c r="F871" s="3" t="s">
        <v>32</v>
      </c>
      <c r="G871" s="3" t="s">
        <v>33</v>
      </c>
      <c r="H871" s="3" t="s">
        <v>34</v>
      </c>
      <c r="I871" s="5">
        <v>6321.07</v>
      </c>
      <c r="J871" s="4">
        <v>7</v>
      </c>
      <c r="K871" s="1">
        <v>11</v>
      </c>
      <c r="L871" s="4">
        <v>556.62</v>
      </c>
      <c r="M871" s="3" t="s">
        <v>21</v>
      </c>
      <c r="N871" s="3" t="s">
        <v>35</v>
      </c>
    </row>
    <row r="872" spans="1:14" x14ac:dyDescent="0.3">
      <c r="A872" s="3" t="s">
        <v>952</v>
      </c>
      <c r="B872" s="2">
        <v>45501</v>
      </c>
      <c r="C872" s="3" t="s">
        <v>73</v>
      </c>
      <c r="D872" s="3" t="s">
        <v>16</v>
      </c>
      <c r="E872" s="3" t="s">
        <v>25</v>
      </c>
      <c r="F872" s="3" t="s">
        <v>32</v>
      </c>
      <c r="G872" s="3" t="s">
        <v>47</v>
      </c>
      <c r="H872" s="3" t="s">
        <v>48</v>
      </c>
      <c r="I872" s="5">
        <v>7489.3</v>
      </c>
      <c r="J872" s="4">
        <v>10</v>
      </c>
      <c r="K872" s="1">
        <v>8</v>
      </c>
      <c r="L872" s="4">
        <v>1147.53</v>
      </c>
      <c r="M872" s="3" t="s">
        <v>51</v>
      </c>
      <c r="N872" s="3" t="s">
        <v>35</v>
      </c>
    </row>
    <row r="873" spans="1:14" x14ac:dyDescent="0.3">
      <c r="A873" s="3" t="s">
        <v>953</v>
      </c>
      <c r="B873" s="2">
        <v>45726</v>
      </c>
      <c r="C873" s="3" t="s">
        <v>86</v>
      </c>
      <c r="D873" s="3" t="s">
        <v>38</v>
      </c>
      <c r="E873" s="3" t="s">
        <v>39</v>
      </c>
      <c r="F873" s="3" t="s">
        <v>32</v>
      </c>
      <c r="G873" s="3" t="s">
        <v>47</v>
      </c>
      <c r="H873" s="3" t="s">
        <v>48</v>
      </c>
      <c r="I873" s="5">
        <v>2180.2800000000002</v>
      </c>
      <c r="J873" s="4">
        <v>4</v>
      </c>
      <c r="K873" s="1">
        <v>14</v>
      </c>
      <c r="L873" s="4">
        <v>208.99</v>
      </c>
      <c r="M873" s="3" t="s">
        <v>28</v>
      </c>
      <c r="N873" s="3" t="s">
        <v>44</v>
      </c>
    </row>
    <row r="874" spans="1:14" x14ac:dyDescent="0.3">
      <c r="A874" s="3" t="s">
        <v>954</v>
      </c>
      <c r="B874" s="2">
        <v>45629</v>
      </c>
      <c r="C874" s="3" t="s">
        <v>75</v>
      </c>
      <c r="D874" s="3" t="s">
        <v>38</v>
      </c>
      <c r="E874" s="3" t="s">
        <v>71</v>
      </c>
      <c r="F874" s="3" t="s">
        <v>18</v>
      </c>
      <c r="G874" s="3" t="s">
        <v>19</v>
      </c>
      <c r="H874" s="3" t="s">
        <v>20</v>
      </c>
      <c r="I874" s="5">
        <v>3084.66</v>
      </c>
      <c r="J874" s="4">
        <v>9</v>
      </c>
      <c r="K874" s="1">
        <v>14</v>
      </c>
      <c r="L874" s="4">
        <v>645.59</v>
      </c>
      <c r="M874" s="3" t="s">
        <v>21</v>
      </c>
      <c r="N874" s="3" t="s">
        <v>22</v>
      </c>
    </row>
    <row r="875" spans="1:14" x14ac:dyDescent="0.3">
      <c r="A875" s="3" t="s">
        <v>955</v>
      </c>
      <c r="B875" s="2">
        <v>45431</v>
      </c>
      <c r="C875" s="3" t="s">
        <v>66</v>
      </c>
      <c r="D875" s="3" t="s">
        <v>38</v>
      </c>
      <c r="E875" s="3" t="s">
        <v>39</v>
      </c>
      <c r="F875" s="3" t="s">
        <v>62</v>
      </c>
      <c r="G875" s="3" t="s">
        <v>103</v>
      </c>
      <c r="H875" s="3" t="s">
        <v>104</v>
      </c>
      <c r="I875" s="5">
        <v>2533.16</v>
      </c>
      <c r="J875" s="4">
        <v>7</v>
      </c>
      <c r="K875" s="1">
        <v>22</v>
      </c>
      <c r="L875" s="4">
        <v>258.10000000000002</v>
      </c>
      <c r="M875" s="3" t="s">
        <v>21</v>
      </c>
      <c r="N875" s="3" t="s">
        <v>40</v>
      </c>
    </row>
    <row r="876" spans="1:14" x14ac:dyDescent="0.3">
      <c r="A876" s="3" t="s">
        <v>956</v>
      </c>
      <c r="B876" s="2">
        <v>45754</v>
      </c>
      <c r="C876" s="3" t="s">
        <v>86</v>
      </c>
      <c r="D876" s="3" t="s">
        <v>89</v>
      </c>
      <c r="E876" s="3" t="s">
        <v>90</v>
      </c>
      <c r="F876" s="3" t="s">
        <v>32</v>
      </c>
      <c r="G876" s="3" t="s">
        <v>58</v>
      </c>
      <c r="H876" s="3" t="s">
        <v>59</v>
      </c>
      <c r="I876" s="5">
        <v>14603.13</v>
      </c>
      <c r="J876" s="4">
        <v>9</v>
      </c>
      <c r="K876" s="1">
        <v>9</v>
      </c>
      <c r="L876" s="4">
        <v>1017.9</v>
      </c>
      <c r="M876" s="3" t="s">
        <v>21</v>
      </c>
      <c r="N876" s="3" t="s">
        <v>35</v>
      </c>
    </row>
    <row r="877" spans="1:14" x14ac:dyDescent="0.3">
      <c r="A877" s="3" t="s">
        <v>957</v>
      </c>
      <c r="B877" s="2">
        <v>45500</v>
      </c>
      <c r="C877" s="3" t="s">
        <v>101</v>
      </c>
      <c r="D877" s="3" t="s">
        <v>38</v>
      </c>
      <c r="E877" s="3" t="s">
        <v>39</v>
      </c>
      <c r="F877" s="3" t="s">
        <v>62</v>
      </c>
      <c r="G877" s="3" t="s">
        <v>67</v>
      </c>
      <c r="H877" s="3" t="s">
        <v>68</v>
      </c>
      <c r="I877" s="5">
        <v>6008.84</v>
      </c>
      <c r="J877" s="4">
        <v>4</v>
      </c>
      <c r="K877" s="1">
        <v>18</v>
      </c>
      <c r="L877" s="4">
        <v>666.36</v>
      </c>
      <c r="M877" s="3" t="s">
        <v>21</v>
      </c>
      <c r="N877" s="3" t="s">
        <v>22</v>
      </c>
    </row>
    <row r="878" spans="1:14" x14ac:dyDescent="0.3">
      <c r="A878" s="3" t="s">
        <v>958</v>
      </c>
      <c r="B878" s="2">
        <v>45655</v>
      </c>
      <c r="C878" s="3" t="s">
        <v>37</v>
      </c>
      <c r="D878" s="3" t="s">
        <v>38</v>
      </c>
      <c r="E878" s="3" t="s">
        <v>43</v>
      </c>
      <c r="F878" s="3" t="s">
        <v>32</v>
      </c>
      <c r="G878" s="3" t="s">
        <v>33</v>
      </c>
      <c r="H878" s="3" t="s">
        <v>34</v>
      </c>
      <c r="I878" s="5">
        <v>4860.45</v>
      </c>
      <c r="J878" s="4">
        <v>5</v>
      </c>
      <c r="K878" s="1">
        <v>2</v>
      </c>
      <c r="L878" s="4">
        <v>935.8</v>
      </c>
      <c r="M878" s="3" t="s">
        <v>51</v>
      </c>
      <c r="N878" s="3" t="s">
        <v>44</v>
      </c>
    </row>
    <row r="879" spans="1:14" x14ac:dyDescent="0.3">
      <c r="A879" s="3" t="s">
        <v>959</v>
      </c>
      <c r="B879" s="2">
        <v>45734</v>
      </c>
      <c r="C879" s="3" t="s">
        <v>50</v>
      </c>
      <c r="D879" s="3" t="s">
        <v>56</v>
      </c>
      <c r="E879" s="3" t="s">
        <v>108</v>
      </c>
      <c r="F879" s="3" t="s">
        <v>32</v>
      </c>
      <c r="G879" s="3" t="s">
        <v>112</v>
      </c>
      <c r="H879" s="3" t="s">
        <v>113</v>
      </c>
      <c r="I879" s="5">
        <v>9004.94</v>
      </c>
      <c r="J879" s="4">
        <v>7</v>
      </c>
      <c r="K879" s="1">
        <v>5</v>
      </c>
      <c r="L879" s="4">
        <v>1330.41</v>
      </c>
      <c r="M879" s="3" t="s">
        <v>21</v>
      </c>
      <c r="N879" s="3" t="s">
        <v>22</v>
      </c>
    </row>
    <row r="880" spans="1:14" x14ac:dyDescent="0.3">
      <c r="A880" s="3" t="s">
        <v>960</v>
      </c>
      <c r="B880" s="2">
        <v>45759</v>
      </c>
      <c r="C880" s="3" t="s">
        <v>30</v>
      </c>
      <c r="D880" s="3" t="s">
        <v>89</v>
      </c>
      <c r="E880" s="3" t="s">
        <v>102</v>
      </c>
      <c r="F880" s="3" t="s">
        <v>62</v>
      </c>
      <c r="G880" s="3" t="s">
        <v>67</v>
      </c>
      <c r="H880" s="3" t="s">
        <v>68</v>
      </c>
      <c r="I880" s="5">
        <v>1773.02</v>
      </c>
      <c r="J880" s="4">
        <v>2</v>
      </c>
      <c r="K880" s="1">
        <v>28</v>
      </c>
      <c r="L880" s="4">
        <v>254.55</v>
      </c>
      <c r="M880" s="3" t="s">
        <v>21</v>
      </c>
      <c r="N880" s="3" t="s">
        <v>44</v>
      </c>
    </row>
    <row r="881" spans="1:14" x14ac:dyDescent="0.3">
      <c r="A881" s="3" t="s">
        <v>961</v>
      </c>
      <c r="B881" s="2">
        <v>45688</v>
      </c>
      <c r="C881" s="3" t="s">
        <v>70</v>
      </c>
      <c r="D881" s="3" t="s">
        <v>38</v>
      </c>
      <c r="E881" s="3" t="s">
        <v>71</v>
      </c>
      <c r="F881" s="3" t="s">
        <v>32</v>
      </c>
      <c r="G881" s="3" t="s">
        <v>47</v>
      </c>
      <c r="H881" s="3" t="s">
        <v>48</v>
      </c>
      <c r="I881" s="5">
        <v>4637.24</v>
      </c>
      <c r="J881" s="4">
        <v>4</v>
      </c>
      <c r="K881" s="1">
        <v>8</v>
      </c>
      <c r="L881" s="4">
        <v>555.17999999999995</v>
      </c>
      <c r="M881" s="3" t="s">
        <v>21</v>
      </c>
      <c r="N881" s="3" t="s">
        <v>35</v>
      </c>
    </row>
    <row r="882" spans="1:14" x14ac:dyDescent="0.3">
      <c r="A882" s="3" t="s">
        <v>962</v>
      </c>
      <c r="B882" s="2">
        <v>45677</v>
      </c>
      <c r="C882" s="3" t="s">
        <v>75</v>
      </c>
      <c r="D882" s="3" t="s">
        <v>38</v>
      </c>
      <c r="E882" s="3" t="s">
        <v>71</v>
      </c>
      <c r="F882" s="3" t="s">
        <v>32</v>
      </c>
      <c r="G882" s="3" t="s">
        <v>33</v>
      </c>
      <c r="H882" s="3" t="s">
        <v>34</v>
      </c>
      <c r="I882" s="5">
        <v>3497.46</v>
      </c>
      <c r="J882" s="4">
        <v>6</v>
      </c>
      <c r="K882" s="1">
        <v>17</v>
      </c>
      <c r="L882" s="4">
        <v>520.75</v>
      </c>
      <c r="M882" s="3" t="s">
        <v>51</v>
      </c>
      <c r="N882" s="3" t="s">
        <v>44</v>
      </c>
    </row>
    <row r="883" spans="1:14" x14ac:dyDescent="0.3">
      <c r="A883" s="3" t="s">
        <v>963</v>
      </c>
      <c r="B883" s="2">
        <v>45641</v>
      </c>
      <c r="C883" s="3" t="s">
        <v>66</v>
      </c>
      <c r="D883" s="3" t="s">
        <v>56</v>
      </c>
      <c r="E883" s="3" t="s">
        <v>108</v>
      </c>
      <c r="F883" s="3" t="s">
        <v>18</v>
      </c>
      <c r="G883" s="3" t="s">
        <v>94</v>
      </c>
      <c r="H883" s="3" t="s">
        <v>95</v>
      </c>
      <c r="I883" s="5">
        <v>2838</v>
      </c>
      <c r="J883" s="4">
        <v>10</v>
      </c>
      <c r="K883" s="1">
        <v>6</v>
      </c>
      <c r="L883" s="4">
        <v>219.38</v>
      </c>
      <c r="M883" s="3" t="s">
        <v>21</v>
      </c>
      <c r="N883" s="3" t="s">
        <v>40</v>
      </c>
    </row>
    <row r="884" spans="1:14" x14ac:dyDescent="0.3">
      <c r="A884" s="3" t="s">
        <v>964</v>
      </c>
      <c r="B884" s="2">
        <v>45591</v>
      </c>
      <c r="C884" s="3" t="s">
        <v>73</v>
      </c>
      <c r="D884" s="3" t="s">
        <v>38</v>
      </c>
      <c r="E884" s="3" t="s">
        <v>43</v>
      </c>
      <c r="F884" s="3" t="s">
        <v>18</v>
      </c>
      <c r="G884" s="3" t="s">
        <v>19</v>
      </c>
      <c r="H884" s="3" t="s">
        <v>20</v>
      </c>
      <c r="I884" s="5">
        <v>7165.65</v>
      </c>
      <c r="J884" s="4">
        <v>5</v>
      </c>
      <c r="K884" s="1">
        <v>29</v>
      </c>
      <c r="L884" s="4">
        <v>903.11</v>
      </c>
      <c r="M884" s="3" t="s">
        <v>51</v>
      </c>
      <c r="N884" s="3" t="s">
        <v>44</v>
      </c>
    </row>
    <row r="885" spans="1:14" x14ac:dyDescent="0.3">
      <c r="A885" s="3" t="s">
        <v>965</v>
      </c>
      <c r="B885" s="2">
        <v>45510</v>
      </c>
      <c r="C885" s="3" t="s">
        <v>30</v>
      </c>
      <c r="D885" s="3" t="s">
        <v>56</v>
      </c>
      <c r="E885" s="3" t="s">
        <v>61</v>
      </c>
      <c r="F885" s="3" t="s">
        <v>62</v>
      </c>
      <c r="G885" s="3" t="s">
        <v>80</v>
      </c>
      <c r="H885" s="3" t="s">
        <v>81</v>
      </c>
      <c r="I885" s="5">
        <v>15267.52</v>
      </c>
      <c r="J885" s="4">
        <v>8</v>
      </c>
      <c r="K885" s="1">
        <v>5</v>
      </c>
      <c r="L885" s="4">
        <v>1279.6099999999999</v>
      </c>
      <c r="M885" s="3" t="s">
        <v>51</v>
      </c>
      <c r="N885" s="3" t="s">
        <v>40</v>
      </c>
    </row>
    <row r="886" spans="1:14" x14ac:dyDescent="0.3">
      <c r="A886" s="3" t="s">
        <v>966</v>
      </c>
      <c r="B886" s="2">
        <v>45485</v>
      </c>
      <c r="C886" s="3" t="s">
        <v>30</v>
      </c>
      <c r="D886" s="3" t="s">
        <v>16</v>
      </c>
      <c r="E886" s="3" t="s">
        <v>25</v>
      </c>
      <c r="F886" s="3" t="s">
        <v>18</v>
      </c>
      <c r="G886" s="3" t="s">
        <v>19</v>
      </c>
      <c r="H886" s="3" t="s">
        <v>20</v>
      </c>
      <c r="I886" s="5">
        <v>1977.18</v>
      </c>
      <c r="J886" s="4">
        <v>2</v>
      </c>
      <c r="K886" s="1">
        <v>16</v>
      </c>
      <c r="L886" s="4">
        <v>93.63</v>
      </c>
      <c r="M886" s="3" t="s">
        <v>51</v>
      </c>
      <c r="N886" s="3" t="s">
        <v>44</v>
      </c>
    </row>
    <row r="887" spans="1:14" x14ac:dyDescent="0.3">
      <c r="A887" s="3" t="s">
        <v>967</v>
      </c>
      <c r="B887" s="2">
        <v>45778</v>
      </c>
      <c r="C887" s="3" t="s">
        <v>101</v>
      </c>
      <c r="D887" s="3" t="s">
        <v>16</v>
      </c>
      <c r="E887" s="3" t="s">
        <v>25</v>
      </c>
      <c r="F887" s="3" t="s">
        <v>62</v>
      </c>
      <c r="G887" s="3" t="s">
        <v>63</v>
      </c>
      <c r="H887" s="3" t="s">
        <v>64</v>
      </c>
      <c r="I887" s="5">
        <v>6201.7</v>
      </c>
      <c r="J887" s="4">
        <v>5</v>
      </c>
      <c r="K887" s="1">
        <v>15</v>
      </c>
      <c r="L887" s="4">
        <v>1298.6199999999999</v>
      </c>
      <c r="M887" s="3" t="s">
        <v>21</v>
      </c>
      <c r="N887" s="3" t="s">
        <v>40</v>
      </c>
    </row>
    <row r="888" spans="1:14" x14ac:dyDescent="0.3">
      <c r="A888" s="3" t="s">
        <v>968</v>
      </c>
      <c r="B888" s="2">
        <v>45433</v>
      </c>
      <c r="C888" s="3" t="s">
        <v>37</v>
      </c>
      <c r="D888" s="3" t="s">
        <v>89</v>
      </c>
      <c r="E888" s="3" t="s">
        <v>90</v>
      </c>
      <c r="F888" s="3" t="s">
        <v>62</v>
      </c>
      <c r="G888" s="3" t="s">
        <v>63</v>
      </c>
      <c r="H888" s="3" t="s">
        <v>64</v>
      </c>
      <c r="I888" s="5">
        <v>3568.92</v>
      </c>
      <c r="J888" s="4">
        <v>6</v>
      </c>
      <c r="K888" s="1">
        <v>19</v>
      </c>
      <c r="L888" s="4">
        <v>234.81</v>
      </c>
      <c r="M888" s="3" t="s">
        <v>51</v>
      </c>
      <c r="N888" s="3" t="s">
        <v>35</v>
      </c>
    </row>
    <row r="889" spans="1:14" x14ac:dyDescent="0.3">
      <c r="A889" s="3" t="s">
        <v>969</v>
      </c>
      <c r="B889" s="2">
        <v>45469</v>
      </c>
      <c r="C889" s="3" t="s">
        <v>101</v>
      </c>
      <c r="D889" s="3" t="s">
        <v>56</v>
      </c>
      <c r="E889" s="3" t="s">
        <v>61</v>
      </c>
      <c r="F889" s="3" t="s">
        <v>32</v>
      </c>
      <c r="G889" s="3" t="s">
        <v>47</v>
      </c>
      <c r="H889" s="3" t="s">
        <v>48</v>
      </c>
      <c r="I889" s="5">
        <v>6698.4</v>
      </c>
      <c r="J889" s="4">
        <v>10</v>
      </c>
      <c r="K889" s="1">
        <v>22</v>
      </c>
      <c r="L889" s="4">
        <v>1088.74</v>
      </c>
      <c r="M889" s="3" t="s">
        <v>21</v>
      </c>
      <c r="N889" s="3" t="s">
        <v>22</v>
      </c>
    </row>
    <row r="890" spans="1:14" x14ac:dyDescent="0.3">
      <c r="A890" s="3" t="s">
        <v>970</v>
      </c>
      <c r="B890" s="2">
        <v>45563</v>
      </c>
      <c r="C890" s="3" t="s">
        <v>73</v>
      </c>
      <c r="D890" s="3" t="s">
        <v>56</v>
      </c>
      <c r="E890" s="3" t="s">
        <v>57</v>
      </c>
      <c r="F890" s="3" t="s">
        <v>32</v>
      </c>
      <c r="G890" s="3" t="s">
        <v>47</v>
      </c>
      <c r="H890" s="3" t="s">
        <v>48</v>
      </c>
      <c r="I890" s="5">
        <v>8369.76</v>
      </c>
      <c r="J890" s="4">
        <v>6</v>
      </c>
      <c r="K890" s="1">
        <v>2</v>
      </c>
      <c r="L890" s="4">
        <v>434.92</v>
      </c>
      <c r="M890" s="3" t="s">
        <v>51</v>
      </c>
      <c r="N890" s="3" t="s">
        <v>40</v>
      </c>
    </row>
    <row r="891" spans="1:14" x14ac:dyDescent="0.3">
      <c r="A891" s="3" t="s">
        <v>971</v>
      </c>
      <c r="B891" s="2">
        <v>45513</v>
      </c>
      <c r="C891" s="3" t="s">
        <v>84</v>
      </c>
      <c r="D891" s="3" t="s">
        <v>89</v>
      </c>
      <c r="E891" s="3" t="s">
        <v>140</v>
      </c>
      <c r="F891" s="3" t="s">
        <v>62</v>
      </c>
      <c r="G891" s="3" t="s">
        <v>67</v>
      </c>
      <c r="H891" s="3" t="s">
        <v>68</v>
      </c>
      <c r="I891" s="5">
        <v>1410.56</v>
      </c>
      <c r="J891" s="4">
        <v>4</v>
      </c>
      <c r="K891" s="1">
        <v>17</v>
      </c>
      <c r="L891" s="4">
        <v>177.21</v>
      </c>
      <c r="M891" s="3" t="s">
        <v>51</v>
      </c>
      <c r="N891" s="3" t="s">
        <v>22</v>
      </c>
    </row>
    <row r="892" spans="1:14" x14ac:dyDescent="0.3">
      <c r="A892" s="3" t="s">
        <v>972</v>
      </c>
      <c r="B892" s="2">
        <v>45766</v>
      </c>
      <c r="C892" s="3" t="s">
        <v>66</v>
      </c>
      <c r="D892" s="3" t="s">
        <v>89</v>
      </c>
      <c r="E892" s="3" t="s">
        <v>102</v>
      </c>
      <c r="F892" s="3" t="s">
        <v>18</v>
      </c>
      <c r="G892" s="3" t="s">
        <v>94</v>
      </c>
      <c r="H892" s="3" t="s">
        <v>95</v>
      </c>
      <c r="I892" s="5">
        <v>170.18</v>
      </c>
      <c r="J892" s="4">
        <v>1</v>
      </c>
      <c r="K892" s="1">
        <v>27</v>
      </c>
      <c r="L892" s="4">
        <v>22.09</v>
      </c>
      <c r="M892" s="3" t="s">
        <v>28</v>
      </c>
      <c r="N892" s="3" t="s">
        <v>22</v>
      </c>
    </row>
    <row r="893" spans="1:14" x14ac:dyDescent="0.3">
      <c r="A893" s="3" t="s">
        <v>973</v>
      </c>
      <c r="B893" s="2">
        <v>45731</v>
      </c>
      <c r="C893" s="3" t="s">
        <v>70</v>
      </c>
      <c r="D893" s="3" t="s">
        <v>16</v>
      </c>
      <c r="E893" s="3" t="s">
        <v>17</v>
      </c>
      <c r="F893" s="3" t="s">
        <v>18</v>
      </c>
      <c r="G893" s="3" t="s">
        <v>19</v>
      </c>
      <c r="H893" s="3" t="s">
        <v>20</v>
      </c>
      <c r="I893" s="5">
        <v>1095.8399999999999</v>
      </c>
      <c r="J893" s="4">
        <v>9</v>
      </c>
      <c r="K893" s="1">
        <v>21</v>
      </c>
      <c r="L893" s="4">
        <v>148.99</v>
      </c>
      <c r="M893" s="3" t="s">
        <v>51</v>
      </c>
      <c r="N893" s="3" t="s">
        <v>44</v>
      </c>
    </row>
    <row r="894" spans="1:14" x14ac:dyDescent="0.3">
      <c r="A894" s="3" t="s">
        <v>974</v>
      </c>
      <c r="B894" s="2">
        <v>45691</v>
      </c>
      <c r="C894" s="3" t="s">
        <v>37</v>
      </c>
      <c r="D894" s="3" t="s">
        <v>89</v>
      </c>
      <c r="E894" s="3" t="s">
        <v>116</v>
      </c>
      <c r="F894" s="3" t="s">
        <v>32</v>
      </c>
      <c r="G894" s="3" t="s">
        <v>33</v>
      </c>
      <c r="H894" s="3" t="s">
        <v>34</v>
      </c>
      <c r="I894" s="5">
        <v>871.26</v>
      </c>
      <c r="J894" s="4">
        <v>3</v>
      </c>
      <c r="K894" s="1">
        <v>12</v>
      </c>
      <c r="L894" s="4">
        <v>166.77</v>
      </c>
      <c r="M894" s="3" t="s">
        <v>51</v>
      </c>
      <c r="N894" s="3" t="s">
        <v>44</v>
      </c>
    </row>
    <row r="895" spans="1:14" x14ac:dyDescent="0.3">
      <c r="A895" s="3" t="s">
        <v>975</v>
      </c>
      <c r="B895" s="2">
        <v>45787</v>
      </c>
      <c r="C895" s="3" t="s">
        <v>42</v>
      </c>
      <c r="D895" s="3" t="s">
        <v>56</v>
      </c>
      <c r="E895" s="3" t="s">
        <v>61</v>
      </c>
      <c r="F895" s="3" t="s">
        <v>32</v>
      </c>
      <c r="G895" s="3" t="s">
        <v>112</v>
      </c>
      <c r="H895" s="3" t="s">
        <v>113</v>
      </c>
      <c r="I895" s="5">
        <v>822.07</v>
      </c>
      <c r="J895" s="4">
        <v>1</v>
      </c>
      <c r="K895" s="1">
        <v>27</v>
      </c>
      <c r="L895" s="4">
        <v>62.91</v>
      </c>
      <c r="M895" s="3" t="s">
        <v>51</v>
      </c>
      <c r="N895" s="3" t="s">
        <v>44</v>
      </c>
    </row>
    <row r="896" spans="1:14" x14ac:dyDescent="0.3">
      <c r="A896" s="3" t="s">
        <v>976</v>
      </c>
      <c r="B896" s="2">
        <v>45495</v>
      </c>
      <c r="C896" s="3" t="s">
        <v>73</v>
      </c>
      <c r="D896" s="3" t="s">
        <v>38</v>
      </c>
      <c r="E896" s="3" t="s">
        <v>39</v>
      </c>
      <c r="F896" s="3" t="s">
        <v>32</v>
      </c>
      <c r="G896" s="3" t="s">
        <v>112</v>
      </c>
      <c r="H896" s="3" t="s">
        <v>113</v>
      </c>
      <c r="I896" s="5">
        <v>3441.33</v>
      </c>
      <c r="J896" s="4">
        <v>9</v>
      </c>
      <c r="K896" s="1">
        <v>6</v>
      </c>
      <c r="L896" s="4">
        <v>782.56</v>
      </c>
      <c r="M896" s="3" t="s">
        <v>21</v>
      </c>
      <c r="N896" s="3" t="s">
        <v>40</v>
      </c>
    </row>
    <row r="897" spans="1:14" x14ac:dyDescent="0.3">
      <c r="A897" s="3" t="s">
        <v>977</v>
      </c>
      <c r="B897" s="2">
        <v>45681</v>
      </c>
      <c r="C897" s="3" t="s">
        <v>50</v>
      </c>
      <c r="D897" s="3" t="s">
        <v>38</v>
      </c>
      <c r="E897" s="3" t="s">
        <v>39</v>
      </c>
      <c r="F897" s="3" t="s">
        <v>32</v>
      </c>
      <c r="G897" s="3" t="s">
        <v>58</v>
      </c>
      <c r="H897" s="3" t="s">
        <v>59</v>
      </c>
      <c r="I897" s="5">
        <v>1200.55</v>
      </c>
      <c r="J897" s="4">
        <v>1</v>
      </c>
      <c r="K897" s="1">
        <v>3</v>
      </c>
      <c r="L897" s="4">
        <v>172.11</v>
      </c>
      <c r="M897" s="3" t="s">
        <v>28</v>
      </c>
      <c r="N897" s="3" t="s">
        <v>40</v>
      </c>
    </row>
    <row r="898" spans="1:14" x14ac:dyDescent="0.3">
      <c r="A898" s="3" t="s">
        <v>978</v>
      </c>
      <c r="B898" s="2">
        <v>45608</v>
      </c>
      <c r="C898" s="3" t="s">
        <v>73</v>
      </c>
      <c r="D898" s="3" t="s">
        <v>38</v>
      </c>
      <c r="E898" s="3" t="s">
        <v>43</v>
      </c>
      <c r="F898" s="3" t="s">
        <v>62</v>
      </c>
      <c r="G898" s="3" t="s">
        <v>67</v>
      </c>
      <c r="H898" s="3" t="s">
        <v>68</v>
      </c>
      <c r="I898" s="5">
        <v>3094.84</v>
      </c>
      <c r="J898" s="4">
        <v>7</v>
      </c>
      <c r="K898" s="1">
        <v>10</v>
      </c>
      <c r="L898" s="4">
        <v>416.86</v>
      </c>
      <c r="M898" s="3" t="s">
        <v>28</v>
      </c>
      <c r="N898" s="3" t="s">
        <v>44</v>
      </c>
    </row>
    <row r="899" spans="1:14" x14ac:dyDescent="0.3">
      <c r="A899" s="3" t="s">
        <v>979</v>
      </c>
      <c r="B899" s="2">
        <v>45728</v>
      </c>
      <c r="C899" s="3" t="s">
        <v>99</v>
      </c>
      <c r="D899" s="3" t="s">
        <v>89</v>
      </c>
      <c r="E899" s="3" t="s">
        <v>116</v>
      </c>
      <c r="F899" s="3" t="s">
        <v>62</v>
      </c>
      <c r="G899" s="3" t="s">
        <v>67</v>
      </c>
      <c r="H899" s="3" t="s">
        <v>68</v>
      </c>
      <c r="I899" s="5">
        <v>5350.59</v>
      </c>
      <c r="J899" s="4">
        <v>7</v>
      </c>
      <c r="K899" s="1">
        <v>11</v>
      </c>
      <c r="L899" s="4">
        <v>1184.03</v>
      </c>
      <c r="M899" s="3" t="s">
        <v>21</v>
      </c>
      <c r="N899" s="3" t="s">
        <v>35</v>
      </c>
    </row>
    <row r="900" spans="1:14" x14ac:dyDescent="0.3">
      <c r="A900" s="3" t="s">
        <v>980</v>
      </c>
      <c r="B900" s="2">
        <v>45431</v>
      </c>
      <c r="C900" s="3" t="s">
        <v>50</v>
      </c>
      <c r="D900" s="3" t="s">
        <v>16</v>
      </c>
      <c r="E900" s="3" t="s">
        <v>31</v>
      </c>
      <c r="F900" s="3" t="s">
        <v>32</v>
      </c>
      <c r="G900" s="3" t="s">
        <v>58</v>
      </c>
      <c r="H900" s="3" t="s">
        <v>59</v>
      </c>
      <c r="I900" s="5">
        <v>17243.37</v>
      </c>
      <c r="J900" s="4">
        <v>9</v>
      </c>
      <c r="K900" s="1">
        <v>17</v>
      </c>
      <c r="L900" s="4">
        <v>2074.2800000000002</v>
      </c>
      <c r="M900" s="3" t="s">
        <v>28</v>
      </c>
      <c r="N900" s="3" t="s">
        <v>44</v>
      </c>
    </row>
    <row r="901" spans="1:14" x14ac:dyDescent="0.3">
      <c r="A901" s="3" t="s">
        <v>981</v>
      </c>
      <c r="B901" s="2">
        <v>45645</v>
      </c>
      <c r="C901" s="3" t="s">
        <v>30</v>
      </c>
      <c r="D901" s="3" t="s">
        <v>56</v>
      </c>
      <c r="E901" s="3" t="s">
        <v>61</v>
      </c>
      <c r="F901" s="3" t="s">
        <v>62</v>
      </c>
      <c r="G901" s="3" t="s">
        <v>67</v>
      </c>
      <c r="H901" s="3" t="s">
        <v>68</v>
      </c>
      <c r="I901" s="5">
        <v>424.17</v>
      </c>
      <c r="J901" s="4">
        <v>3</v>
      </c>
      <c r="K901" s="1">
        <v>13</v>
      </c>
      <c r="L901" s="4">
        <v>76.23</v>
      </c>
      <c r="M901" s="3" t="s">
        <v>28</v>
      </c>
      <c r="N901" s="3" t="s">
        <v>44</v>
      </c>
    </row>
    <row r="902" spans="1:14" x14ac:dyDescent="0.3">
      <c r="A902" s="3" t="s">
        <v>982</v>
      </c>
      <c r="B902" s="2">
        <v>45690</v>
      </c>
      <c r="C902" s="3" t="s">
        <v>66</v>
      </c>
      <c r="D902" s="3" t="s">
        <v>16</v>
      </c>
      <c r="E902" s="3" t="s">
        <v>17</v>
      </c>
      <c r="F902" s="3" t="s">
        <v>18</v>
      </c>
      <c r="G902" s="3" t="s">
        <v>26</v>
      </c>
      <c r="H902" s="3" t="s">
        <v>27</v>
      </c>
      <c r="I902" s="5">
        <v>3233.76</v>
      </c>
      <c r="J902" s="4">
        <v>3</v>
      </c>
      <c r="K902" s="1">
        <v>22</v>
      </c>
      <c r="L902" s="4">
        <v>476.6</v>
      </c>
      <c r="M902" s="3" t="s">
        <v>21</v>
      </c>
      <c r="N902" s="3" t="s">
        <v>44</v>
      </c>
    </row>
    <row r="903" spans="1:14" x14ac:dyDescent="0.3">
      <c r="A903" s="3" t="s">
        <v>983</v>
      </c>
      <c r="B903" s="2">
        <v>45536</v>
      </c>
      <c r="C903" s="3" t="s">
        <v>30</v>
      </c>
      <c r="D903" s="3" t="s">
        <v>89</v>
      </c>
      <c r="E903" s="3" t="s">
        <v>102</v>
      </c>
      <c r="F903" s="3" t="s">
        <v>18</v>
      </c>
      <c r="G903" s="3" t="s">
        <v>19</v>
      </c>
      <c r="H903" s="3" t="s">
        <v>20</v>
      </c>
      <c r="I903" s="5">
        <v>3606.3</v>
      </c>
      <c r="J903" s="4">
        <v>5</v>
      </c>
      <c r="K903" s="1">
        <v>23</v>
      </c>
      <c r="L903" s="4">
        <v>322.92</v>
      </c>
      <c r="M903" s="3" t="s">
        <v>51</v>
      </c>
      <c r="N903" s="3" t="s">
        <v>44</v>
      </c>
    </row>
    <row r="904" spans="1:14" x14ac:dyDescent="0.3">
      <c r="A904" s="3" t="s">
        <v>984</v>
      </c>
      <c r="B904" s="2">
        <v>45507</v>
      </c>
      <c r="C904" s="3" t="s">
        <v>30</v>
      </c>
      <c r="D904" s="3" t="s">
        <v>89</v>
      </c>
      <c r="E904" s="3" t="s">
        <v>102</v>
      </c>
      <c r="F904" s="3" t="s">
        <v>32</v>
      </c>
      <c r="G904" s="3" t="s">
        <v>33</v>
      </c>
      <c r="H904" s="3" t="s">
        <v>34</v>
      </c>
      <c r="I904" s="5">
        <v>997.18</v>
      </c>
      <c r="J904" s="4">
        <v>1</v>
      </c>
      <c r="K904" s="1">
        <v>2</v>
      </c>
      <c r="L904" s="4">
        <v>183.03</v>
      </c>
      <c r="M904" s="3" t="s">
        <v>51</v>
      </c>
      <c r="N904" s="3" t="s">
        <v>22</v>
      </c>
    </row>
    <row r="905" spans="1:14" x14ac:dyDescent="0.3">
      <c r="A905" s="3" t="s">
        <v>985</v>
      </c>
      <c r="B905" s="2">
        <v>45763</v>
      </c>
      <c r="C905" s="3" t="s">
        <v>73</v>
      </c>
      <c r="D905" s="3" t="s">
        <v>38</v>
      </c>
      <c r="E905" s="3" t="s">
        <v>71</v>
      </c>
      <c r="F905" s="3" t="s">
        <v>18</v>
      </c>
      <c r="G905" s="3" t="s">
        <v>19</v>
      </c>
      <c r="H905" s="3" t="s">
        <v>20</v>
      </c>
      <c r="I905" s="5">
        <v>10171.040000000001</v>
      </c>
      <c r="J905" s="4">
        <v>8</v>
      </c>
      <c r="K905" s="1">
        <v>0</v>
      </c>
      <c r="L905" s="4">
        <v>1221.69</v>
      </c>
      <c r="M905" s="3" t="s">
        <v>51</v>
      </c>
      <c r="N905" s="3" t="s">
        <v>44</v>
      </c>
    </row>
    <row r="906" spans="1:14" x14ac:dyDescent="0.3">
      <c r="A906" s="3" t="s">
        <v>986</v>
      </c>
      <c r="B906" s="2">
        <v>45642</v>
      </c>
      <c r="C906" s="3" t="s">
        <v>24</v>
      </c>
      <c r="D906" s="3" t="s">
        <v>38</v>
      </c>
      <c r="E906" s="3" t="s">
        <v>43</v>
      </c>
      <c r="F906" s="3" t="s">
        <v>32</v>
      </c>
      <c r="G906" s="3" t="s">
        <v>33</v>
      </c>
      <c r="H906" s="3" t="s">
        <v>34</v>
      </c>
      <c r="I906" s="5">
        <v>1274.55</v>
      </c>
      <c r="J906" s="4">
        <v>5</v>
      </c>
      <c r="K906" s="1">
        <v>13</v>
      </c>
      <c r="L906" s="4">
        <v>230.44</v>
      </c>
      <c r="M906" s="3" t="s">
        <v>51</v>
      </c>
      <c r="N906" s="3" t="s">
        <v>35</v>
      </c>
    </row>
    <row r="907" spans="1:14" x14ac:dyDescent="0.3">
      <c r="A907" s="3" t="s">
        <v>987</v>
      </c>
      <c r="B907" s="2">
        <v>45642</v>
      </c>
      <c r="C907" s="3" t="s">
        <v>37</v>
      </c>
      <c r="D907" s="3" t="s">
        <v>38</v>
      </c>
      <c r="E907" s="3" t="s">
        <v>43</v>
      </c>
      <c r="F907" s="3" t="s">
        <v>18</v>
      </c>
      <c r="G907" s="3" t="s">
        <v>94</v>
      </c>
      <c r="H907" s="3" t="s">
        <v>95</v>
      </c>
      <c r="I907" s="5">
        <v>7379</v>
      </c>
      <c r="J907" s="4">
        <v>10</v>
      </c>
      <c r="K907" s="1">
        <v>29</v>
      </c>
      <c r="L907" s="4">
        <v>818.96</v>
      </c>
      <c r="M907" s="3" t="s">
        <v>51</v>
      </c>
      <c r="N907" s="3" t="s">
        <v>35</v>
      </c>
    </row>
    <row r="908" spans="1:14" x14ac:dyDescent="0.3">
      <c r="A908" s="3" t="s">
        <v>988</v>
      </c>
      <c r="B908" s="2">
        <v>45541</v>
      </c>
      <c r="C908" s="3" t="s">
        <v>50</v>
      </c>
      <c r="D908" s="3" t="s">
        <v>16</v>
      </c>
      <c r="E908" s="3" t="s">
        <v>31</v>
      </c>
      <c r="F908" s="3" t="s">
        <v>62</v>
      </c>
      <c r="G908" s="3" t="s">
        <v>63</v>
      </c>
      <c r="H908" s="3" t="s">
        <v>64</v>
      </c>
      <c r="I908" s="5">
        <v>6047.4</v>
      </c>
      <c r="J908" s="4">
        <v>6</v>
      </c>
      <c r="K908" s="1">
        <v>8</v>
      </c>
      <c r="L908" s="4">
        <v>796.14</v>
      </c>
      <c r="M908" s="3" t="s">
        <v>21</v>
      </c>
      <c r="N908" s="3" t="s">
        <v>35</v>
      </c>
    </row>
    <row r="909" spans="1:14" x14ac:dyDescent="0.3">
      <c r="A909" s="3" t="s">
        <v>989</v>
      </c>
      <c r="B909" s="2">
        <v>45615</v>
      </c>
      <c r="C909" s="3" t="s">
        <v>86</v>
      </c>
      <c r="D909" s="3" t="s">
        <v>89</v>
      </c>
      <c r="E909" s="3" t="s">
        <v>97</v>
      </c>
      <c r="F909" s="3" t="s">
        <v>18</v>
      </c>
      <c r="G909" s="3" t="s">
        <v>19</v>
      </c>
      <c r="H909" s="3" t="s">
        <v>20</v>
      </c>
      <c r="I909" s="5">
        <v>904.52</v>
      </c>
      <c r="J909" s="4">
        <v>4</v>
      </c>
      <c r="K909" s="1">
        <v>19</v>
      </c>
      <c r="L909" s="4">
        <v>108.23</v>
      </c>
      <c r="M909" s="3" t="s">
        <v>21</v>
      </c>
      <c r="N909" s="3" t="s">
        <v>35</v>
      </c>
    </row>
    <row r="910" spans="1:14" x14ac:dyDescent="0.3">
      <c r="A910" s="3" t="s">
        <v>990</v>
      </c>
      <c r="B910" s="2">
        <v>45756</v>
      </c>
      <c r="C910" s="3" t="s">
        <v>37</v>
      </c>
      <c r="D910" s="3" t="s">
        <v>56</v>
      </c>
      <c r="E910" s="3" t="s">
        <v>108</v>
      </c>
      <c r="F910" s="3" t="s">
        <v>32</v>
      </c>
      <c r="G910" s="3" t="s">
        <v>47</v>
      </c>
      <c r="H910" s="3" t="s">
        <v>48</v>
      </c>
      <c r="I910" s="5">
        <v>6434</v>
      </c>
      <c r="J910" s="4">
        <v>4</v>
      </c>
      <c r="K910" s="1">
        <v>5</v>
      </c>
      <c r="L910" s="4">
        <v>563.72</v>
      </c>
      <c r="M910" s="3" t="s">
        <v>21</v>
      </c>
      <c r="N910" s="3" t="s">
        <v>40</v>
      </c>
    </row>
    <row r="911" spans="1:14" x14ac:dyDescent="0.3">
      <c r="A911" s="3" t="s">
        <v>991</v>
      </c>
      <c r="B911" s="2">
        <v>45781</v>
      </c>
      <c r="C911" s="3" t="s">
        <v>101</v>
      </c>
      <c r="D911" s="3" t="s">
        <v>38</v>
      </c>
      <c r="E911" s="3" t="s">
        <v>43</v>
      </c>
      <c r="F911" s="3" t="s">
        <v>18</v>
      </c>
      <c r="G911" s="3" t="s">
        <v>76</v>
      </c>
      <c r="H911" s="3" t="s">
        <v>77</v>
      </c>
      <c r="I911" s="5">
        <v>10950.03</v>
      </c>
      <c r="J911" s="4">
        <v>7</v>
      </c>
      <c r="K911" s="1">
        <v>14</v>
      </c>
      <c r="L911" s="4">
        <v>1930.27</v>
      </c>
      <c r="M911" s="3" t="s">
        <v>21</v>
      </c>
      <c r="N911" s="3" t="s">
        <v>44</v>
      </c>
    </row>
    <row r="912" spans="1:14" x14ac:dyDescent="0.3">
      <c r="A912" s="3" t="s">
        <v>992</v>
      </c>
      <c r="B912" s="2">
        <v>45716</v>
      </c>
      <c r="C912" s="3" t="s">
        <v>86</v>
      </c>
      <c r="D912" s="3" t="s">
        <v>38</v>
      </c>
      <c r="E912" s="3" t="s">
        <v>71</v>
      </c>
      <c r="F912" s="3" t="s">
        <v>62</v>
      </c>
      <c r="G912" s="3" t="s">
        <v>67</v>
      </c>
      <c r="H912" s="3" t="s">
        <v>68</v>
      </c>
      <c r="I912" s="5">
        <v>5807.97</v>
      </c>
      <c r="J912" s="4">
        <v>9</v>
      </c>
      <c r="K912" s="1">
        <v>16</v>
      </c>
      <c r="L912" s="4">
        <v>248.42</v>
      </c>
      <c r="M912" s="3" t="s">
        <v>21</v>
      </c>
      <c r="N912" s="3" t="s">
        <v>40</v>
      </c>
    </row>
    <row r="913" spans="1:14" x14ac:dyDescent="0.3">
      <c r="A913" s="3" t="s">
        <v>993</v>
      </c>
      <c r="B913" s="2">
        <v>45719</v>
      </c>
      <c r="C913" s="3" t="s">
        <v>37</v>
      </c>
      <c r="D913" s="3" t="s">
        <v>38</v>
      </c>
      <c r="E913" s="3" t="s">
        <v>39</v>
      </c>
      <c r="F913" s="3" t="s">
        <v>32</v>
      </c>
      <c r="G913" s="3" t="s">
        <v>112</v>
      </c>
      <c r="H913" s="3" t="s">
        <v>113</v>
      </c>
      <c r="I913" s="5">
        <v>2017.1</v>
      </c>
      <c r="J913" s="4">
        <v>10</v>
      </c>
      <c r="K913" s="1">
        <v>23</v>
      </c>
      <c r="L913" s="4">
        <v>225.15</v>
      </c>
      <c r="M913" s="3" t="s">
        <v>51</v>
      </c>
      <c r="N913" s="3" t="s">
        <v>44</v>
      </c>
    </row>
    <row r="914" spans="1:14" x14ac:dyDescent="0.3">
      <c r="A914" s="3" t="s">
        <v>994</v>
      </c>
      <c r="B914" s="2">
        <v>45655</v>
      </c>
      <c r="C914" s="3" t="s">
        <v>99</v>
      </c>
      <c r="D914" s="3" t="s">
        <v>56</v>
      </c>
      <c r="E914" s="3" t="s">
        <v>108</v>
      </c>
      <c r="F914" s="3" t="s">
        <v>18</v>
      </c>
      <c r="G914" s="3" t="s">
        <v>94</v>
      </c>
      <c r="H914" s="3" t="s">
        <v>95</v>
      </c>
      <c r="I914" s="5">
        <v>8688.33</v>
      </c>
      <c r="J914" s="4">
        <v>7</v>
      </c>
      <c r="K914" s="1">
        <v>0</v>
      </c>
      <c r="L914" s="4">
        <v>569.9</v>
      </c>
      <c r="M914" s="3" t="s">
        <v>51</v>
      </c>
      <c r="N914" s="3" t="s">
        <v>35</v>
      </c>
    </row>
    <row r="915" spans="1:14" x14ac:dyDescent="0.3">
      <c r="A915" s="3" t="s">
        <v>995</v>
      </c>
      <c r="B915" s="2">
        <v>45453</v>
      </c>
      <c r="C915" s="3" t="s">
        <v>42</v>
      </c>
      <c r="D915" s="3" t="s">
        <v>38</v>
      </c>
      <c r="E915" s="3" t="s">
        <v>39</v>
      </c>
      <c r="F915" s="3" t="s">
        <v>32</v>
      </c>
      <c r="G915" s="3" t="s">
        <v>58</v>
      </c>
      <c r="H915" s="3" t="s">
        <v>59</v>
      </c>
      <c r="I915" s="5">
        <v>9049.5</v>
      </c>
      <c r="J915" s="4">
        <v>10</v>
      </c>
      <c r="K915" s="1">
        <v>9</v>
      </c>
      <c r="L915" s="4">
        <v>751.97</v>
      </c>
      <c r="M915" s="3" t="s">
        <v>21</v>
      </c>
      <c r="N915" s="3" t="s">
        <v>44</v>
      </c>
    </row>
    <row r="916" spans="1:14" x14ac:dyDescent="0.3">
      <c r="A916" s="3" t="s">
        <v>996</v>
      </c>
      <c r="B916" s="2">
        <v>45453</v>
      </c>
      <c r="C916" s="3" t="s">
        <v>101</v>
      </c>
      <c r="D916" s="3" t="s">
        <v>38</v>
      </c>
      <c r="E916" s="3" t="s">
        <v>43</v>
      </c>
      <c r="F916" s="3" t="s">
        <v>18</v>
      </c>
      <c r="G916" s="3" t="s">
        <v>19</v>
      </c>
      <c r="H916" s="3" t="s">
        <v>20</v>
      </c>
      <c r="I916" s="5">
        <v>13887.52</v>
      </c>
      <c r="J916" s="4">
        <v>8</v>
      </c>
      <c r="K916" s="1">
        <v>10</v>
      </c>
      <c r="L916" s="4">
        <v>889.19</v>
      </c>
      <c r="M916" s="3" t="s">
        <v>51</v>
      </c>
      <c r="N916" s="3" t="s">
        <v>35</v>
      </c>
    </row>
    <row r="917" spans="1:14" x14ac:dyDescent="0.3">
      <c r="A917" s="3" t="s">
        <v>997</v>
      </c>
      <c r="B917" s="2">
        <v>45670</v>
      </c>
      <c r="C917" s="3" t="s">
        <v>99</v>
      </c>
      <c r="D917" s="3" t="s">
        <v>89</v>
      </c>
      <c r="E917" s="3" t="s">
        <v>102</v>
      </c>
      <c r="F917" s="3" t="s">
        <v>18</v>
      </c>
      <c r="G917" s="3" t="s">
        <v>76</v>
      </c>
      <c r="H917" s="3" t="s">
        <v>77</v>
      </c>
      <c r="I917" s="5">
        <v>1412.78</v>
      </c>
      <c r="J917" s="4">
        <v>2</v>
      </c>
      <c r="K917" s="1">
        <v>27</v>
      </c>
      <c r="L917" s="4">
        <v>133.56</v>
      </c>
      <c r="M917" s="3" t="s">
        <v>28</v>
      </c>
      <c r="N917" s="3" t="s">
        <v>40</v>
      </c>
    </row>
    <row r="918" spans="1:14" x14ac:dyDescent="0.3">
      <c r="A918" s="3" t="s">
        <v>998</v>
      </c>
      <c r="B918" s="2">
        <v>45533</v>
      </c>
      <c r="C918" s="3" t="s">
        <v>84</v>
      </c>
      <c r="D918" s="3" t="s">
        <v>38</v>
      </c>
      <c r="E918" s="3" t="s">
        <v>53</v>
      </c>
      <c r="F918" s="3" t="s">
        <v>18</v>
      </c>
      <c r="G918" s="3" t="s">
        <v>26</v>
      </c>
      <c r="H918" s="3" t="s">
        <v>27</v>
      </c>
      <c r="I918" s="5">
        <v>8595.36</v>
      </c>
      <c r="J918" s="4">
        <v>6</v>
      </c>
      <c r="K918" s="1">
        <v>12</v>
      </c>
      <c r="L918" s="4">
        <v>1266.48</v>
      </c>
      <c r="M918" s="3" t="s">
        <v>51</v>
      </c>
      <c r="N918" s="3" t="s">
        <v>22</v>
      </c>
    </row>
    <row r="919" spans="1:14" x14ac:dyDescent="0.3">
      <c r="A919" s="3" t="s">
        <v>999</v>
      </c>
      <c r="B919" s="2">
        <v>45440</v>
      </c>
      <c r="C919" s="3" t="s">
        <v>101</v>
      </c>
      <c r="D919" s="3" t="s">
        <v>16</v>
      </c>
      <c r="E919" s="3" t="s">
        <v>31</v>
      </c>
      <c r="F919" s="3" t="s">
        <v>18</v>
      </c>
      <c r="G919" s="3" t="s">
        <v>26</v>
      </c>
      <c r="H919" s="3" t="s">
        <v>27</v>
      </c>
      <c r="I919" s="5">
        <v>4603.2</v>
      </c>
      <c r="J919" s="4">
        <v>8</v>
      </c>
      <c r="K919" s="1">
        <v>13</v>
      </c>
      <c r="L919" s="4">
        <v>538.96</v>
      </c>
      <c r="M919" s="3" t="s">
        <v>51</v>
      </c>
      <c r="N919" s="3" t="s">
        <v>40</v>
      </c>
    </row>
    <row r="920" spans="1:14" x14ac:dyDescent="0.3">
      <c r="A920" s="3" t="s">
        <v>1000</v>
      </c>
      <c r="B920" s="2">
        <v>45745</v>
      </c>
      <c r="C920" s="3" t="s">
        <v>37</v>
      </c>
      <c r="D920" s="3" t="s">
        <v>56</v>
      </c>
      <c r="E920" s="3" t="s">
        <v>57</v>
      </c>
      <c r="F920" s="3" t="s">
        <v>32</v>
      </c>
      <c r="G920" s="3" t="s">
        <v>112</v>
      </c>
      <c r="H920" s="3" t="s">
        <v>113</v>
      </c>
      <c r="I920" s="5">
        <v>7423.3</v>
      </c>
      <c r="J920" s="4">
        <v>10</v>
      </c>
      <c r="K920" s="1">
        <v>23</v>
      </c>
      <c r="L920" s="4">
        <v>692.83</v>
      </c>
      <c r="M920" s="3" t="s">
        <v>51</v>
      </c>
      <c r="N920" s="3" t="s">
        <v>35</v>
      </c>
    </row>
    <row r="921" spans="1:14" x14ac:dyDescent="0.3">
      <c r="A921" s="3" t="s">
        <v>1001</v>
      </c>
      <c r="B921" s="2">
        <v>45694</v>
      </c>
      <c r="C921" s="3" t="s">
        <v>84</v>
      </c>
      <c r="D921" s="3" t="s">
        <v>16</v>
      </c>
      <c r="E921" s="3" t="s">
        <v>25</v>
      </c>
      <c r="F921" s="3" t="s">
        <v>32</v>
      </c>
      <c r="G921" s="3" t="s">
        <v>58</v>
      </c>
      <c r="H921" s="3" t="s">
        <v>59</v>
      </c>
      <c r="I921" s="5">
        <v>6911.44</v>
      </c>
      <c r="J921" s="4">
        <v>8</v>
      </c>
      <c r="K921" s="1">
        <v>24</v>
      </c>
      <c r="L921" s="4">
        <v>1287.47</v>
      </c>
      <c r="M921" s="3" t="s">
        <v>51</v>
      </c>
      <c r="N921" s="3" t="s">
        <v>40</v>
      </c>
    </row>
    <row r="922" spans="1:14" x14ac:dyDescent="0.3">
      <c r="A922" s="3" t="s">
        <v>1002</v>
      </c>
      <c r="B922" s="2">
        <v>45777</v>
      </c>
      <c r="C922" s="3" t="s">
        <v>70</v>
      </c>
      <c r="D922" s="3" t="s">
        <v>16</v>
      </c>
      <c r="E922" s="3" t="s">
        <v>25</v>
      </c>
      <c r="F922" s="3" t="s">
        <v>18</v>
      </c>
      <c r="G922" s="3" t="s">
        <v>19</v>
      </c>
      <c r="H922" s="3" t="s">
        <v>20</v>
      </c>
      <c r="I922" s="5">
        <v>5355.98</v>
      </c>
      <c r="J922" s="4">
        <v>7</v>
      </c>
      <c r="K922" s="1">
        <v>16</v>
      </c>
      <c r="L922" s="4">
        <v>491.6</v>
      </c>
      <c r="M922" s="3" t="s">
        <v>28</v>
      </c>
      <c r="N922" s="3" t="s">
        <v>22</v>
      </c>
    </row>
    <row r="923" spans="1:14" x14ac:dyDescent="0.3">
      <c r="A923" s="3" t="s">
        <v>1003</v>
      </c>
      <c r="B923" s="2">
        <v>45498</v>
      </c>
      <c r="C923" s="3" t="s">
        <v>37</v>
      </c>
      <c r="D923" s="3" t="s">
        <v>89</v>
      </c>
      <c r="E923" s="3" t="s">
        <v>97</v>
      </c>
      <c r="F923" s="3" t="s">
        <v>32</v>
      </c>
      <c r="G923" s="3" t="s">
        <v>33</v>
      </c>
      <c r="H923" s="3" t="s">
        <v>34</v>
      </c>
      <c r="I923" s="5">
        <v>1129.52</v>
      </c>
      <c r="J923" s="4">
        <v>1</v>
      </c>
      <c r="K923" s="1">
        <v>7.0000000000000009</v>
      </c>
      <c r="L923" s="4">
        <v>213.39</v>
      </c>
      <c r="M923" s="3" t="s">
        <v>21</v>
      </c>
      <c r="N923" s="3" t="s">
        <v>22</v>
      </c>
    </row>
    <row r="924" spans="1:14" x14ac:dyDescent="0.3">
      <c r="A924" s="3" t="s">
        <v>1004</v>
      </c>
      <c r="B924" s="2">
        <v>45611</v>
      </c>
      <c r="C924" s="3" t="s">
        <v>66</v>
      </c>
      <c r="D924" s="3" t="s">
        <v>16</v>
      </c>
      <c r="E924" s="3" t="s">
        <v>31</v>
      </c>
      <c r="F924" s="3" t="s">
        <v>18</v>
      </c>
      <c r="G924" s="3" t="s">
        <v>19</v>
      </c>
      <c r="H924" s="3" t="s">
        <v>20</v>
      </c>
      <c r="I924" s="5">
        <v>3572.13</v>
      </c>
      <c r="J924" s="4">
        <v>3</v>
      </c>
      <c r="K924" s="1">
        <v>6</v>
      </c>
      <c r="L924" s="4">
        <v>625.66999999999996</v>
      </c>
      <c r="M924" s="3" t="s">
        <v>28</v>
      </c>
      <c r="N924" s="3" t="s">
        <v>22</v>
      </c>
    </row>
    <row r="925" spans="1:14" x14ac:dyDescent="0.3">
      <c r="A925" s="3" t="s">
        <v>1005</v>
      </c>
      <c r="B925" s="2">
        <v>45744</v>
      </c>
      <c r="C925" s="3" t="s">
        <v>50</v>
      </c>
      <c r="D925" s="3" t="s">
        <v>38</v>
      </c>
      <c r="E925" s="3" t="s">
        <v>53</v>
      </c>
      <c r="F925" s="3" t="s">
        <v>18</v>
      </c>
      <c r="G925" s="3" t="s">
        <v>19</v>
      </c>
      <c r="H925" s="3" t="s">
        <v>20</v>
      </c>
      <c r="I925" s="5">
        <v>3581</v>
      </c>
      <c r="J925" s="4">
        <v>5</v>
      </c>
      <c r="K925" s="1">
        <v>10</v>
      </c>
      <c r="L925" s="4">
        <v>589.19000000000005</v>
      </c>
      <c r="M925" s="3" t="s">
        <v>51</v>
      </c>
      <c r="N925" s="3" t="s">
        <v>22</v>
      </c>
    </row>
    <row r="926" spans="1:14" x14ac:dyDescent="0.3">
      <c r="A926" s="3" t="s">
        <v>1006</v>
      </c>
      <c r="B926" s="2">
        <v>45496</v>
      </c>
      <c r="C926" s="3" t="s">
        <v>70</v>
      </c>
      <c r="D926" s="3" t="s">
        <v>16</v>
      </c>
      <c r="E926" s="3" t="s">
        <v>25</v>
      </c>
      <c r="F926" s="3" t="s">
        <v>18</v>
      </c>
      <c r="G926" s="3" t="s">
        <v>94</v>
      </c>
      <c r="H926" s="3" t="s">
        <v>95</v>
      </c>
      <c r="I926" s="5">
        <v>4371.3900000000003</v>
      </c>
      <c r="J926" s="4">
        <v>9</v>
      </c>
      <c r="K926" s="1">
        <v>23</v>
      </c>
      <c r="L926" s="4">
        <v>677.41</v>
      </c>
      <c r="M926" s="3" t="s">
        <v>28</v>
      </c>
      <c r="N926" s="3" t="s">
        <v>35</v>
      </c>
    </row>
    <row r="927" spans="1:14" x14ac:dyDescent="0.3">
      <c r="A927" s="3" t="s">
        <v>1007</v>
      </c>
      <c r="B927" s="2">
        <v>45546</v>
      </c>
      <c r="C927" s="3" t="s">
        <v>99</v>
      </c>
      <c r="D927" s="3" t="s">
        <v>89</v>
      </c>
      <c r="E927" s="3" t="s">
        <v>97</v>
      </c>
      <c r="F927" s="3" t="s">
        <v>62</v>
      </c>
      <c r="G927" s="3" t="s">
        <v>67</v>
      </c>
      <c r="H927" s="3" t="s">
        <v>68</v>
      </c>
      <c r="I927" s="5">
        <v>6161.6</v>
      </c>
      <c r="J927" s="4">
        <v>10</v>
      </c>
      <c r="K927" s="1">
        <v>29</v>
      </c>
      <c r="L927" s="4">
        <v>627.5</v>
      </c>
      <c r="M927" s="3" t="s">
        <v>28</v>
      </c>
      <c r="N927" s="3" t="s">
        <v>40</v>
      </c>
    </row>
    <row r="928" spans="1:14" x14ac:dyDescent="0.3">
      <c r="A928" s="3" t="s">
        <v>1008</v>
      </c>
      <c r="B928" s="2">
        <v>45649</v>
      </c>
      <c r="C928" s="3" t="s">
        <v>50</v>
      </c>
      <c r="D928" s="3" t="s">
        <v>38</v>
      </c>
      <c r="E928" s="3" t="s">
        <v>43</v>
      </c>
      <c r="F928" s="3" t="s">
        <v>62</v>
      </c>
      <c r="G928" s="3" t="s">
        <v>63</v>
      </c>
      <c r="H928" s="3" t="s">
        <v>64</v>
      </c>
      <c r="I928" s="5">
        <v>14756.5</v>
      </c>
      <c r="J928" s="4">
        <v>10</v>
      </c>
      <c r="K928" s="1">
        <v>11</v>
      </c>
      <c r="L928" s="4">
        <v>767.39</v>
      </c>
      <c r="M928" s="3" t="s">
        <v>51</v>
      </c>
      <c r="N928" s="3" t="s">
        <v>44</v>
      </c>
    </row>
    <row r="929" spans="1:14" x14ac:dyDescent="0.3">
      <c r="A929" s="3" t="s">
        <v>1009</v>
      </c>
      <c r="B929" s="2">
        <v>45553</v>
      </c>
      <c r="C929" s="3" t="s">
        <v>70</v>
      </c>
      <c r="D929" s="3" t="s">
        <v>38</v>
      </c>
      <c r="E929" s="3" t="s">
        <v>39</v>
      </c>
      <c r="F929" s="3" t="s">
        <v>62</v>
      </c>
      <c r="G929" s="3" t="s">
        <v>80</v>
      </c>
      <c r="H929" s="3" t="s">
        <v>81</v>
      </c>
      <c r="I929" s="5">
        <v>3923.31</v>
      </c>
      <c r="J929" s="4">
        <v>3</v>
      </c>
      <c r="K929" s="1">
        <v>13</v>
      </c>
      <c r="L929" s="4">
        <v>717.44</v>
      </c>
      <c r="M929" s="3" t="s">
        <v>51</v>
      </c>
      <c r="N929" s="3" t="s">
        <v>44</v>
      </c>
    </row>
    <row r="930" spans="1:14" x14ac:dyDescent="0.3">
      <c r="A930" s="3" t="s">
        <v>1010</v>
      </c>
      <c r="B930" s="2">
        <v>45639</v>
      </c>
      <c r="C930" s="3" t="s">
        <v>75</v>
      </c>
      <c r="D930" s="3" t="s">
        <v>16</v>
      </c>
      <c r="E930" s="3" t="s">
        <v>17</v>
      </c>
      <c r="F930" s="3" t="s">
        <v>62</v>
      </c>
      <c r="G930" s="3" t="s">
        <v>80</v>
      </c>
      <c r="H930" s="3" t="s">
        <v>81</v>
      </c>
      <c r="I930" s="5">
        <v>7072.12</v>
      </c>
      <c r="J930" s="4">
        <v>4</v>
      </c>
      <c r="K930" s="1">
        <v>25</v>
      </c>
      <c r="L930" s="4">
        <v>820.47</v>
      </c>
      <c r="M930" s="3" t="s">
        <v>28</v>
      </c>
      <c r="N930" s="3" t="s">
        <v>22</v>
      </c>
    </row>
    <row r="931" spans="1:14" x14ac:dyDescent="0.3">
      <c r="A931" s="3" t="s">
        <v>1011</v>
      </c>
      <c r="B931" s="2">
        <v>45728</v>
      </c>
      <c r="C931" s="3" t="s">
        <v>75</v>
      </c>
      <c r="D931" s="3" t="s">
        <v>16</v>
      </c>
      <c r="E931" s="3" t="s">
        <v>31</v>
      </c>
      <c r="F931" s="3" t="s">
        <v>62</v>
      </c>
      <c r="G931" s="3" t="s">
        <v>63</v>
      </c>
      <c r="H931" s="3" t="s">
        <v>64</v>
      </c>
      <c r="I931" s="5">
        <v>9693</v>
      </c>
      <c r="J931" s="4">
        <v>5</v>
      </c>
      <c r="K931" s="1">
        <v>15</v>
      </c>
      <c r="L931" s="4">
        <v>1697.4</v>
      </c>
      <c r="M931" s="3" t="s">
        <v>28</v>
      </c>
      <c r="N931" s="3" t="s">
        <v>40</v>
      </c>
    </row>
    <row r="932" spans="1:14" x14ac:dyDescent="0.3">
      <c r="A932" s="3" t="s">
        <v>1012</v>
      </c>
      <c r="B932" s="2">
        <v>45747</v>
      </c>
      <c r="C932" s="3" t="s">
        <v>50</v>
      </c>
      <c r="D932" s="3" t="s">
        <v>56</v>
      </c>
      <c r="E932" s="3" t="s">
        <v>61</v>
      </c>
      <c r="F932" s="3" t="s">
        <v>62</v>
      </c>
      <c r="G932" s="3" t="s">
        <v>63</v>
      </c>
      <c r="H932" s="3" t="s">
        <v>64</v>
      </c>
      <c r="I932" s="5">
        <v>1899.69</v>
      </c>
      <c r="J932" s="4">
        <v>3</v>
      </c>
      <c r="K932" s="1">
        <v>24</v>
      </c>
      <c r="L932" s="4">
        <v>213.32</v>
      </c>
      <c r="M932" s="3" t="s">
        <v>21</v>
      </c>
      <c r="N932" s="3" t="s">
        <v>35</v>
      </c>
    </row>
    <row r="933" spans="1:14" x14ac:dyDescent="0.3">
      <c r="A933" s="3" t="s">
        <v>1013</v>
      </c>
      <c r="B933" s="2">
        <v>45609</v>
      </c>
      <c r="C933" s="3" t="s">
        <v>66</v>
      </c>
      <c r="D933" s="3" t="s">
        <v>16</v>
      </c>
      <c r="E933" s="3" t="s">
        <v>31</v>
      </c>
      <c r="F933" s="3" t="s">
        <v>18</v>
      </c>
      <c r="G933" s="3" t="s">
        <v>94</v>
      </c>
      <c r="H933" s="3" t="s">
        <v>95</v>
      </c>
      <c r="I933" s="5">
        <v>1414.4</v>
      </c>
      <c r="J933" s="4">
        <v>10</v>
      </c>
      <c r="K933" s="1">
        <v>19</v>
      </c>
      <c r="L933" s="4">
        <v>155.97999999999999</v>
      </c>
      <c r="M933" s="3" t="s">
        <v>51</v>
      </c>
      <c r="N933" s="3" t="s">
        <v>40</v>
      </c>
    </row>
    <row r="934" spans="1:14" x14ac:dyDescent="0.3">
      <c r="A934" s="3" t="s">
        <v>1014</v>
      </c>
      <c r="B934" s="2">
        <v>45772</v>
      </c>
      <c r="C934" s="3" t="s">
        <v>66</v>
      </c>
      <c r="D934" s="3" t="s">
        <v>38</v>
      </c>
      <c r="E934" s="3" t="s">
        <v>43</v>
      </c>
      <c r="F934" s="3" t="s">
        <v>62</v>
      </c>
      <c r="G934" s="3" t="s">
        <v>67</v>
      </c>
      <c r="H934" s="3" t="s">
        <v>68</v>
      </c>
      <c r="I934" s="5">
        <v>9395.2800000000007</v>
      </c>
      <c r="J934" s="4">
        <v>6</v>
      </c>
      <c r="K934" s="1">
        <v>21</v>
      </c>
      <c r="L934" s="4">
        <v>756.37</v>
      </c>
      <c r="M934" s="3" t="s">
        <v>28</v>
      </c>
      <c r="N934" s="3" t="s">
        <v>35</v>
      </c>
    </row>
    <row r="935" spans="1:14" x14ac:dyDescent="0.3">
      <c r="A935" s="3" t="s">
        <v>1015</v>
      </c>
      <c r="B935" s="2">
        <v>45663</v>
      </c>
      <c r="C935" s="3" t="s">
        <v>86</v>
      </c>
      <c r="D935" s="3" t="s">
        <v>56</v>
      </c>
      <c r="E935" s="3" t="s">
        <v>108</v>
      </c>
      <c r="F935" s="3" t="s">
        <v>18</v>
      </c>
      <c r="G935" s="3" t="s">
        <v>26</v>
      </c>
      <c r="H935" s="3" t="s">
        <v>27</v>
      </c>
      <c r="I935" s="5">
        <v>11818.26</v>
      </c>
      <c r="J935" s="4">
        <v>6</v>
      </c>
      <c r="K935" s="1">
        <v>15</v>
      </c>
      <c r="L935" s="4">
        <v>2022.04</v>
      </c>
      <c r="M935" s="3" t="s">
        <v>51</v>
      </c>
      <c r="N935" s="3" t="s">
        <v>44</v>
      </c>
    </row>
    <row r="936" spans="1:14" x14ac:dyDescent="0.3">
      <c r="A936" s="3" t="s">
        <v>1016</v>
      </c>
      <c r="B936" s="2">
        <v>45683</v>
      </c>
      <c r="C936" s="3" t="s">
        <v>42</v>
      </c>
      <c r="D936" s="3" t="s">
        <v>56</v>
      </c>
      <c r="E936" s="3" t="s">
        <v>57</v>
      </c>
      <c r="F936" s="3" t="s">
        <v>32</v>
      </c>
      <c r="G936" s="3" t="s">
        <v>58</v>
      </c>
      <c r="H936" s="3" t="s">
        <v>59</v>
      </c>
      <c r="I936" s="5">
        <v>4266.6000000000004</v>
      </c>
      <c r="J936" s="4">
        <v>6</v>
      </c>
      <c r="K936" s="1">
        <v>9</v>
      </c>
      <c r="L936" s="4">
        <v>216.06</v>
      </c>
      <c r="M936" s="3" t="s">
        <v>28</v>
      </c>
      <c r="N936" s="3" t="s">
        <v>35</v>
      </c>
    </row>
    <row r="937" spans="1:14" x14ac:dyDescent="0.3">
      <c r="A937" s="3" t="s">
        <v>1017</v>
      </c>
      <c r="B937" s="2">
        <v>45575</v>
      </c>
      <c r="C937" s="3" t="s">
        <v>24</v>
      </c>
      <c r="D937" s="3" t="s">
        <v>56</v>
      </c>
      <c r="E937" s="3" t="s">
        <v>108</v>
      </c>
      <c r="F937" s="3" t="s">
        <v>18</v>
      </c>
      <c r="G937" s="3" t="s">
        <v>76</v>
      </c>
      <c r="H937" s="3" t="s">
        <v>77</v>
      </c>
      <c r="I937" s="5">
        <v>915.78</v>
      </c>
      <c r="J937" s="4">
        <v>6</v>
      </c>
      <c r="K937" s="1">
        <v>29</v>
      </c>
      <c r="L937" s="4">
        <v>106.86</v>
      </c>
      <c r="M937" s="3" t="s">
        <v>21</v>
      </c>
      <c r="N937" s="3" t="s">
        <v>44</v>
      </c>
    </row>
    <row r="938" spans="1:14" x14ac:dyDescent="0.3">
      <c r="A938" s="3" t="s">
        <v>1018</v>
      </c>
      <c r="B938" s="2">
        <v>45446</v>
      </c>
      <c r="C938" s="3" t="s">
        <v>24</v>
      </c>
      <c r="D938" s="3" t="s">
        <v>56</v>
      </c>
      <c r="E938" s="3" t="s">
        <v>61</v>
      </c>
      <c r="F938" s="3" t="s">
        <v>62</v>
      </c>
      <c r="G938" s="3" t="s">
        <v>63</v>
      </c>
      <c r="H938" s="3" t="s">
        <v>64</v>
      </c>
      <c r="I938" s="5">
        <v>6302.55</v>
      </c>
      <c r="J938" s="4">
        <v>5</v>
      </c>
      <c r="K938" s="1">
        <v>22</v>
      </c>
      <c r="L938" s="4">
        <v>898.54</v>
      </c>
      <c r="M938" s="3" t="s">
        <v>51</v>
      </c>
      <c r="N938" s="3" t="s">
        <v>44</v>
      </c>
    </row>
    <row r="939" spans="1:14" x14ac:dyDescent="0.3">
      <c r="A939" s="3" t="s">
        <v>1019</v>
      </c>
      <c r="B939" s="2">
        <v>45659</v>
      </c>
      <c r="C939" s="3" t="s">
        <v>86</v>
      </c>
      <c r="D939" s="3" t="s">
        <v>56</v>
      </c>
      <c r="E939" s="3" t="s">
        <v>57</v>
      </c>
      <c r="F939" s="3" t="s">
        <v>18</v>
      </c>
      <c r="G939" s="3" t="s">
        <v>26</v>
      </c>
      <c r="H939" s="3" t="s">
        <v>27</v>
      </c>
      <c r="I939" s="5">
        <v>1547.52</v>
      </c>
      <c r="J939" s="4">
        <v>8</v>
      </c>
      <c r="K939" s="1">
        <v>1</v>
      </c>
      <c r="L939" s="4">
        <v>255.84</v>
      </c>
      <c r="M939" s="3" t="s">
        <v>28</v>
      </c>
      <c r="N939" s="3" t="s">
        <v>40</v>
      </c>
    </row>
    <row r="940" spans="1:14" x14ac:dyDescent="0.3">
      <c r="A940" s="3" t="s">
        <v>1020</v>
      </c>
      <c r="B940" s="2">
        <v>45554</v>
      </c>
      <c r="C940" s="3" t="s">
        <v>50</v>
      </c>
      <c r="D940" s="3" t="s">
        <v>38</v>
      </c>
      <c r="E940" s="3" t="s">
        <v>39</v>
      </c>
      <c r="F940" s="3" t="s">
        <v>18</v>
      </c>
      <c r="G940" s="3" t="s">
        <v>26</v>
      </c>
      <c r="H940" s="3" t="s">
        <v>27</v>
      </c>
      <c r="I940" s="5">
        <v>2476.7199999999998</v>
      </c>
      <c r="J940" s="4">
        <v>8</v>
      </c>
      <c r="K940" s="1">
        <v>27</v>
      </c>
      <c r="L940" s="4">
        <v>158.77000000000001</v>
      </c>
      <c r="M940" s="3" t="s">
        <v>51</v>
      </c>
      <c r="N940" s="3" t="s">
        <v>22</v>
      </c>
    </row>
    <row r="941" spans="1:14" x14ac:dyDescent="0.3">
      <c r="A941" s="3" t="s">
        <v>1021</v>
      </c>
      <c r="B941" s="2">
        <v>45694</v>
      </c>
      <c r="C941" s="3" t="s">
        <v>30</v>
      </c>
      <c r="D941" s="3" t="s">
        <v>16</v>
      </c>
      <c r="E941" s="3" t="s">
        <v>25</v>
      </c>
      <c r="F941" s="3" t="s">
        <v>62</v>
      </c>
      <c r="G941" s="3" t="s">
        <v>67</v>
      </c>
      <c r="H941" s="3" t="s">
        <v>68</v>
      </c>
      <c r="I941" s="5">
        <v>3057.06</v>
      </c>
      <c r="J941" s="4">
        <v>6</v>
      </c>
      <c r="K941" s="1">
        <v>25</v>
      </c>
      <c r="L941" s="4">
        <v>125.21</v>
      </c>
      <c r="M941" s="3" t="s">
        <v>51</v>
      </c>
      <c r="N941" s="3" t="s">
        <v>44</v>
      </c>
    </row>
    <row r="942" spans="1:14" x14ac:dyDescent="0.3">
      <c r="A942" s="3" t="s">
        <v>1022</v>
      </c>
      <c r="B942" s="2">
        <v>45732</v>
      </c>
      <c r="C942" s="3" t="s">
        <v>37</v>
      </c>
      <c r="D942" s="3" t="s">
        <v>38</v>
      </c>
      <c r="E942" s="3" t="s">
        <v>71</v>
      </c>
      <c r="F942" s="3" t="s">
        <v>32</v>
      </c>
      <c r="G942" s="3" t="s">
        <v>58</v>
      </c>
      <c r="H942" s="3" t="s">
        <v>59</v>
      </c>
      <c r="I942" s="5">
        <v>7195.05</v>
      </c>
      <c r="J942" s="4">
        <v>5</v>
      </c>
      <c r="K942" s="1">
        <v>24</v>
      </c>
      <c r="L942" s="4">
        <v>696.09</v>
      </c>
      <c r="M942" s="3" t="s">
        <v>21</v>
      </c>
      <c r="N942" s="3" t="s">
        <v>35</v>
      </c>
    </row>
    <row r="943" spans="1:14" x14ac:dyDescent="0.3">
      <c r="A943" s="3" t="s">
        <v>1023</v>
      </c>
      <c r="B943" s="2">
        <v>45604</v>
      </c>
      <c r="C943" s="3" t="s">
        <v>101</v>
      </c>
      <c r="D943" s="3" t="s">
        <v>38</v>
      </c>
      <c r="E943" s="3" t="s">
        <v>39</v>
      </c>
      <c r="F943" s="3" t="s">
        <v>32</v>
      </c>
      <c r="G943" s="3" t="s">
        <v>112</v>
      </c>
      <c r="H943" s="3" t="s">
        <v>113</v>
      </c>
      <c r="I943" s="5">
        <v>1055.52</v>
      </c>
      <c r="J943" s="4">
        <v>2</v>
      </c>
      <c r="K943" s="1">
        <v>29</v>
      </c>
      <c r="L943" s="4">
        <v>76.08</v>
      </c>
      <c r="M943" s="3" t="s">
        <v>51</v>
      </c>
      <c r="N943" s="3" t="s">
        <v>35</v>
      </c>
    </row>
    <row r="944" spans="1:14" x14ac:dyDescent="0.3">
      <c r="A944" s="3" t="s">
        <v>1024</v>
      </c>
      <c r="B944" s="2">
        <v>45641</v>
      </c>
      <c r="C944" s="3" t="s">
        <v>84</v>
      </c>
      <c r="D944" s="3" t="s">
        <v>16</v>
      </c>
      <c r="E944" s="3" t="s">
        <v>17</v>
      </c>
      <c r="F944" s="3" t="s">
        <v>18</v>
      </c>
      <c r="G944" s="3" t="s">
        <v>26</v>
      </c>
      <c r="H944" s="3" t="s">
        <v>27</v>
      </c>
      <c r="I944" s="5">
        <v>816.7</v>
      </c>
      <c r="J944" s="4">
        <v>2</v>
      </c>
      <c r="K944" s="1">
        <v>8</v>
      </c>
      <c r="L944" s="4">
        <v>139.36000000000001</v>
      </c>
      <c r="M944" s="3" t="s">
        <v>51</v>
      </c>
      <c r="N944" s="3" t="s">
        <v>44</v>
      </c>
    </row>
    <row r="945" spans="1:14" x14ac:dyDescent="0.3">
      <c r="A945" s="3" t="s">
        <v>1025</v>
      </c>
      <c r="B945" s="2">
        <v>45485</v>
      </c>
      <c r="C945" s="3" t="s">
        <v>30</v>
      </c>
      <c r="D945" s="3" t="s">
        <v>56</v>
      </c>
      <c r="E945" s="3" t="s">
        <v>61</v>
      </c>
      <c r="F945" s="3" t="s">
        <v>18</v>
      </c>
      <c r="G945" s="3" t="s">
        <v>26</v>
      </c>
      <c r="H945" s="3" t="s">
        <v>27</v>
      </c>
      <c r="I945" s="5">
        <v>2143.1999999999998</v>
      </c>
      <c r="J945" s="4">
        <v>2</v>
      </c>
      <c r="K945" s="1">
        <v>17</v>
      </c>
      <c r="L945" s="4">
        <v>402.86</v>
      </c>
      <c r="M945" s="3" t="s">
        <v>51</v>
      </c>
      <c r="N945" s="3" t="s">
        <v>44</v>
      </c>
    </row>
    <row r="946" spans="1:14" x14ac:dyDescent="0.3">
      <c r="A946" s="3" t="s">
        <v>1026</v>
      </c>
      <c r="B946" s="2">
        <v>45623</v>
      </c>
      <c r="C946" s="3" t="s">
        <v>99</v>
      </c>
      <c r="D946" s="3" t="s">
        <v>89</v>
      </c>
      <c r="E946" s="3" t="s">
        <v>90</v>
      </c>
      <c r="F946" s="3" t="s">
        <v>62</v>
      </c>
      <c r="G946" s="3" t="s">
        <v>67</v>
      </c>
      <c r="H946" s="3" t="s">
        <v>68</v>
      </c>
      <c r="I946" s="5">
        <v>5907.3</v>
      </c>
      <c r="J946" s="4">
        <v>6</v>
      </c>
      <c r="K946" s="1">
        <v>25</v>
      </c>
      <c r="L946" s="4">
        <v>679.56</v>
      </c>
      <c r="M946" s="3" t="s">
        <v>28</v>
      </c>
      <c r="N946" s="3" t="s">
        <v>22</v>
      </c>
    </row>
    <row r="947" spans="1:14" x14ac:dyDescent="0.3">
      <c r="A947" s="3" t="s">
        <v>1027</v>
      </c>
      <c r="B947" s="2">
        <v>45701</v>
      </c>
      <c r="C947" s="3" t="s">
        <v>50</v>
      </c>
      <c r="D947" s="3" t="s">
        <v>89</v>
      </c>
      <c r="E947" s="3" t="s">
        <v>97</v>
      </c>
      <c r="F947" s="3" t="s">
        <v>18</v>
      </c>
      <c r="G947" s="3" t="s">
        <v>76</v>
      </c>
      <c r="H947" s="3" t="s">
        <v>77</v>
      </c>
      <c r="I947" s="5">
        <v>15049.6</v>
      </c>
      <c r="J947" s="4">
        <v>8</v>
      </c>
      <c r="K947" s="1">
        <v>17</v>
      </c>
      <c r="L947" s="4">
        <v>2191.15</v>
      </c>
      <c r="M947" s="3" t="s">
        <v>21</v>
      </c>
      <c r="N947" s="3" t="s">
        <v>22</v>
      </c>
    </row>
    <row r="948" spans="1:14" x14ac:dyDescent="0.3">
      <c r="A948" s="3" t="s">
        <v>1028</v>
      </c>
      <c r="B948" s="2">
        <v>45528</v>
      </c>
      <c r="C948" s="3" t="s">
        <v>73</v>
      </c>
      <c r="D948" s="3" t="s">
        <v>38</v>
      </c>
      <c r="E948" s="3" t="s">
        <v>53</v>
      </c>
      <c r="F948" s="3" t="s">
        <v>62</v>
      </c>
      <c r="G948" s="3" t="s">
        <v>63</v>
      </c>
      <c r="H948" s="3" t="s">
        <v>64</v>
      </c>
      <c r="I948" s="5">
        <v>7326.45</v>
      </c>
      <c r="J948" s="4">
        <v>5</v>
      </c>
      <c r="K948" s="1">
        <v>13</v>
      </c>
      <c r="L948" s="4">
        <v>465.92</v>
      </c>
      <c r="M948" s="3" t="s">
        <v>51</v>
      </c>
      <c r="N948" s="3" t="s">
        <v>44</v>
      </c>
    </row>
    <row r="949" spans="1:14" x14ac:dyDescent="0.3">
      <c r="A949" s="3" t="s">
        <v>1029</v>
      </c>
      <c r="B949" s="2">
        <v>45426</v>
      </c>
      <c r="C949" s="3" t="s">
        <v>66</v>
      </c>
      <c r="D949" s="3" t="s">
        <v>56</v>
      </c>
      <c r="E949" s="3" t="s">
        <v>108</v>
      </c>
      <c r="F949" s="3" t="s">
        <v>32</v>
      </c>
      <c r="G949" s="3" t="s">
        <v>33</v>
      </c>
      <c r="H949" s="3" t="s">
        <v>34</v>
      </c>
      <c r="I949" s="5">
        <v>11029.69</v>
      </c>
      <c r="J949" s="4">
        <v>7</v>
      </c>
      <c r="K949" s="1">
        <v>25</v>
      </c>
      <c r="L949" s="4">
        <v>1383.81</v>
      </c>
      <c r="M949" s="3" t="s">
        <v>51</v>
      </c>
      <c r="N949" s="3" t="s">
        <v>40</v>
      </c>
    </row>
    <row r="950" spans="1:14" x14ac:dyDescent="0.3">
      <c r="A950" s="3" t="s">
        <v>1030</v>
      </c>
      <c r="B950" s="2">
        <v>45694</v>
      </c>
      <c r="C950" s="3" t="s">
        <v>15</v>
      </c>
      <c r="D950" s="3" t="s">
        <v>16</v>
      </c>
      <c r="E950" s="3" t="s">
        <v>31</v>
      </c>
      <c r="F950" s="3" t="s">
        <v>32</v>
      </c>
      <c r="G950" s="3" t="s">
        <v>33</v>
      </c>
      <c r="H950" s="3" t="s">
        <v>34</v>
      </c>
      <c r="I950" s="5">
        <v>13069</v>
      </c>
      <c r="J950" s="4">
        <v>10</v>
      </c>
      <c r="K950" s="1">
        <v>29</v>
      </c>
      <c r="L950" s="4">
        <v>924</v>
      </c>
      <c r="M950" s="3" t="s">
        <v>51</v>
      </c>
      <c r="N950" s="3" t="s">
        <v>40</v>
      </c>
    </row>
    <row r="951" spans="1:14" x14ac:dyDescent="0.3">
      <c r="A951" s="3" t="s">
        <v>1031</v>
      </c>
      <c r="B951" s="2">
        <v>45458</v>
      </c>
      <c r="C951" s="3" t="s">
        <v>86</v>
      </c>
      <c r="D951" s="3" t="s">
        <v>16</v>
      </c>
      <c r="E951" s="3" t="s">
        <v>17</v>
      </c>
      <c r="F951" s="3" t="s">
        <v>32</v>
      </c>
      <c r="G951" s="3" t="s">
        <v>33</v>
      </c>
      <c r="H951" s="3" t="s">
        <v>34</v>
      </c>
      <c r="I951" s="5">
        <v>2964.12</v>
      </c>
      <c r="J951" s="4">
        <v>6</v>
      </c>
      <c r="K951" s="1">
        <v>6</v>
      </c>
      <c r="L951" s="4">
        <v>629.6</v>
      </c>
      <c r="M951" s="3" t="s">
        <v>28</v>
      </c>
      <c r="N951" s="3" t="s">
        <v>22</v>
      </c>
    </row>
    <row r="952" spans="1:14" x14ac:dyDescent="0.3">
      <c r="A952" s="3" t="s">
        <v>1032</v>
      </c>
      <c r="B952" s="2">
        <v>45706</v>
      </c>
      <c r="C952" s="3" t="s">
        <v>15</v>
      </c>
      <c r="D952" s="3" t="s">
        <v>89</v>
      </c>
      <c r="E952" s="3" t="s">
        <v>97</v>
      </c>
      <c r="F952" s="3" t="s">
        <v>32</v>
      </c>
      <c r="G952" s="3" t="s">
        <v>112</v>
      </c>
      <c r="H952" s="3" t="s">
        <v>113</v>
      </c>
      <c r="I952" s="5">
        <v>6357.82</v>
      </c>
      <c r="J952" s="4">
        <v>7</v>
      </c>
      <c r="K952" s="1">
        <v>18</v>
      </c>
      <c r="L952" s="4">
        <v>1178.2</v>
      </c>
      <c r="M952" s="3" t="s">
        <v>51</v>
      </c>
      <c r="N952" s="3" t="s">
        <v>40</v>
      </c>
    </row>
    <row r="953" spans="1:14" x14ac:dyDescent="0.3">
      <c r="A953" s="3" t="s">
        <v>1033</v>
      </c>
      <c r="B953" s="2">
        <v>45577</v>
      </c>
      <c r="C953" s="3" t="s">
        <v>84</v>
      </c>
      <c r="D953" s="3" t="s">
        <v>16</v>
      </c>
      <c r="E953" s="3" t="s">
        <v>31</v>
      </c>
      <c r="F953" s="3" t="s">
        <v>32</v>
      </c>
      <c r="G953" s="3" t="s">
        <v>58</v>
      </c>
      <c r="H953" s="3" t="s">
        <v>59</v>
      </c>
      <c r="I953" s="5">
        <v>3449.2</v>
      </c>
      <c r="J953" s="4">
        <v>8</v>
      </c>
      <c r="K953" s="1">
        <v>0</v>
      </c>
      <c r="L953" s="4">
        <v>516.08000000000004</v>
      </c>
      <c r="M953" s="3" t="s">
        <v>21</v>
      </c>
      <c r="N953" s="3" t="s">
        <v>22</v>
      </c>
    </row>
    <row r="954" spans="1:14" x14ac:dyDescent="0.3">
      <c r="A954" s="3" t="s">
        <v>1034</v>
      </c>
      <c r="B954" s="2">
        <v>45584</v>
      </c>
      <c r="C954" s="3" t="s">
        <v>86</v>
      </c>
      <c r="D954" s="3" t="s">
        <v>89</v>
      </c>
      <c r="E954" s="3" t="s">
        <v>97</v>
      </c>
      <c r="F954" s="3" t="s">
        <v>18</v>
      </c>
      <c r="G954" s="3" t="s">
        <v>26</v>
      </c>
      <c r="H954" s="3" t="s">
        <v>27</v>
      </c>
      <c r="I954" s="5">
        <v>12608.1</v>
      </c>
      <c r="J954" s="4">
        <v>10</v>
      </c>
      <c r="K954" s="1">
        <v>22</v>
      </c>
      <c r="L954" s="4">
        <v>824.91</v>
      </c>
      <c r="M954" s="3" t="s">
        <v>21</v>
      </c>
      <c r="N954" s="3" t="s">
        <v>40</v>
      </c>
    </row>
    <row r="955" spans="1:14" x14ac:dyDescent="0.3">
      <c r="A955" s="3" t="s">
        <v>1035</v>
      </c>
      <c r="B955" s="2">
        <v>45614</v>
      </c>
      <c r="C955" s="3" t="s">
        <v>66</v>
      </c>
      <c r="D955" s="3" t="s">
        <v>89</v>
      </c>
      <c r="E955" s="3" t="s">
        <v>116</v>
      </c>
      <c r="F955" s="3" t="s">
        <v>62</v>
      </c>
      <c r="G955" s="3" t="s">
        <v>67</v>
      </c>
      <c r="H955" s="3" t="s">
        <v>68</v>
      </c>
      <c r="I955" s="5">
        <v>11058.57</v>
      </c>
      <c r="J955" s="4">
        <v>9</v>
      </c>
      <c r="K955" s="1">
        <v>16</v>
      </c>
      <c r="L955" s="4">
        <v>1283.49</v>
      </c>
      <c r="M955" s="3" t="s">
        <v>51</v>
      </c>
      <c r="N955" s="3" t="s">
        <v>22</v>
      </c>
    </row>
    <row r="956" spans="1:14" x14ac:dyDescent="0.3">
      <c r="A956" s="3" t="s">
        <v>1036</v>
      </c>
      <c r="B956" s="2">
        <v>45768</v>
      </c>
      <c r="C956" s="3" t="s">
        <v>86</v>
      </c>
      <c r="D956" s="3" t="s">
        <v>38</v>
      </c>
      <c r="E956" s="3" t="s">
        <v>39</v>
      </c>
      <c r="F956" s="3" t="s">
        <v>62</v>
      </c>
      <c r="G956" s="3" t="s">
        <v>80</v>
      </c>
      <c r="H956" s="3" t="s">
        <v>81</v>
      </c>
      <c r="I956" s="5">
        <v>4401.3599999999997</v>
      </c>
      <c r="J956" s="4">
        <v>6</v>
      </c>
      <c r="K956" s="1">
        <v>11</v>
      </c>
      <c r="L956" s="4">
        <v>731.96</v>
      </c>
      <c r="M956" s="3" t="s">
        <v>51</v>
      </c>
      <c r="N956" s="3" t="s">
        <v>22</v>
      </c>
    </row>
    <row r="957" spans="1:14" x14ac:dyDescent="0.3">
      <c r="A957" s="3" t="s">
        <v>1037</v>
      </c>
      <c r="B957" s="2">
        <v>45524</v>
      </c>
      <c r="C957" s="3" t="s">
        <v>99</v>
      </c>
      <c r="D957" s="3" t="s">
        <v>89</v>
      </c>
      <c r="E957" s="3" t="s">
        <v>97</v>
      </c>
      <c r="F957" s="3" t="s">
        <v>18</v>
      </c>
      <c r="G957" s="3" t="s">
        <v>19</v>
      </c>
      <c r="H957" s="3" t="s">
        <v>20</v>
      </c>
      <c r="I957" s="5">
        <v>662.7</v>
      </c>
      <c r="J957" s="4">
        <v>1</v>
      </c>
      <c r="K957" s="1">
        <v>24</v>
      </c>
      <c r="L957" s="4">
        <v>31.44</v>
      </c>
      <c r="M957" s="3" t="s">
        <v>28</v>
      </c>
      <c r="N957" s="3" t="s">
        <v>44</v>
      </c>
    </row>
    <row r="958" spans="1:14" x14ac:dyDescent="0.3">
      <c r="A958" s="3" t="s">
        <v>1038</v>
      </c>
      <c r="B958" s="2">
        <v>45673</v>
      </c>
      <c r="C958" s="3" t="s">
        <v>66</v>
      </c>
      <c r="D958" s="3" t="s">
        <v>16</v>
      </c>
      <c r="E958" s="3" t="s">
        <v>25</v>
      </c>
      <c r="F958" s="3" t="s">
        <v>62</v>
      </c>
      <c r="G958" s="3" t="s">
        <v>80</v>
      </c>
      <c r="H958" s="3" t="s">
        <v>81</v>
      </c>
      <c r="I958" s="5">
        <v>2628.4</v>
      </c>
      <c r="J958" s="4">
        <v>8</v>
      </c>
      <c r="K958" s="1">
        <v>29</v>
      </c>
      <c r="L958" s="4">
        <v>316.01</v>
      </c>
      <c r="M958" s="3" t="s">
        <v>21</v>
      </c>
      <c r="N958" s="3" t="s">
        <v>44</v>
      </c>
    </row>
    <row r="959" spans="1:14" x14ac:dyDescent="0.3">
      <c r="A959" s="3" t="s">
        <v>1039</v>
      </c>
      <c r="B959" s="2">
        <v>45765</v>
      </c>
      <c r="C959" s="3" t="s">
        <v>86</v>
      </c>
      <c r="D959" s="3" t="s">
        <v>38</v>
      </c>
      <c r="E959" s="3" t="s">
        <v>43</v>
      </c>
      <c r="F959" s="3" t="s">
        <v>62</v>
      </c>
      <c r="G959" s="3" t="s">
        <v>80</v>
      </c>
      <c r="H959" s="3" t="s">
        <v>81</v>
      </c>
      <c r="I959" s="5">
        <v>15521.58</v>
      </c>
      <c r="J959" s="4">
        <v>9</v>
      </c>
      <c r="K959" s="1">
        <v>17</v>
      </c>
      <c r="L959" s="4">
        <v>1185.3800000000001</v>
      </c>
      <c r="M959" s="3" t="s">
        <v>21</v>
      </c>
      <c r="N959" s="3" t="s">
        <v>44</v>
      </c>
    </row>
    <row r="960" spans="1:14" x14ac:dyDescent="0.3">
      <c r="A960" s="3" t="s">
        <v>1040</v>
      </c>
      <c r="B960" s="2">
        <v>45490</v>
      </c>
      <c r="C960" s="3" t="s">
        <v>42</v>
      </c>
      <c r="D960" s="3" t="s">
        <v>16</v>
      </c>
      <c r="E960" s="3" t="s">
        <v>25</v>
      </c>
      <c r="F960" s="3" t="s">
        <v>32</v>
      </c>
      <c r="G960" s="3" t="s">
        <v>47</v>
      </c>
      <c r="H960" s="3" t="s">
        <v>48</v>
      </c>
      <c r="I960" s="5">
        <v>3120.86</v>
      </c>
      <c r="J960" s="4">
        <v>2</v>
      </c>
      <c r="K960" s="1">
        <v>20</v>
      </c>
      <c r="L960" s="4">
        <v>316.36</v>
      </c>
      <c r="M960" s="3" t="s">
        <v>51</v>
      </c>
      <c r="N960" s="3" t="s">
        <v>35</v>
      </c>
    </row>
    <row r="961" spans="1:14" x14ac:dyDescent="0.3">
      <c r="A961" s="3" t="s">
        <v>1041</v>
      </c>
      <c r="B961" s="2">
        <v>45453</v>
      </c>
      <c r="C961" s="3" t="s">
        <v>30</v>
      </c>
      <c r="D961" s="3" t="s">
        <v>16</v>
      </c>
      <c r="E961" s="3" t="s">
        <v>31</v>
      </c>
      <c r="F961" s="3" t="s">
        <v>32</v>
      </c>
      <c r="G961" s="3" t="s">
        <v>47</v>
      </c>
      <c r="H961" s="3" t="s">
        <v>48</v>
      </c>
      <c r="I961" s="5">
        <v>984.42</v>
      </c>
      <c r="J961" s="4">
        <v>6</v>
      </c>
      <c r="K961" s="1">
        <v>26</v>
      </c>
      <c r="L961" s="4">
        <v>42.99</v>
      </c>
      <c r="M961" s="3" t="s">
        <v>28</v>
      </c>
      <c r="N961" s="3" t="s">
        <v>40</v>
      </c>
    </row>
    <row r="962" spans="1:14" x14ac:dyDescent="0.3">
      <c r="A962" s="3" t="s">
        <v>1042</v>
      </c>
      <c r="B962" s="2">
        <v>45599</v>
      </c>
      <c r="C962" s="3" t="s">
        <v>15</v>
      </c>
      <c r="D962" s="3" t="s">
        <v>56</v>
      </c>
      <c r="E962" s="3" t="s">
        <v>61</v>
      </c>
      <c r="F962" s="3" t="s">
        <v>32</v>
      </c>
      <c r="G962" s="3" t="s">
        <v>47</v>
      </c>
      <c r="H962" s="3" t="s">
        <v>48</v>
      </c>
      <c r="I962" s="5">
        <v>18866.7</v>
      </c>
      <c r="J962" s="4">
        <v>10</v>
      </c>
      <c r="K962" s="1">
        <v>21</v>
      </c>
      <c r="L962" s="4">
        <v>983.54</v>
      </c>
      <c r="M962" s="3" t="s">
        <v>21</v>
      </c>
      <c r="N962" s="3" t="s">
        <v>22</v>
      </c>
    </row>
    <row r="963" spans="1:14" x14ac:dyDescent="0.3">
      <c r="A963" s="3" t="s">
        <v>1043</v>
      </c>
      <c r="B963" s="2">
        <v>45716</v>
      </c>
      <c r="C963" s="3" t="s">
        <v>101</v>
      </c>
      <c r="D963" s="3" t="s">
        <v>56</v>
      </c>
      <c r="E963" s="3" t="s">
        <v>61</v>
      </c>
      <c r="F963" s="3" t="s">
        <v>62</v>
      </c>
      <c r="G963" s="3" t="s">
        <v>80</v>
      </c>
      <c r="H963" s="3" t="s">
        <v>81</v>
      </c>
      <c r="I963" s="5">
        <v>11023.81</v>
      </c>
      <c r="J963" s="4">
        <v>7</v>
      </c>
      <c r="K963" s="1">
        <v>7.0000000000000009</v>
      </c>
      <c r="L963" s="4">
        <v>1428.42</v>
      </c>
      <c r="M963" s="3" t="s">
        <v>28</v>
      </c>
      <c r="N963" s="3" t="s">
        <v>22</v>
      </c>
    </row>
    <row r="964" spans="1:14" x14ac:dyDescent="0.3">
      <c r="A964" s="3" t="s">
        <v>1044</v>
      </c>
      <c r="B964" s="2">
        <v>45632</v>
      </c>
      <c r="C964" s="3" t="s">
        <v>37</v>
      </c>
      <c r="D964" s="3" t="s">
        <v>16</v>
      </c>
      <c r="E964" s="3" t="s">
        <v>17</v>
      </c>
      <c r="F964" s="3" t="s">
        <v>62</v>
      </c>
      <c r="G964" s="3" t="s">
        <v>63</v>
      </c>
      <c r="H964" s="3" t="s">
        <v>64</v>
      </c>
      <c r="I964" s="5">
        <v>16957.53</v>
      </c>
      <c r="J964" s="4">
        <v>9</v>
      </c>
      <c r="K964" s="1">
        <v>8</v>
      </c>
      <c r="L964" s="4">
        <v>927.62</v>
      </c>
      <c r="M964" s="3" t="s">
        <v>21</v>
      </c>
      <c r="N964" s="3" t="s">
        <v>44</v>
      </c>
    </row>
    <row r="965" spans="1:14" x14ac:dyDescent="0.3">
      <c r="A965" s="3" t="s">
        <v>1045</v>
      </c>
      <c r="B965" s="2">
        <v>45433</v>
      </c>
      <c r="C965" s="3" t="s">
        <v>42</v>
      </c>
      <c r="D965" s="3" t="s">
        <v>38</v>
      </c>
      <c r="E965" s="3" t="s">
        <v>39</v>
      </c>
      <c r="F965" s="3" t="s">
        <v>62</v>
      </c>
      <c r="G965" s="3" t="s">
        <v>80</v>
      </c>
      <c r="H965" s="3" t="s">
        <v>81</v>
      </c>
      <c r="I965" s="5">
        <v>7717.05</v>
      </c>
      <c r="J965" s="4">
        <v>5</v>
      </c>
      <c r="K965" s="1">
        <v>10</v>
      </c>
      <c r="L965" s="4">
        <v>1560.47</v>
      </c>
      <c r="M965" s="3" t="s">
        <v>21</v>
      </c>
      <c r="N965" s="3" t="s">
        <v>35</v>
      </c>
    </row>
    <row r="966" spans="1:14" x14ac:dyDescent="0.3">
      <c r="A966" s="3" t="s">
        <v>1046</v>
      </c>
      <c r="B966" s="2">
        <v>45512</v>
      </c>
      <c r="C966" s="3" t="s">
        <v>30</v>
      </c>
      <c r="D966" s="3" t="s">
        <v>56</v>
      </c>
      <c r="E966" s="3" t="s">
        <v>61</v>
      </c>
      <c r="F966" s="3" t="s">
        <v>62</v>
      </c>
      <c r="G966" s="3" t="s">
        <v>80</v>
      </c>
      <c r="H966" s="3" t="s">
        <v>81</v>
      </c>
      <c r="I966" s="5">
        <v>5451.1</v>
      </c>
      <c r="J966" s="4">
        <v>10</v>
      </c>
      <c r="K966" s="1">
        <v>23</v>
      </c>
      <c r="L966" s="4">
        <v>270.42</v>
      </c>
      <c r="M966" s="3" t="s">
        <v>51</v>
      </c>
      <c r="N966" s="3" t="s">
        <v>22</v>
      </c>
    </row>
    <row r="967" spans="1:14" x14ac:dyDescent="0.3">
      <c r="A967" s="3" t="s">
        <v>1047</v>
      </c>
      <c r="B967" s="2">
        <v>45660</v>
      </c>
      <c r="C967" s="3" t="s">
        <v>133</v>
      </c>
      <c r="D967" s="3" t="s">
        <v>38</v>
      </c>
      <c r="E967" s="3" t="s">
        <v>53</v>
      </c>
      <c r="F967" s="3" t="s">
        <v>18</v>
      </c>
      <c r="G967" s="3" t="s">
        <v>94</v>
      </c>
      <c r="H967" s="3" t="s">
        <v>95</v>
      </c>
      <c r="I967" s="5">
        <v>13162.32</v>
      </c>
      <c r="J967" s="4">
        <v>9</v>
      </c>
      <c r="K967" s="1">
        <v>7.0000000000000009</v>
      </c>
      <c r="L967" s="4">
        <v>620.02</v>
      </c>
      <c r="M967" s="3" t="s">
        <v>21</v>
      </c>
      <c r="N967" s="3" t="s">
        <v>44</v>
      </c>
    </row>
    <row r="968" spans="1:14" x14ac:dyDescent="0.3">
      <c r="A968" s="3" t="s">
        <v>1048</v>
      </c>
      <c r="B968" s="2">
        <v>45727</v>
      </c>
      <c r="C968" s="3" t="s">
        <v>75</v>
      </c>
      <c r="D968" s="3" t="s">
        <v>56</v>
      </c>
      <c r="E968" s="3" t="s">
        <v>61</v>
      </c>
      <c r="F968" s="3" t="s">
        <v>32</v>
      </c>
      <c r="G968" s="3" t="s">
        <v>58</v>
      </c>
      <c r="H968" s="3" t="s">
        <v>59</v>
      </c>
      <c r="I968" s="5">
        <v>3216.72</v>
      </c>
      <c r="J968" s="4">
        <v>6</v>
      </c>
      <c r="K968" s="1">
        <v>17</v>
      </c>
      <c r="L968" s="4">
        <v>198.9</v>
      </c>
      <c r="M968" s="3" t="s">
        <v>28</v>
      </c>
      <c r="N968" s="3" t="s">
        <v>22</v>
      </c>
    </row>
    <row r="969" spans="1:14" x14ac:dyDescent="0.3">
      <c r="A969" s="3" t="s">
        <v>1049</v>
      </c>
      <c r="B969" s="2">
        <v>45515</v>
      </c>
      <c r="C969" s="3" t="s">
        <v>133</v>
      </c>
      <c r="D969" s="3" t="s">
        <v>38</v>
      </c>
      <c r="E969" s="3" t="s">
        <v>39</v>
      </c>
      <c r="F969" s="3" t="s">
        <v>62</v>
      </c>
      <c r="G969" s="3" t="s">
        <v>67</v>
      </c>
      <c r="H969" s="3" t="s">
        <v>68</v>
      </c>
      <c r="I969" s="5">
        <v>3678.6</v>
      </c>
      <c r="J969" s="4">
        <v>4</v>
      </c>
      <c r="K969" s="1">
        <v>29</v>
      </c>
      <c r="L969" s="4">
        <v>216</v>
      </c>
      <c r="M969" s="3" t="s">
        <v>51</v>
      </c>
      <c r="N969" s="3" t="s">
        <v>35</v>
      </c>
    </row>
    <row r="970" spans="1:14" x14ac:dyDescent="0.3">
      <c r="A970" s="3" t="s">
        <v>1050</v>
      </c>
      <c r="B970" s="2">
        <v>45512</v>
      </c>
      <c r="C970" s="3" t="s">
        <v>37</v>
      </c>
      <c r="D970" s="3" t="s">
        <v>89</v>
      </c>
      <c r="E970" s="3" t="s">
        <v>90</v>
      </c>
      <c r="F970" s="3" t="s">
        <v>62</v>
      </c>
      <c r="G970" s="3" t="s">
        <v>103</v>
      </c>
      <c r="H970" s="3" t="s">
        <v>104</v>
      </c>
      <c r="I970" s="5">
        <v>2549.7600000000002</v>
      </c>
      <c r="J970" s="4">
        <v>2</v>
      </c>
      <c r="K970" s="1">
        <v>16</v>
      </c>
      <c r="L970" s="4">
        <v>382.32</v>
      </c>
      <c r="M970" s="3" t="s">
        <v>21</v>
      </c>
      <c r="N970" s="3" t="s">
        <v>40</v>
      </c>
    </row>
    <row r="971" spans="1:14" x14ac:dyDescent="0.3">
      <c r="A971" s="3" t="s">
        <v>1051</v>
      </c>
      <c r="B971" s="2">
        <v>45653</v>
      </c>
      <c r="C971" s="3" t="s">
        <v>75</v>
      </c>
      <c r="D971" s="3" t="s">
        <v>56</v>
      </c>
      <c r="E971" s="3" t="s">
        <v>57</v>
      </c>
      <c r="F971" s="3" t="s">
        <v>62</v>
      </c>
      <c r="G971" s="3" t="s">
        <v>67</v>
      </c>
      <c r="H971" s="3" t="s">
        <v>68</v>
      </c>
      <c r="I971" s="5">
        <v>12784.59</v>
      </c>
      <c r="J971" s="4">
        <v>9</v>
      </c>
      <c r="K971" s="1">
        <v>23</v>
      </c>
      <c r="L971" s="4">
        <v>1064.1400000000001</v>
      </c>
      <c r="M971" s="3" t="s">
        <v>28</v>
      </c>
      <c r="N971" s="3" t="s">
        <v>44</v>
      </c>
    </row>
    <row r="972" spans="1:14" x14ac:dyDescent="0.3">
      <c r="A972" s="3" t="s">
        <v>1052</v>
      </c>
      <c r="B972" s="2">
        <v>45612</v>
      </c>
      <c r="C972" s="3" t="s">
        <v>37</v>
      </c>
      <c r="D972" s="3" t="s">
        <v>89</v>
      </c>
      <c r="E972" s="3" t="s">
        <v>140</v>
      </c>
      <c r="F972" s="3" t="s">
        <v>62</v>
      </c>
      <c r="G972" s="3" t="s">
        <v>80</v>
      </c>
      <c r="H972" s="3" t="s">
        <v>81</v>
      </c>
      <c r="I972" s="5">
        <v>6400.8</v>
      </c>
      <c r="J972" s="4">
        <v>9</v>
      </c>
      <c r="K972" s="1">
        <v>15</v>
      </c>
      <c r="L972" s="4">
        <v>1086.23</v>
      </c>
      <c r="M972" s="3" t="s">
        <v>28</v>
      </c>
      <c r="N972" s="3" t="s">
        <v>44</v>
      </c>
    </row>
    <row r="973" spans="1:14" x14ac:dyDescent="0.3">
      <c r="A973" s="3" t="s">
        <v>1053</v>
      </c>
      <c r="B973" s="2">
        <v>45678</v>
      </c>
      <c r="C973" s="3" t="s">
        <v>66</v>
      </c>
      <c r="D973" s="3" t="s">
        <v>56</v>
      </c>
      <c r="E973" s="3" t="s">
        <v>61</v>
      </c>
      <c r="F973" s="3" t="s">
        <v>62</v>
      </c>
      <c r="G973" s="3" t="s">
        <v>67</v>
      </c>
      <c r="H973" s="3" t="s">
        <v>68</v>
      </c>
      <c r="I973" s="5">
        <v>1641.3</v>
      </c>
      <c r="J973" s="4">
        <v>6</v>
      </c>
      <c r="K973" s="1">
        <v>21</v>
      </c>
      <c r="L973" s="4">
        <v>147.22999999999999</v>
      </c>
      <c r="M973" s="3" t="s">
        <v>51</v>
      </c>
      <c r="N973" s="3" t="s">
        <v>35</v>
      </c>
    </row>
    <row r="974" spans="1:14" x14ac:dyDescent="0.3">
      <c r="A974" s="3" t="s">
        <v>1054</v>
      </c>
      <c r="B974" s="2">
        <v>45774</v>
      </c>
      <c r="C974" s="3" t="s">
        <v>73</v>
      </c>
      <c r="D974" s="3" t="s">
        <v>38</v>
      </c>
      <c r="E974" s="3" t="s">
        <v>71</v>
      </c>
      <c r="F974" s="3" t="s">
        <v>32</v>
      </c>
      <c r="G974" s="3" t="s">
        <v>47</v>
      </c>
      <c r="H974" s="3" t="s">
        <v>48</v>
      </c>
      <c r="I974" s="5">
        <v>11669.4</v>
      </c>
      <c r="J974" s="4">
        <v>9</v>
      </c>
      <c r="K974" s="1">
        <v>9</v>
      </c>
      <c r="L974" s="4">
        <v>879.18</v>
      </c>
      <c r="M974" s="3" t="s">
        <v>28</v>
      </c>
      <c r="N974" s="3" t="s">
        <v>40</v>
      </c>
    </row>
    <row r="975" spans="1:14" x14ac:dyDescent="0.3">
      <c r="A975" s="3" t="s">
        <v>1055</v>
      </c>
      <c r="B975" s="2">
        <v>45710</v>
      </c>
      <c r="C975" s="3" t="s">
        <v>86</v>
      </c>
      <c r="D975" s="3" t="s">
        <v>38</v>
      </c>
      <c r="E975" s="3" t="s">
        <v>71</v>
      </c>
      <c r="F975" s="3" t="s">
        <v>62</v>
      </c>
      <c r="G975" s="3" t="s">
        <v>63</v>
      </c>
      <c r="H975" s="3" t="s">
        <v>64</v>
      </c>
      <c r="I975" s="5">
        <v>12182.1</v>
      </c>
      <c r="J975" s="4">
        <v>10</v>
      </c>
      <c r="K975" s="1">
        <v>11</v>
      </c>
      <c r="L975" s="4">
        <v>1673.58</v>
      </c>
      <c r="M975" s="3" t="s">
        <v>21</v>
      </c>
      <c r="N975" s="3" t="s">
        <v>22</v>
      </c>
    </row>
    <row r="976" spans="1:14" x14ac:dyDescent="0.3">
      <c r="A976" s="3" t="s">
        <v>1056</v>
      </c>
      <c r="B976" s="2">
        <v>45572</v>
      </c>
      <c r="C976" s="3" t="s">
        <v>73</v>
      </c>
      <c r="D976" s="3" t="s">
        <v>89</v>
      </c>
      <c r="E976" s="3" t="s">
        <v>140</v>
      </c>
      <c r="F976" s="3" t="s">
        <v>18</v>
      </c>
      <c r="G976" s="3" t="s">
        <v>19</v>
      </c>
      <c r="H976" s="3" t="s">
        <v>20</v>
      </c>
      <c r="I976" s="5">
        <v>1160.31</v>
      </c>
      <c r="J976" s="4">
        <v>3</v>
      </c>
      <c r="K976" s="1">
        <v>7.0000000000000009</v>
      </c>
      <c r="L976" s="4">
        <v>164.79</v>
      </c>
      <c r="M976" s="3" t="s">
        <v>28</v>
      </c>
      <c r="N976" s="3" t="s">
        <v>22</v>
      </c>
    </row>
    <row r="977" spans="1:14" x14ac:dyDescent="0.3">
      <c r="A977" s="3" t="s">
        <v>1057</v>
      </c>
      <c r="B977" s="2">
        <v>45709</v>
      </c>
      <c r="C977" s="3" t="s">
        <v>24</v>
      </c>
      <c r="D977" s="3" t="s">
        <v>89</v>
      </c>
      <c r="E977" s="3" t="s">
        <v>140</v>
      </c>
      <c r="F977" s="3" t="s">
        <v>32</v>
      </c>
      <c r="G977" s="3" t="s">
        <v>33</v>
      </c>
      <c r="H977" s="3" t="s">
        <v>34</v>
      </c>
      <c r="I977" s="5">
        <v>11867.84</v>
      </c>
      <c r="J977" s="4">
        <v>8</v>
      </c>
      <c r="K977" s="1">
        <v>20</v>
      </c>
      <c r="L977" s="4">
        <v>1893.69</v>
      </c>
      <c r="M977" s="3" t="s">
        <v>51</v>
      </c>
      <c r="N977" s="3" t="s">
        <v>35</v>
      </c>
    </row>
    <row r="978" spans="1:14" x14ac:dyDescent="0.3">
      <c r="A978" s="3" t="s">
        <v>1058</v>
      </c>
      <c r="B978" s="2">
        <v>45706</v>
      </c>
      <c r="C978" s="3" t="s">
        <v>42</v>
      </c>
      <c r="D978" s="3" t="s">
        <v>16</v>
      </c>
      <c r="E978" s="3" t="s">
        <v>17</v>
      </c>
      <c r="F978" s="3" t="s">
        <v>32</v>
      </c>
      <c r="G978" s="3" t="s">
        <v>33</v>
      </c>
      <c r="H978" s="3" t="s">
        <v>34</v>
      </c>
      <c r="I978" s="5">
        <v>5741.89</v>
      </c>
      <c r="J978" s="4">
        <v>7</v>
      </c>
      <c r="K978" s="1">
        <v>13</v>
      </c>
      <c r="L978" s="4">
        <v>877.84</v>
      </c>
      <c r="M978" s="3" t="s">
        <v>21</v>
      </c>
      <c r="N978" s="3" t="s">
        <v>40</v>
      </c>
    </row>
    <row r="979" spans="1:14" x14ac:dyDescent="0.3">
      <c r="A979" s="3" t="s">
        <v>1059</v>
      </c>
      <c r="B979" s="2">
        <v>45466</v>
      </c>
      <c r="C979" s="3" t="s">
        <v>70</v>
      </c>
      <c r="D979" s="3" t="s">
        <v>16</v>
      </c>
      <c r="E979" s="3" t="s">
        <v>25</v>
      </c>
      <c r="F979" s="3" t="s">
        <v>32</v>
      </c>
      <c r="G979" s="3" t="s">
        <v>47</v>
      </c>
      <c r="H979" s="3" t="s">
        <v>48</v>
      </c>
      <c r="I979" s="5">
        <v>7258.62</v>
      </c>
      <c r="J979" s="4">
        <v>6</v>
      </c>
      <c r="K979" s="1">
        <v>7.0000000000000009</v>
      </c>
      <c r="L979" s="4">
        <v>640.88</v>
      </c>
      <c r="M979" s="3" t="s">
        <v>51</v>
      </c>
      <c r="N979" s="3" t="s">
        <v>35</v>
      </c>
    </row>
    <row r="980" spans="1:14" x14ac:dyDescent="0.3">
      <c r="A980" s="3" t="s">
        <v>1060</v>
      </c>
      <c r="B980" s="2">
        <v>45579</v>
      </c>
      <c r="C980" s="3" t="s">
        <v>73</v>
      </c>
      <c r="D980" s="3" t="s">
        <v>38</v>
      </c>
      <c r="E980" s="3" t="s">
        <v>53</v>
      </c>
      <c r="F980" s="3" t="s">
        <v>62</v>
      </c>
      <c r="G980" s="3" t="s">
        <v>103</v>
      </c>
      <c r="H980" s="3" t="s">
        <v>104</v>
      </c>
      <c r="I980" s="5">
        <v>1423.56</v>
      </c>
      <c r="J980" s="4">
        <v>6</v>
      </c>
      <c r="K980" s="1">
        <v>25</v>
      </c>
      <c r="L980" s="4">
        <v>115.57</v>
      </c>
      <c r="M980" s="3" t="s">
        <v>51</v>
      </c>
      <c r="N980" s="3" t="s">
        <v>40</v>
      </c>
    </row>
    <row r="981" spans="1:14" x14ac:dyDescent="0.3">
      <c r="A981" s="3" t="s">
        <v>1061</v>
      </c>
      <c r="B981" s="2">
        <v>45683</v>
      </c>
      <c r="C981" s="3" t="s">
        <v>84</v>
      </c>
      <c r="D981" s="3" t="s">
        <v>89</v>
      </c>
      <c r="E981" s="3" t="s">
        <v>90</v>
      </c>
      <c r="F981" s="3" t="s">
        <v>18</v>
      </c>
      <c r="G981" s="3" t="s">
        <v>76</v>
      </c>
      <c r="H981" s="3" t="s">
        <v>77</v>
      </c>
      <c r="I981" s="5">
        <v>5780.05</v>
      </c>
      <c r="J981" s="4">
        <v>5</v>
      </c>
      <c r="K981" s="1">
        <v>16</v>
      </c>
      <c r="L981" s="4">
        <v>821.55</v>
      </c>
      <c r="M981" s="3" t="s">
        <v>28</v>
      </c>
      <c r="N981" s="3" t="s">
        <v>35</v>
      </c>
    </row>
    <row r="982" spans="1:14" x14ac:dyDescent="0.3">
      <c r="A982" s="3" t="s">
        <v>1062</v>
      </c>
      <c r="B982" s="2">
        <v>45647</v>
      </c>
      <c r="C982" s="3" t="s">
        <v>37</v>
      </c>
      <c r="D982" s="3" t="s">
        <v>56</v>
      </c>
      <c r="E982" s="3" t="s">
        <v>61</v>
      </c>
      <c r="F982" s="3" t="s">
        <v>62</v>
      </c>
      <c r="G982" s="3" t="s">
        <v>63</v>
      </c>
      <c r="H982" s="3" t="s">
        <v>64</v>
      </c>
      <c r="I982" s="5">
        <v>11335.8</v>
      </c>
      <c r="J982" s="4">
        <v>6</v>
      </c>
      <c r="K982" s="1">
        <v>28</v>
      </c>
      <c r="L982" s="4">
        <v>997.88</v>
      </c>
      <c r="M982" s="3" t="s">
        <v>21</v>
      </c>
      <c r="N982" s="3" t="s">
        <v>22</v>
      </c>
    </row>
    <row r="983" spans="1:14" x14ac:dyDescent="0.3">
      <c r="A983" s="3" t="s">
        <v>1063</v>
      </c>
      <c r="B983" s="2">
        <v>45774</v>
      </c>
      <c r="C983" s="3" t="s">
        <v>37</v>
      </c>
      <c r="D983" s="3" t="s">
        <v>89</v>
      </c>
      <c r="E983" s="3" t="s">
        <v>97</v>
      </c>
      <c r="F983" s="3" t="s">
        <v>32</v>
      </c>
      <c r="G983" s="3" t="s">
        <v>112</v>
      </c>
      <c r="H983" s="3" t="s">
        <v>113</v>
      </c>
      <c r="I983" s="5">
        <v>2589.84</v>
      </c>
      <c r="J983" s="4">
        <v>8</v>
      </c>
      <c r="K983" s="1">
        <v>8</v>
      </c>
      <c r="L983" s="4">
        <v>409.3</v>
      </c>
      <c r="M983" s="3" t="s">
        <v>28</v>
      </c>
      <c r="N983" s="3" t="s">
        <v>22</v>
      </c>
    </row>
    <row r="984" spans="1:14" x14ac:dyDescent="0.3">
      <c r="A984" s="3" t="s">
        <v>1064</v>
      </c>
      <c r="B984" s="2">
        <v>45679</v>
      </c>
      <c r="C984" s="3" t="s">
        <v>66</v>
      </c>
      <c r="D984" s="3" t="s">
        <v>38</v>
      </c>
      <c r="E984" s="3" t="s">
        <v>39</v>
      </c>
      <c r="F984" s="3" t="s">
        <v>18</v>
      </c>
      <c r="G984" s="3" t="s">
        <v>19</v>
      </c>
      <c r="H984" s="3" t="s">
        <v>20</v>
      </c>
      <c r="I984" s="5">
        <v>7680.16</v>
      </c>
      <c r="J984" s="4">
        <v>4</v>
      </c>
      <c r="K984" s="1">
        <v>12</v>
      </c>
      <c r="L984" s="4">
        <v>621.52</v>
      </c>
      <c r="M984" s="3" t="s">
        <v>51</v>
      </c>
      <c r="N984" s="3" t="s">
        <v>40</v>
      </c>
    </row>
    <row r="985" spans="1:14" x14ac:dyDescent="0.3">
      <c r="A985" s="3" t="s">
        <v>1065</v>
      </c>
      <c r="B985" s="2">
        <v>45621</v>
      </c>
      <c r="C985" s="3" t="s">
        <v>99</v>
      </c>
      <c r="D985" s="3" t="s">
        <v>16</v>
      </c>
      <c r="E985" s="3" t="s">
        <v>31</v>
      </c>
      <c r="F985" s="3" t="s">
        <v>62</v>
      </c>
      <c r="G985" s="3" t="s">
        <v>63</v>
      </c>
      <c r="H985" s="3" t="s">
        <v>64</v>
      </c>
      <c r="I985" s="5">
        <v>4378.16</v>
      </c>
      <c r="J985" s="4">
        <v>8</v>
      </c>
      <c r="K985" s="1">
        <v>26</v>
      </c>
      <c r="L985" s="4">
        <v>319.37</v>
      </c>
      <c r="M985" s="3" t="s">
        <v>51</v>
      </c>
      <c r="N985" s="3" t="s">
        <v>22</v>
      </c>
    </row>
    <row r="986" spans="1:14" x14ac:dyDescent="0.3">
      <c r="A986" s="3" t="s">
        <v>1066</v>
      </c>
      <c r="B986" s="2">
        <v>45474</v>
      </c>
      <c r="C986" s="3" t="s">
        <v>66</v>
      </c>
      <c r="D986" s="3" t="s">
        <v>56</v>
      </c>
      <c r="E986" s="3" t="s">
        <v>108</v>
      </c>
      <c r="F986" s="3" t="s">
        <v>62</v>
      </c>
      <c r="G986" s="3" t="s">
        <v>103</v>
      </c>
      <c r="H986" s="3" t="s">
        <v>104</v>
      </c>
      <c r="I986" s="5">
        <v>1187.05</v>
      </c>
      <c r="J986" s="4">
        <v>5</v>
      </c>
      <c r="K986" s="1">
        <v>19</v>
      </c>
      <c r="L986" s="4">
        <v>92.22</v>
      </c>
      <c r="M986" s="3" t="s">
        <v>28</v>
      </c>
      <c r="N986" s="3" t="s">
        <v>40</v>
      </c>
    </row>
    <row r="987" spans="1:14" x14ac:dyDescent="0.3">
      <c r="A987" s="3" t="s">
        <v>1067</v>
      </c>
      <c r="B987" s="2">
        <v>45692</v>
      </c>
      <c r="C987" s="3" t="s">
        <v>70</v>
      </c>
      <c r="D987" s="3" t="s">
        <v>38</v>
      </c>
      <c r="E987" s="3" t="s">
        <v>71</v>
      </c>
      <c r="F987" s="3" t="s">
        <v>18</v>
      </c>
      <c r="G987" s="3" t="s">
        <v>94</v>
      </c>
      <c r="H987" s="3" t="s">
        <v>95</v>
      </c>
      <c r="I987" s="5">
        <v>4180.92</v>
      </c>
      <c r="J987" s="4">
        <v>3</v>
      </c>
      <c r="K987" s="1">
        <v>8</v>
      </c>
      <c r="L987" s="4">
        <v>687.94</v>
      </c>
      <c r="M987" s="3" t="s">
        <v>21</v>
      </c>
      <c r="N987" s="3" t="s">
        <v>35</v>
      </c>
    </row>
    <row r="988" spans="1:14" x14ac:dyDescent="0.3">
      <c r="A988" s="3" t="s">
        <v>1068</v>
      </c>
      <c r="B988" s="2">
        <v>45611</v>
      </c>
      <c r="C988" s="3" t="s">
        <v>15</v>
      </c>
      <c r="D988" s="3" t="s">
        <v>16</v>
      </c>
      <c r="E988" s="3" t="s">
        <v>17</v>
      </c>
      <c r="F988" s="3" t="s">
        <v>62</v>
      </c>
      <c r="G988" s="3" t="s">
        <v>80</v>
      </c>
      <c r="H988" s="3" t="s">
        <v>81</v>
      </c>
      <c r="I988" s="5">
        <v>11123.44</v>
      </c>
      <c r="J988" s="4">
        <v>8</v>
      </c>
      <c r="K988" s="1">
        <v>6</v>
      </c>
      <c r="L988" s="4">
        <v>1246.93</v>
      </c>
      <c r="M988" s="3" t="s">
        <v>28</v>
      </c>
      <c r="N988" s="3" t="s">
        <v>40</v>
      </c>
    </row>
    <row r="989" spans="1:14" x14ac:dyDescent="0.3">
      <c r="A989" s="3" t="s">
        <v>1069</v>
      </c>
      <c r="B989" s="2">
        <v>45772</v>
      </c>
      <c r="C989" s="3" t="s">
        <v>24</v>
      </c>
      <c r="D989" s="3" t="s">
        <v>89</v>
      </c>
      <c r="E989" s="3" t="s">
        <v>102</v>
      </c>
      <c r="F989" s="3" t="s">
        <v>18</v>
      </c>
      <c r="G989" s="3" t="s">
        <v>19</v>
      </c>
      <c r="H989" s="3" t="s">
        <v>20</v>
      </c>
      <c r="I989" s="5">
        <v>3706.02</v>
      </c>
      <c r="J989" s="4">
        <v>9</v>
      </c>
      <c r="K989" s="1">
        <v>8</v>
      </c>
      <c r="L989" s="4">
        <v>731.76</v>
      </c>
      <c r="M989" s="3" t="s">
        <v>21</v>
      </c>
      <c r="N989" s="3" t="s">
        <v>22</v>
      </c>
    </row>
    <row r="990" spans="1:14" x14ac:dyDescent="0.3">
      <c r="A990" s="3" t="s">
        <v>1070</v>
      </c>
      <c r="B990" s="2">
        <v>45521</v>
      </c>
      <c r="C990" s="3" t="s">
        <v>42</v>
      </c>
      <c r="D990" s="3" t="s">
        <v>89</v>
      </c>
      <c r="E990" s="3" t="s">
        <v>90</v>
      </c>
      <c r="F990" s="3" t="s">
        <v>32</v>
      </c>
      <c r="G990" s="3" t="s">
        <v>112</v>
      </c>
      <c r="H990" s="3" t="s">
        <v>113</v>
      </c>
      <c r="I990" s="5">
        <v>4847.5</v>
      </c>
      <c r="J990" s="4">
        <v>10</v>
      </c>
      <c r="K990" s="1">
        <v>28</v>
      </c>
      <c r="L990" s="4">
        <v>433.23</v>
      </c>
      <c r="M990" s="3" t="s">
        <v>28</v>
      </c>
      <c r="N990" s="3" t="s">
        <v>44</v>
      </c>
    </row>
    <row r="991" spans="1:14" x14ac:dyDescent="0.3">
      <c r="A991" s="3" t="s">
        <v>1071</v>
      </c>
      <c r="B991" s="2">
        <v>45673</v>
      </c>
      <c r="C991" s="3" t="s">
        <v>70</v>
      </c>
      <c r="D991" s="3" t="s">
        <v>38</v>
      </c>
      <c r="E991" s="3" t="s">
        <v>39</v>
      </c>
      <c r="F991" s="3" t="s">
        <v>62</v>
      </c>
      <c r="G991" s="3" t="s">
        <v>63</v>
      </c>
      <c r="H991" s="3" t="s">
        <v>64</v>
      </c>
      <c r="I991" s="5">
        <v>3316.38</v>
      </c>
      <c r="J991" s="4">
        <v>3</v>
      </c>
      <c r="K991" s="1">
        <v>21</v>
      </c>
      <c r="L991" s="4">
        <v>387.31</v>
      </c>
      <c r="M991" s="3" t="s">
        <v>28</v>
      </c>
      <c r="N991" s="3" t="s">
        <v>22</v>
      </c>
    </row>
    <row r="992" spans="1:14" x14ac:dyDescent="0.3">
      <c r="A992" s="3" t="s">
        <v>1072</v>
      </c>
      <c r="B992" s="2">
        <v>45424</v>
      </c>
      <c r="C992" s="3" t="s">
        <v>75</v>
      </c>
      <c r="D992" s="3" t="s">
        <v>38</v>
      </c>
      <c r="E992" s="3" t="s">
        <v>39</v>
      </c>
      <c r="F992" s="3" t="s">
        <v>32</v>
      </c>
      <c r="G992" s="3" t="s">
        <v>33</v>
      </c>
      <c r="H992" s="3" t="s">
        <v>34</v>
      </c>
      <c r="I992" s="5">
        <v>7738</v>
      </c>
      <c r="J992" s="4">
        <v>8</v>
      </c>
      <c r="K992" s="1">
        <v>21</v>
      </c>
      <c r="L992" s="4">
        <v>1499.61</v>
      </c>
      <c r="M992" s="3" t="s">
        <v>21</v>
      </c>
      <c r="N992" s="3" t="s">
        <v>35</v>
      </c>
    </row>
    <row r="993" spans="1:14" x14ac:dyDescent="0.3">
      <c r="A993" s="3" t="s">
        <v>1073</v>
      </c>
      <c r="B993" s="2">
        <v>45783</v>
      </c>
      <c r="C993" s="3" t="s">
        <v>30</v>
      </c>
      <c r="D993" s="3" t="s">
        <v>56</v>
      </c>
      <c r="E993" s="3" t="s">
        <v>108</v>
      </c>
      <c r="F993" s="3" t="s">
        <v>62</v>
      </c>
      <c r="G993" s="3" t="s">
        <v>67</v>
      </c>
      <c r="H993" s="3" t="s">
        <v>68</v>
      </c>
      <c r="I993" s="5">
        <v>5822.55</v>
      </c>
      <c r="J993" s="4">
        <v>9</v>
      </c>
      <c r="K993" s="1">
        <v>9</v>
      </c>
      <c r="L993" s="4">
        <v>1045.74</v>
      </c>
      <c r="M993" s="3" t="s">
        <v>21</v>
      </c>
      <c r="N993" s="3" t="s">
        <v>22</v>
      </c>
    </row>
    <row r="994" spans="1:14" x14ac:dyDescent="0.3">
      <c r="A994" s="3" t="s">
        <v>1074</v>
      </c>
      <c r="B994" s="2">
        <v>45586</v>
      </c>
      <c r="C994" s="3" t="s">
        <v>133</v>
      </c>
      <c r="D994" s="3" t="s">
        <v>56</v>
      </c>
      <c r="E994" s="3" t="s">
        <v>61</v>
      </c>
      <c r="F994" s="3" t="s">
        <v>62</v>
      </c>
      <c r="G994" s="3" t="s">
        <v>67</v>
      </c>
      <c r="H994" s="3" t="s">
        <v>68</v>
      </c>
      <c r="I994" s="5">
        <v>2991.56</v>
      </c>
      <c r="J994" s="4">
        <v>2</v>
      </c>
      <c r="K994" s="1">
        <v>4</v>
      </c>
      <c r="L994" s="4">
        <v>236.89</v>
      </c>
      <c r="M994" s="3" t="s">
        <v>28</v>
      </c>
      <c r="N994" s="3" t="s">
        <v>35</v>
      </c>
    </row>
    <row r="995" spans="1:14" x14ac:dyDescent="0.3">
      <c r="A995" s="3" t="s">
        <v>1075</v>
      </c>
      <c r="B995" s="2">
        <v>45738</v>
      </c>
      <c r="C995" s="3" t="s">
        <v>66</v>
      </c>
      <c r="D995" s="3" t="s">
        <v>56</v>
      </c>
      <c r="E995" s="3" t="s">
        <v>108</v>
      </c>
      <c r="F995" s="3" t="s">
        <v>32</v>
      </c>
      <c r="G995" s="3" t="s">
        <v>58</v>
      </c>
      <c r="H995" s="3" t="s">
        <v>59</v>
      </c>
      <c r="I995" s="5">
        <v>7008.68</v>
      </c>
      <c r="J995" s="4">
        <v>7</v>
      </c>
      <c r="K995" s="1">
        <v>18</v>
      </c>
      <c r="L995" s="4">
        <v>1115.99</v>
      </c>
      <c r="M995" s="3" t="s">
        <v>21</v>
      </c>
      <c r="N995" s="3" t="s">
        <v>44</v>
      </c>
    </row>
    <row r="996" spans="1:14" x14ac:dyDescent="0.3">
      <c r="A996" s="3" t="s">
        <v>1076</v>
      </c>
      <c r="B996" s="2">
        <v>45743</v>
      </c>
      <c r="C996" s="3" t="s">
        <v>70</v>
      </c>
      <c r="D996" s="3" t="s">
        <v>38</v>
      </c>
      <c r="E996" s="3" t="s">
        <v>53</v>
      </c>
      <c r="F996" s="3" t="s">
        <v>32</v>
      </c>
      <c r="G996" s="3" t="s">
        <v>112</v>
      </c>
      <c r="H996" s="3" t="s">
        <v>113</v>
      </c>
      <c r="I996" s="5">
        <v>8166.9</v>
      </c>
      <c r="J996" s="4">
        <v>7</v>
      </c>
      <c r="K996" s="1">
        <v>6</v>
      </c>
      <c r="L996" s="4">
        <v>529.28</v>
      </c>
      <c r="M996" s="3" t="s">
        <v>21</v>
      </c>
      <c r="N996" s="3" t="s">
        <v>40</v>
      </c>
    </row>
    <row r="997" spans="1:14" x14ac:dyDescent="0.3">
      <c r="A997" s="3" t="s">
        <v>1077</v>
      </c>
      <c r="B997" s="2">
        <v>45576</v>
      </c>
      <c r="C997" s="3" t="s">
        <v>84</v>
      </c>
      <c r="D997" s="3" t="s">
        <v>38</v>
      </c>
      <c r="E997" s="3" t="s">
        <v>53</v>
      </c>
      <c r="F997" s="3" t="s">
        <v>62</v>
      </c>
      <c r="G997" s="3" t="s">
        <v>80</v>
      </c>
      <c r="H997" s="3" t="s">
        <v>81</v>
      </c>
      <c r="I997" s="5">
        <v>827.9</v>
      </c>
      <c r="J997" s="4">
        <v>5</v>
      </c>
      <c r="K997" s="1">
        <v>29</v>
      </c>
      <c r="L997" s="4">
        <v>48.27</v>
      </c>
      <c r="M997" s="3" t="s">
        <v>21</v>
      </c>
      <c r="N997" s="3" t="s">
        <v>44</v>
      </c>
    </row>
    <row r="998" spans="1:14" x14ac:dyDescent="0.3">
      <c r="A998" s="3" t="s">
        <v>1078</v>
      </c>
      <c r="B998" s="2">
        <v>45449</v>
      </c>
      <c r="C998" s="3" t="s">
        <v>101</v>
      </c>
      <c r="D998" s="3" t="s">
        <v>16</v>
      </c>
      <c r="E998" s="3" t="s">
        <v>31</v>
      </c>
      <c r="F998" s="3" t="s">
        <v>62</v>
      </c>
      <c r="G998" s="3" t="s">
        <v>80</v>
      </c>
      <c r="H998" s="3" t="s">
        <v>81</v>
      </c>
      <c r="I998" s="5">
        <v>1085.76</v>
      </c>
      <c r="J998" s="4">
        <v>1</v>
      </c>
      <c r="K998" s="1">
        <v>7.0000000000000009</v>
      </c>
      <c r="L998" s="4">
        <v>206.51</v>
      </c>
      <c r="M998" s="3" t="s">
        <v>28</v>
      </c>
      <c r="N998" s="3" t="s">
        <v>40</v>
      </c>
    </row>
    <row r="999" spans="1:14" x14ac:dyDescent="0.3">
      <c r="A999" s="3" t="s">
        <v>1079</v>
      </c>
      <c r="B999" s="2">
        <v>45428</v>
      </c>
      <c r="C999" s="3" t="s">
        <v>37</v>
      </c>
      <c r="D999" s="3" t="s">
        <v>56</v>
      </c>
      <c r="E999" s="3" t="s">
        <v>61</v>
      </c>
      <c r="F999" s="3" t="s">
        <v>62</v>
      </c>
      <c r="G999" s="3" t="s">
        <v>103</v>
      </c>
      <c r="H999" s="3" t="s">
        <v>104</v>
      </c>
      <c r="I999" s="5">
        <v>3546.41</v>
      </c>
      <c r="J999" s="4">
        <v>7</v>
      </c>
      <c r="K999" s="1">
        <v>27</v>
      </c>
      <c r="L999" s="4">
        <v>452.98</v>
      </c>
      <c r="M999" s="3" t="s">
        <v>51</v>
      </c>
      <c r="N999" s="3" t="s">
        <v>35</v>
      </c>
    </row>
    <row r="1000" spans="1:14" x14ac:dyDescent="0.3">
      <c r="A1000" s="3" t="s">
        <v>1080</v>
      </c>
      <c r="B1000" s="2">
        <v>45625</v>
      </c>
      <c r="C1000" s="3" t="s">
        <v>70</v>
      </c>
      <c r="D1000" s="3" t="s">
        <v>38</v>
      </c>
      <c r="E1000" s="3" t="s">
        <v>71</v>
      </c>
      <c r="F1000" s="3" t="s">
        <v>62</v>
      </c>
      <c r="G1000" s="3" t="s">
        <v>63</v>
      </c>
      <c r="H1000" s="3" t="s">
        <v>64</v>
      </c>
      <c r="I1000" s="5">
        <v>14406.7</v>
      </c>
      <c r="J1000" s="4">
        <v>10</v>
      </c>
      <c r="K1000" s="1">
        <v>17</v>
      </c>
      <c r="L1000" s="4">
        <v>2704.65</v>
      </c>
      <c r="M1000" s="3" t="s">
        <v>21</v>
      </c>
      <c r="N1000" s="3" t="s">
        <v>40</v>
      </c>
    </row>
    <row r="1001" spans="1:14" x14ac:dyDescent="0.3">
      <c r="A1001" s="3" t="s">
        <v>1081</v>
      </c>
      <c r="B1001" s="2">
        <v>45763</v>
      </c>
      <c r="C1001" s="3" t="s">
        <v>99</v>
      </c>
      <c r="D1001" s="3" t="s">
        <v>56</v>
      </c>
      <c r="E1001" s="3" t="s">
        <v>57</v>
      </c>
      <c r="F1001" s="3" t="s">
        <v>32</v>
      </c>
      <c r="G1001" s="3" t="s">
        <v>47</v>
      </c>
      <c r="H1001" s="3" t="s">
        <v>48</v>
      </c>
      <c r="I1001" s="5">
        <v>2723.8</v>
      </c>
      <c r="J1001" s="4">
        <v>2</v>
      </c>
      <c r="K1001" s="1">
        <v>26</v>
      </c>
      <c r="L1001" s="4">
        <v>339</v>
      </c>
      <c r="M1001" s="3" t="s">
        <v>51</v>
      </c>
      <c r="N1001" s="3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489E-9834-410F-944D-DEE0E1B18F37}">
  <dimension ref="A1:S1001"/>
  <sheetViews>
    <sheetView topLeftCell="J1" workbookViewId="0">
      <selection activeCell="Q1" sqref="Q1:Q1048576"/>
    </sheetView>
  </sheetViews>
  <sheetFormatPr defaultRowHeight="14.4" x14ac:dyDescent="0.3"/>
  <cols>
    <col min="1" max="1" width="14.77734375" customWidth="1"/>
    <col min="2" max="2" width="13.88671875" customWidth="1"/>
    <col min="3" max="3" width="15" customWidth="1"/>
    <col min="4" max="4" width="12.44140625" customWidth="1"/>
    <col min="5" max="5" width="18" customWidth="1"/>
    <col min="6" max="6" width="13.88671875" customWidth="1"/>
    <col min="7" max="7" width="14.77734375" customWidth="1"/>
    <col min="8" max="8" width="22.77734375" customWidth="1"/>
    <col min="9" max="9" width="17.44140625" customWidth="1"/>
    <col min="10" max="10" width="14.88671875" customWidth="1"/>
    <col min="11" max="11" width="12.88671875" customWidth="1"/>
    <col min="12" max="12" width="13.5546875" customWidth="1"/>
    <col min="13" max="13" width="14.33203125" customWidth="1"/>
    <col min="14" max="14" width="16.21875" customWidth="1"/>
    <col min="15" max="15" width="21.21875" style="2" customWidth="1"/>
    <col min="17" max="17" width="14.33203125" style="6" customWidth="1"/>
    <col min="18" max="18" width="13.88671875" customWidth="1"/>
    <col min="19" max="19" width="16.88671875" customWidth="1"/>
  </cols>
  <sheetData>
    <row r="1" spans="1:19" x14ac:dyDescent="0.3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4" t="s">
        <v>9</v>
      </c>
      <c r="K1" s="1" t="s">
        <v>10</v>
      </c>
      <c r="L1" s="4" t="s">
        <v>11</v>
      </c>
      <c r="M1" s="3" t="s">
        <v>12</v>
      </c>
      <c r="N1" s="3" t="s">
        <v>13</v>
      </c>
      <c r="O1" s="2" t="s">
        <v>1082</v>
      </c>
      <c r="P1" t="s">
        <v>1087</v>
      </c>
      <c r="Q1" s="6" t="s">
        <v>1088</v>
      </c>
      <c r="R1" t="s">
        <v>1089</v>
      </c>
      <c r="S1" t="s">
        <v>1083</v>
      </c>
    </row>
    <row r="2" spans="1:19" x14ac:dyDescent="0.3">
      <c r="A2" s="3" t="s">
        <v>14</v>
      </c>
      <c r="B2" s="2">
        <v>45709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5">
        <v>5921.04</v>
      </c>
      <c r="J2" s="4">
        <v>4</v>
      </c>
      <c r="K2" s="1">
        <v>9</v>
      </c>
      <c r="L2" s="4">
        <v>1269.0999999999999</v>
      </c>
      <c r="M2" s="3" t="s">
        <v>21</v>
      </c>
      <c r="N2" s="3" t="s">
        <v>22</v>
      </c>
      <c r="O2" s="2" t="str">
        <f t="shared" ref="O2:O65" si="0" xml:space="preserve"> TEXT(B2,"MM-YYYY")</f>
        <v>02-2025</v>
      </c>
      <c r="P2" t="str">
        <f t="shared" ref="P2:P65" si="1">TEXT(B2,"YYYY")</f>
        <v>2025</v>
      </c>
      <c r="Q2" s="6">
        <f>IFERROR(L2/I2,0)</f>
        <v>0.21433734614189398</v>
      </c>
      <c r="R2" t="str">
        <f t="shared" ref="R2:R65" si="2">IF(L2&gt;0,"Profit","Loss")</f>
        <v>Profit</v>
      </c>
      <c r="S2" t="str">
        <f t="shared" ref="S2:S65" si="3">IF(K2=0,"No Discount",IF(K2&lt;=10,"Low (1-10%)",IF(K2&lt;=20,"Mid (11-20%)","High (&gt;20%)")))</f>
        <v>Low (1-10%)</v>
      </c>
    </row>
    <row r="3" spans="1:19" x14ac:dyDescent="0.3">
      <c r="A3" s="3" t="s">
        <v>23</v>
      </c>
      <c r="B3" s="2">
        <v>45484</v>
      </c>
      <c r="C3" s="3" t="s">
        <v>24</v>
      </c>
      <c r="D3" s="3" t="s">
        <v>16</v>
      </c>
      <c r="E3" s="3" t="s">
        <v>25</v>
      </c>
      <c r="F3" s="3" t="s">
        <v>18</v>
      </c>
      <c r="G3" s="3" t="s">
        <v>26</v>
      </c>
      <c r="H3" s="3" t="s">
        <v>27</v>
      </c>
      <c r="I3" s="5">
        <v>1017.94</v>
      </c>
      <c r="J3" s="4">
        <v>1</v>
      </c>
      <c r="K3" s="1">
        <v>4</v>
      </c>
      <c r="L3" s="4">
        <v>242.63</v>
      </c>
      <c r="M3" s="3" t="s">
        <v>28</v>
      </c>
      <c r="N3" s="3" t="s">
        <v>22</v>
      </c>
      <c r="O3" s="2" t="str">
        <f t="shared" si="0"/>
        <v>07-2024</v>
      </c>
      <c r="P3" t="str">
        <f t="shared" si="1"/>
        <v>2024</v>
      </c>
      <c r="Q3" s="6">
        <f t="shared" ref="Q2:Q65" si="4">IFERROR(L3/I3,0)</f>
        <v>0.23835393048706208</v>
      </c>
      <c r="R3" t="str">
        <f t="shared" si="2"/>
        <v>Profit</v>
      </c>
      <c r="S3" t="str">
        <f t="shared" si="3"/>
        <v>Low (1-10%)</v>
      </c>
    </row>
    <row r="4" spans="1:19" x14ac:dyDescent="0.3">
      <c r="A4" s="3" t="s">
        <v>29</v>
      </c>
      <c r="B4" s="2">
        <v>45733</v>
      </c>
      <c r="C4" s="3" t="s">
        <v>30</v>
      </c>
      <c r="D4" s="3" t="s">
        <v>16</v>
      </c>
      <c r="E4" s="3" t="s">
        <v>31</v>
      </c>
      <c r="F4" s="3" t="s">
        <v>32</v>
      </c>
      <c r="G4" s="3" t="s">
        <v>33</v>
      </c>
      <c r="H4" s="3" t="s">
        <v>34</v>
      </c>
      <c r="I4" s="5">
        <v>10652.76</v>
      </c>
      <c r="J4" s="4">
        <v>6</v>
      </c>
      <c r="K4" s="1">
        <v>25</v>
      </c>
      <c r="L4" s="4">
        <v>859.08</v>
      </c>
      <c r="M4" s="3" t="s">
        <v>28</v>
      </c>
      <c r="N4" s="3" t="s">
        <v>35</v>
      </c>
      <c r="O4" s="2" t="str">
        <f t="shared" si="0"/>
        <v>03-2025</v>
      </c>
      <c r="P4" t="str">
        <f t="shared" si="1"/>
        <v>2025</v>
      </c>
      <c r="Q4" s="6">
        <f t="shared" si="4"/>
        <v>8.0643889470897678E-2</v>
      </c>
      <c r="R4" t="str">
        <f t="shared" si="2"/>
        <v>Profit</v>
      </c>
      <c r="S4" t="str">
        <f t="shared" si="3"/>
        <v>High (&gt;20%)</v>
      </c>
    </row>
    <row r="5" spans="1:19" x14ac:dyDescent="0.3">
      <c r="A5" s="3" t="s">
        <v>36</v>
      </c>
      <c r="B5" s="2">
        <v>45713</v>
      </c>
      <c r="C5" s="3" t="s">
        <v>37</v>
      </c>
      <c r="D5" s="3" t="s">
        <v>38</v>
      </c>
      <c r="E5" s="3" t="s">
        <v>39</v>
      </c>
      <c r="F5" s="3" t="s">
        <v>18</v>
      </c>
      <c r="G5" s="3" t="s">
        <v>26</v>
      </c>
      <c r="H5" s="3" t="s">
        <v>27</v>
      </c>
      <c r="I5" s="5">
        <v>8665.7999999999993</v>
      </c>
      <c r="J5" s="4">
        <v>5</v>
      </c>
      <c r="K5" s="1">
        <v>19</v>
      </c>
      <c r="L5" s="4">
        <v>1444.74</v>
      </c>
      <c r="M5" s="3" t="s">
        <v>21</v>
      </c>
      <c r="N5" s="3" t="s">
        <v>40</v>
      </c>
      <c r="O5" s="2" t="str">
        <f t="shared" si="0"/>
        <v>02-2025</v>
      </c>
      <c r="P5" t="str">
        <f t="shared" si="1"/>
        <v>2025</v>
      </c>
      <c r="Q5" s="6">
        <f t="shared" si="4"/>
        <v>0.16671744097486674</v>
      </c>
      <c r="R5" t="str">
        <f t="shared" si="2"/>
        <v>Profit</v>
      </c>
      <c r="S5" t="str">
        <f t="shared" si="3"/>
        <v>Mid (11-20%)</v>
      </c>
    </row>
    <row r="6" spans="1:19" x14ac:dyDescent="0.3">
      <c r="A6" s="3" t="s">
        <v>41</v>
      </c>
      <c r="B6" s="2">
        <v>45646</v>
      </c>
      <c r="C6" s="3" t="s">
        <v>42</v>
      </c>
      <c r="D6" s="3" t="s">
        <v>38</v>
      </c>
      <c r="E6" s="3" t="s">
        <v>43</v>
      </c>
      <c r="F6" s="3" t="s">
        <v>18</v>
      </c>
      <c r="G6" s="3" t="s">
        <v>19</v>
      </c>
      <c r="H6" s="3" t="s">
        <v>20</v>
      </c>
      <c r="I6" s="5">
        <v>2150.4</v>
      </c>
      <c r="J6" s="4">
        <v>2</v>
      </c>
      <c r="K6" s="1">
        <v>20</v>
      </c>
      <c r="L6" s="4">
        <v>267.77</v>
      </c>
      <c r="M6" s="3" t="s">
        <v>21</v>
      </c>
      <c r="N6" s="3" t="s">
        <v>44</v>
      </c>
      <c r="O6" s="2" t="str">
        <f t="shared" si="0"/>
        <v>12-2024</v>
      </c>
      <c r="P6" t="str">
        <f t="shared" si="1"/>
        <v>2024</v>
      </c>
      <c r="Q6" s="6">
        <f t="shared" si="4"/>
        <v>0.12452101934523808</v>
      </c>
      <c r="R6" t="str">
        <f t="shared" si="2"/>
        <v>Profit</v>
      </c>
      <c r="S6" t="str">
        <f t="shared" si="3"/>
        <v>Mid (11-20%)</v>
      </c>
    </row>
    <row r="7" spans="1:19" x14ac:dyDescent="0.3">
      <c r="A7" s="3" t="s">
        <v>45</v>
      </c>
      <c r="B7" s="2">
        <v>45769</v>
      </c>
      <c r="C7" s="3" t="s">
        <v>30</v>
      </c>
      <c r="D7" s="3" t="s">
        <v>38</v>
      </c>
      <c r="E7" s="3" t="s">
        <v>43</v>
      </c>
      <c r="F7" s="3" t="s">
        <v>32</v>
      </c>
      <c r="G7" s="3" t="s">
        <v>33</v>
      </c>
      <c r="H7" s="3" t="s">
        <v>34</v>
      </c>
      <c r="I7" s="5">
        <v>16306.4</v>
      </c>
      <c r="J7" s="4">
        <v>10</v>
      </c>
      <c r="K7" s="1">
        <v>18</v>
      </c>
      <c r="L7" s="4">
        <v>2357.5300000000002</v>
      </c>
      <c r="M7" s="3" t="s">
        <v>28</v>
      </c>
      <c r="N7" s="3" t="s">
        <v>35</v>
      </c>
      <c r="O7" s="2" t="str">
        <f t="shared" si="0"/>
        <v>04-2025</v>
      </c>
      <c r="P7" t="str">
        <f t="shared" si="1"/>
        <v>2025</v>
      </c>
      <c r="Q7" s="6">
        <f t="shared" si="4"/>
        <v>0.14457697591129864</v>
      </c>
      <c r="R7" t="str">
        <f t="shared" si="2"/>
        <v>Profit</v>
      </c>
      <c r="S7" t="str">
        <f t="shared" si="3"/>
        <v>Mid (11-20%)</v>
      </c>
    </row>
    <row r="8" spans="1:19" x14ac:dyDescent="0.3">
      <c r="A8" s="3" t="s">
        <v>46</v>
      </c>
      <c r="B8" s="2">
        <v>45446</v>
      </c>
      <c r="C8" s="3" t="s">
        <v>30</v>
      </c>
      <c r="D8" s="3" t="s">
        <v>38</v>
      </c>
      <c r="E8" s="3" t="s">
        <v>43</v>
      </c>
      <c r="F8" s="3" t="s">
        <v>32</v>
      </c>
      <c r="G8" s="3" t="s">
        <v>47</v>
      </c>
      <c r="H8" s="3" t="s">
        <v>48</v>
      </c>
      <c r="I8" s="5">
        <v>2537.52</v>
      </c>
      <c r="J8" s="4">
        <v>4</v>
      </c>
      <c r="K8" s="1">
        <v>19</v>
      </c>
      <c r="L8" s="4">
        <v>261.63</v>
      </c>
      <c r="M8" s="3" t="s">
        <v>21</v>
      </c>
      <c r="N8" s="3" t="s">
        <v>40</v>
      </c>
      <c r="O8" s="2" t="str">
        <f t="shared" si="0"/>
        <v>06-2024</v>
      </c>
      <c r="P8" t="str">
        <f t="shared" si="1"/>
        <v>2024</v>
      </c>
      <c r="Q8" s="6">
        <f t="shared" si="4"/>
        <v>0.10310460607207036</v>
      </c>
      <c r="R8" t="str">
        <f t="shared" si="2"/>
        <v>Profit</v>
      </c>
      <c r="S8" t="str">
        <f t="shared" si="3"/>
        <v>Mid (11-20%)</v>
      </c>
    </row>
    <row r="9" spans="1:19" x14ac:dyDescent="0.3">
      <c r="A9" s="3" t="s">
        <v>49</v>
      </c>
      <c r="B9" s="2">
        <v>45460</v>
      </c>
      <c r="C9" s="3" t="s">
        <v>50</v>
      </c>
      <c r="D9" s="3" t="s">
        <v>38</v>
      </c>
      <c r="E9" s="3" t="s">
        <v>43</v>
      </c>
      <c r="F9" s="3" t="s">
        <v>18</v>
      </c>
      <c r="G9" s="3" t="s">
        <v>26</v>
      </c>
      <c r="H9" s="3" t="s">
        <v>27</v>
      </c>
      <c r="I9" s="5">
        <v>3252.76</v>
      </c>
      <c r="J9" s="4">
        <v>7</v>
      </c>
      <c r="K9" s="1">
        <v>4</v>
      </c>
      <c r="L9" s="4">
        <v>292.45999999999998</v>
      </c>
      <c r="M9" s="3" t="s">
        <v>51</v>
      </c>
      <c r="N9" s="3" t="s">
        <v>35</v>
      </c>
      <c r="O9" s="2" t="str">
        <f t="shared" si="0"/>
        <v>06-2024</v>
      </c>
      <c r="P9" t="str">
        <f t="shared" si="1"/>
        <v>2024</v>
      </c>
      <c r="Q9" s="6">
        <f t="shared" si="4"/>
        <v>8.9911336833950237E-2</v>
      </c>
      <c r="R9" t="str">
        <f t="shared" si="2"/>
        <v>Profit</v>
      </c>
      <c r="S9" t="str">
        <f t="shared" si="3"/>
        <v>Low (1-10%)</v>
      </c>
    </row>
    <row r="10" spans="1:19" x14ac:dyDescent="0.3">
      <c r="A10" s="3" t="s">
        <v>52</v>
      </c>
      <c r="B10" s="2">
        <v>45686</v>
      </c>
      <c r="C10" s="3" t="s">
        <v>50</v>
      </c>
      <c r="D10" s="3" t="s">
        <v>38</v>
      </c>
      <c r="E10" s="3" t="s">
        <v>53</v>
      </c>
      <c r="F10" s="3" t="s">
        <v>32</v>
      </c>
      <c r="G10" s="3" t="s">
        <v>47</v>
      </c>
      <c r="H10" s="3" t="s">
        <v>48</v>
      </c>
      <c r="I10" s="5">
        <v>1145.98</v>
      </c>
      <c r="J10" s="4">
        <v>1</v>
      </c>
      <c r="K10" s="1">
        <v>22</v>
      </c>
      <c r="L10" s="4">
        <v>177.37</v>
      </c>
      <c r="M10" s="3" t="s">
        <v>21</v>
      </c>
      <c r="N10" s="3" t="s">
        <v>22</v>
      </c>
      <c r="O10" s="2" t="str">
        <f t="shared" si="0"/>
        <v>01-2025</v>
      </c>
      <c r="P10" t="str">
        <f t="shared" si="1"/>
        <v>2025</v>
      </c>
      <c r="Q10" s="6">
        <f t="shared" si="4"/>
        <v>0.15477582505802895</v>
      </c>
      <c r="R10" t="str">
        <f t="shared" si="2"/>
        <v>Profit</v>
      </c>
      <c r="S10" t="str">
        <f t="shared" si="3"/>
        <v>High (&gt;20%)</v>
      </c>
    </row>
    <row r="11" spans="1:19" x14ac:dyDescent="0.3">
      <c r="A11" s="3" t="s">
        <v>54</v>
      </c>
      <c r="B11" s="2">
        <v>45683</v>
      </c>
      <c r="C11" s="3" t="s">
        <v>24</v>
      </c>
      <c r="D11" s="3" t="s">
        <v>16</v>
      </c>
      <c r="E11" s="3" t="s">
        <v>25</v>
      </c>
      <c r="F11" s="3" t="s">
        <v>18</v>
      </c>
      <c r="G11" s="3" t="s">
        <v>19</v>
      </c>
      <c r="H11" s="3" t="s">
        <v>20</v>
      </c>
      <c r="I11" s="5">
        <v>13863.85</v>
      </c>
      <c r="J11" s="4">
        <v>7</v>
      </c>
      <c r="K11" s="1">
        <v>4</v>
      </c>
      <c r="L11" s="4">
        <v>2735.89</v>
      </c>
      <c r="M11" s="3" t="s">
        <v>51</v>
      </c>
      <c r="N11" s="3" t="s">
        <v>40</v>
      </c>
      <c r="O11" s="2" t="str">
        <f t="shared" si="0"/>
        <v>01-2025</v>
      </c>
      <c r="P11" t="str">
        <f t="shared" si="1"/>
        <v>2025</v>
      </c>
      <c r="Q11" s="6">
        <f t="shared" si="4"/>
        <v>0.1973398442712522</v>
      </c>
      <c r="R11" t="str">
        <f t="shared" si="2"/>
        <v>Profit</v>
      </c>
      <c r="S11" t="str">
        <f t="shared" si="3"/>
        <v>Low (1-10%)</v>
      </c>
    </row>
    <row r="12" spans="1:19" x14ac:dyDescent="0.3">
      <c r="A12" s="3" t="s">
        <v>55</v>
      </c>
      <c r="B12" s="2">
        <v>45595</v>
      </c>
      <c r="C12" s="3" t="s">
        <v>24</v>
      </c>
      <c r="D12" s="3" t="s">
        <v>56</v>
      </c>
      <c r="E12" s="3" t="s">
        <v>57</v>
      </c>
      <c r="F12" s="3" t="s">
        <v>32</v>
      </c>
      <c r="G12" s="3" t="s">
        <v>58</v>
      </c>
      <c r="H12" s="3" t="s">
        <v>59</v>
      </c>
      <c r="I12" s="5">
        <v>4557.8500000000004</v>
      </c>
      <c r="J12" s="4">
        <v>5</v>
      </c>
      <c r="K12" s="1">
        <v>18</v>
      </c>
      <c r="L12" s="4">
        <v>317.76</v>
      </c>
      <c r="M12" s="3" t="s">
        <v>28</v>
      </c>
      <c r="N12" s="3" t="s">
        <v>35</v>
      </c>
      <c r="O12" s="2" t="str">
        <f t="shared" si="0"/>
        <v>10-2024</v>
      </c>
      <c r="P12" t="str">
        <f t="shared" si="1"/>
        <v>2024</v>
      </c>
      <c r="Q12" s="6">
        <f t="shared" si="4"/>
        <v>6.9717081518698501E-2</v>
      </c>
      <c r="R12" t="str">
        <f t="shared" si="2"/>
        <v>Profit</v>
      </c>
      <c r="S12" t="str">
        <f t="shared" si="3"/>
        <v>Mid (11-20%)</v>
      </c>
    </row>
    <row r="13" spans="1:19" x14ac:dyDescent="0.3">
      <c r="A13" s="3" t="s">
        <v>60</v>
      </c>
      <c r="B13" s="2">
        <v>45733</v>
      </c>
      <c r="C13" s="3" t="s">
        <v>30</v>
      </c>
      <c r="D13" s="3" t="s">
        <v>56</v>
      </c>
      <c r="E13" s="3" t="s">
        <v>61</v>
      </c>
      <c r="F13" s="3" t="s">
        <v>62</v>
      </c>
      <c r="G13" s="3" t="s">
        <v>63</v>
      </c>
      <c r="H13" s="3" t="s">
        <v>64</v>
      </c>
      <c r="I13" s="5">
        <v>2654.82</v>
      </c>
      <c r="J13" s="4">
        <v>7</v>
      </c>
      <c r="K13" s="1">
        <v>25</v>
      </c>
      <c r="L13" s="4">
        <v>289.19</v>
      </c>
      <c r="M13" s="3" t="s">
        <v>51</v>
      </c>
      <c r="N13" s="3" t="s">
        <v>35</v>
      </c>
      <c r="O13" s="2" t="str">
        <f t="shared" si="0"/>
        <v>03-2025</v>
      </c>
      <c r="P13" t="str">
        <f t="shared" si="1"/>
        <v>2025</v>
      </c>
      <c r="Q13" s="6">
        <f t="shared" si="4"/>
        <v>0.1089301722904001</v>
      </c>
      <c r="R13" t="str">
        <f t="shared" si="2"/>
        <v>Profit</v>
      </c>
      <c r="S13" t="str">
        <f t="shared" si="3"/>
        <v>High (&gt;20%)</v>
      </c>
    </row>
    <row r="14" spans="1:19" x14ac:dyDescent="0.3">
      <c r="A14" s="3" t="s">
        <v>65</v>
      </c>
      <c r="B14" s="2">
        <v>45781</v>
      </c>
      <c r="C14" s="3" t="s">
        <v>66</v>
      </c>
      <c r="D14" s="3" t="s">
        <v>38</v>
      </c>
      <c r="E14" s="3" t="s">
        <v>39</v>
      </c>
      <c r="F14" s="3" t="s">
        <v>62</v>
      </c>
      <c r="G14" s="3" t="s">
        <v>67</v>
      </c>
      <c r="H14" s="3" t="s">
        <v>68</v>
      </c>
      <c r="I14" s="5">
        <v>1626.72</v>
      </c>
      <c r="J14" s="4">
        <v>6</v>
      </c>
      <c r="K14" s="1">
        <v>1</v>
      </c>
      <c r="L14" s="4">
        <v>104.38</v>
      </c>
      <c r="M14" s="3" t="s">
        <v>28</v>
      </c>
      <c r="N14" s="3" t="s">
        <v>35</v>
      </c>
      <c r="O14" s="2" t="str">
        <f t="shared" si="0"/>
        <v>05-2025</v>
      </c>
      <c r="P14" t="str">
        <f t="shared" si="1"/>
        <v>2025</v>
      </c>
      <c r="Q14" s="6">
        <f t="shared" si="4"/>
        <v>6.4165928985934886E-2</v>
      </c>
      <c r="R14" t="str">
        <f t="shared" si="2"/>
        <v>Profit</v>
      </c>
      <c r="S14" t="str">
        <f t="shared" si="3"/>
        <v>Low (1-10%)</v>
      </c>
    </row>
    <row r="15" spans="1:19" x14ac:dyDescent="0.3">
      <c r="A15" s="3" t="s">
        <v>69</v>
      </c>
      <c r="B15" s="2">
        <v>45585</v>
      </c>
      <c r="C15" s="3" t="s">
        <v>70</v>
      </c>
      <c r="D15" s="3" t="s">
        <v>38</v>
      </c>
      <c r="E15" s="3" t="s">
        <v>71</v>
      </c>
      <c r="F15" s="3" t="s">
        <v>32</v>
      </c>
      <c r="G15" s="3" t="s">
        <v>47</v>
      </c>
      <c r="H15" s="3" t="s">
        <v>48</v>
      </c>
      <c r="I15" s="5">
        <v>1879.32</v>
      </c>
      <c r="J15" s="4">
        <v>4</v>
      </c>
      <c r="K15" s="1">
        <v>14</v>
      </c>
      <c r="L15" s="4">
        <v>144</v>
      </c>
      <c r="M15" s="3" t="s">
        <v>51</v>
      </c>
      <c r="N15" s="3" t="s">
        <v>40</v>
      </c>
      <c r="O15" s="2" t="str">
        <f t="shared" si="0"/>
        <v>10-2024</v>
      </c>
      <c r="P15" t="str">
        <f t="shared" si="1"/>
        <v>2024</v>
      </c>
      <c r="Q15" s="6">
        <f t="shared" si="4"/>
        <v>7.662345954919865E-2</v>
      </c>
      <c r="R15" t="str">
        <f t="shared" si="2"/>
        <v>Profit</v>
      </c>
      <c r="S15" t="str">
        <f t="shared" si="3"/>
        <v>Mid (11-20%)</v>
      </c>
    </row>
    <row r="16" spans="1:19" x14ac:dyDescent="0.3">
      <c r="A16" s="3" t="s">
        <v>72</v>
      </c>
      <c r="B16" s="2">
        <v>45505</v>
      </c>
      <c r="C16" s="3" t="s">
        <v>73</v>
      </c>
      <c r="D16" s="3" t="s">
        <v>38</v>
      </c>
      <c r="E16" s="3" t="s">
        <v>71</v>
      </c>
      <c r="F16" s="3" t="s">
        <v>18</v>
      </c>
      <c r="G16" s="3" t="s">
        <v>26</v>
      </c>
      <c r="H16" s="3" t="s">
        <v>27</v>
      </c>
      <c r="I16" s="5">
        <v>9731.9599999999991</v>
      </c>
      <c r="J16" s="4">
        <v>7</v>
      </c>
      <c r="K16" s="1">
        <v>30</v>
      </c>
      <c r="L16" s="4">
        <v>1228</v>
      </c>
      <c r="M16" s="3" t="s">
        <v>51</v>
      </c>
      <c r="N16" s="3" t="s">
        <v>40</v>
      </c>
      <c r="O16" s="2" t="str">
        <f t="shared" si="0"/>
        <v>08-2024</v>
      </c>
      <c r="P16" t="str">
        <f t="shared" si="1"/>
        <v>2024</v>
      </c>
      <c r="Q16" s="6">
        <f t="shared" si="4"/>
        <v>0.12618218734972195</v>
      </c>
      <c r="R16" t="str">
        <f t="shared" si="2"/>
        <v>Profit</v>
      </c>
      <c r="S16" t="str">
        <f t="shared" si="3"/>
        <v>High (&gt;20%)</v>
      </c>
    </row>
    <row r="17" spans="1:19" x14ac:dyDescent="0.3">
      <c r="A17" s="3" t="s">
        <v>74</v>
      </c>
      <c r="B17" s="2">
        <v>45485</v>
      </c>
      <c r="C17" s="3" t="s">
        <v>75</v>
      </c>
      <c r="D17" s="3" t="s">
        <v>16</v>
      </c>
      <c r="E17" s="3" t="s">
        <v>31</v>
      </c>
      <c r="F17" s="3" t="s">
        <v>18</v>
      </c>
      <c r="G17" s="3" t="s">
        <v>76</v>
      </c>
      <c r="H17" s="3" t="s">
        <v>77</v>
      </c>
      <c r="I17" s="5">
        <v>411.1</v>
      </c>
      <c r="J17" s="4">
        <v>2</v>
      </c>
      <c r="K17" s="1">
        <v>26</v>
      </c>
      <c r="L17" s="4">
        <v>35.159999999999997</v>
      </c>
      <c r="M17" s="3" t="s">
        <v>51</v>
      </c>
      <c r="N17" s="3" t="s">
        <v>22</v>
      </c>
      <c r="O17" s="2" t="str">
        <f t="shared" si="0"/>
        <v>07-2024</v>
      </c>
      <c r="P17" t="str">
        <f t="shared" si="1"/>
        <v>2024</v>
      </c>
      <c r="Q17" s="6">
        <f t="shared" si="4"/>
        <v>8.5526635855023098E-2</v>
      </c>
      <c r="R17" t="str">
        <f t="shared" si="2"/>
        <v>Profit</v>
      </c>
      <c r="S17" t="str">
        <f t="shared" si="3"/>
        <v>High (&gt;20%)</v>
      </c>
    </row>
    <row r="18" spans="1:19" x14ac:dyDescent="0.3">
      <c r="A18" s="3" t="s">
        <v>78</v>
      </c>
      <c r="B18" s="2">
        <v>45720</v>
      </c>
      <c r="C18" s="3" t="s">
        <v>42</v>
      </c>
      <c r="D18" s="3" t="s">
        <v>16</v>
      </c>
      <c r="E18" s="3" t="s">
        <v>25</v>
      </c>
      <c r="F18" s="3" t="s">
        <v>18</v>
      </c>
      <c r="G18" s="3" t="s">
        <v>76</v>
      </c>
      <c r="H18" s="3" t="s">
        <v>77</v>
      </c>
      <c r="I18" s="5">
        <v>9701.1</v>
      </c>
      <c r="J18" s="4">
        <v>6</v>
      </c>
      <c r="K18" s="1">
        <v>26</v>
      </c>
      <c r="L18" s="4">
        <v>1420.5</v>
      </c>
      <c r="M18" s="3" t="s">
        <v>51</v>
      </c>
      <c r="N18" s="3" t="s">
        <v>40</v>
      </c>
      <c r="O18" s="2" t="str">
        <f t="shared" si="0"/>
        <v>03-2025</v>
      </c>
      <c r="P18" t="str">
        <f t="shared" si="1"/>
        <v>2025</v>
      </c>
      <c r="Q18" s="6">
        <f t="shared" si="4"/>
        <v>0.14642669388007545</v>
      </c>
      <c r="R18" t="str">
        <f t="shared" si="2"/>
        <v>Profit</v>
      </c>
      <c r="S18" t="str">
        <f t="shared" si="3"/>
        <v>High (&gt;20%)</v>
      </c>
    </row>
    <row r="19" spans="1:19" x14ac:dyDescent="0.3">
      <c r="A19" s="3" t="s">
        <v>79</v>
      </c>
      <c r="B19" s="2">
        <v>45478</v>
      </c>
      <c r="C19" s="3" t="s">
        <v>73</v>
      </c>
      <c r="D19" s="3" t="s">
        <v>16</v>
      </c>
      <c r="E19" s="3" t="s">
        <v>31</v>
      </c>
      <c r="F19" s="3" t="s">
        <v>62</v>
      </c>
      <c r="G19" s="3" t="s">
        <v>80</v>
      </c>
      <c r="H19" s="3" t="s">
        <v>81</v>
      </c>
      <c r="I19" s="5">
        <v>2894.72</v>
      </c>
      <c r="J19" s="4">
        <v>2</v>
      </c>
      <c r="K19" s="1">
        <v>1</v>
      </c>
      <c r="L19" s="4">
        <v>589.64</v>
      </c>
      <c r="M19" s="3" t="s">
        <v>51</v>
      </c>
      <c r="N19" s="3" t="s">
        <v>35</v>
      </c>
      <c r="O19" s="2" t="str">
        <f t="shared" si="0"/>
        <v>07-2024</v>
      </c>
      <c r="P19" t="str">
        <f t="shared" si="1"/>
        <v>2024</v>
      </c>
      <c r="Q19" s="6">
        <f t="shared" si="4"/>
        <v>0.20369500331638293</v>
      </c>
      <c r="R19" t="str">
        <f t="shared" si="2"/>
        <v>Profit</v>
      </c>
      <c r="S19" t="str">
        <f t="shared" si="3"/>
        <v>Low (1-10%)</v>
      </c>
    </row>
    <row r="20" spans="1:19" x14ac:dyDescent="0.3">
      <c r="A20" s="3" t="s">
        <v>82</v>
      </c>
      <c r="B20" s="2">
        <v>45466</v>
      </c>
      <c r="C20" s="3" t="s">
        <v>15</v>
      </c>
      <c r="D20" s="3" t="s">
        <v>56</v>
      </c>
      <c r="E20" s="3" t="s">
        <v>57</v>
      </c>
      <c r="F20" s="3" t="s">
        <v>62</v>
      </c>
      <c r="G20" s="3" t="s">
        <v>80</v>
      </c>
      <c r="H20" s="3" t="s">
        <v>81</v>
      </c>
      <c r="I20" s="5">
        <v>15095.8</v>
      </c>
      <c r="J20" s="4">
        <v>10</v>
      </c>
      <c r="K20" s="1">
        <v>0</v>
      </c>
      <c r="L20" s="4">
        <v>1791.89</v>
      </c>
      <c r="M20" s="3" t="s">
        <v>51</v>
      </c>
      <c r="N20" s="3" t="s">
        <v>35</v>
      </c>
      <c r="O20" s="2" t="str">
        <f t="shared" si="0"/>
        <v>06-2024</v>
      </c>
      <c r="P20" t="str">
        <f t="shared" si="1"/>
        <v>2024</v>
      </c>
      <c r="Q20" s="6">
        <f t="shared" si="4"/>
        <v>0.1187012281561759</v>
      </c>
      <c r="R20" t="str">
        <f t="shared" si="2"/>
        <v>Profit</v>
      </c>
      <c r="S20" t="str">
        <f t="shared" si="3"/>
        <v>No Discount</v>
      </c>
    </row>
    <row r="21" spans="1:19" x14ac:dyDescent="0.3">
      <c r="A21" s="3" t="s">
        <v>83</v>
      </c>
      <c r="B21" s="2">
        <v>45596</v>
      </c>
      <c r="C21" s="3" t="s">
        <v>84</v>
      </c>
      <c r="D21" s="3" t="s">
        <v>56</v>
      </c>
      <c r="E21" s="3" t="s">
        <v>57</v>
      </c>
      <c r="F21" s="3" t="s">
        <v>32</v>
      </c>
      <c r="G21" s="3" t="s">
        <v>47</v>
      </c>
      <c r="H21" s="3" t="s">
        <v>48</v>
      </c>
      <c r="I21" s="5">
        <v>7913.6</v>
      </c>
      <c r="J21" s="4">
        <v>5</v>
      </c>
      <c r="K21" s="1">
        <v>27</v>
      </c>
      <c r="L21" s="4">
        <v>365.9</v>
      </c>
      <c r="M21" s="3" t="s">
        <v>28</v>
      </c>
      <c r="N21" s="3" t="s">
        <v>22</v>
      </c>
      <c r="O21" s="2" t="str">
        <f t="shared" si="0"/>
        <v>10-2024</v>
      </c>
      <c r="P21" t="str">
        <f t="shared" si="1"/>
        <v>2024</v>
      </c>
      <c r="Q21" s="6">
        <f t="shared" si="4"/>
        <v>4.6236858067124943E-2</v>
      </c>
      <c r="R21" t="str">
        <f t="shared" si="2"/>
        <v>Profit</v>
      </c>
      <c r="S21" t="str">
        <f t="shared" si="3"/>
        <v>High (&gt;20%)</v>
      </c>
    </row>
    <row r="22" spans="1:19" x14ac:dyDescent="0.3">
      <c r="A22" s="3" t="s">
        <v>85</v>
      </c>
      <c r="B22" s="2">
        <v>45680</v>
      </c>
      <c r="C22" s="3" t="s">
        <v>86</v>
      </c>
      <c r="D22" s="3" t="s">
        <v>38</v>
      </c>
      <c r="E22" s="3" t="s">
        <v>53</v>
      </c>
      <c r="F22" s="3" t="s">
        <v>32</v>
      </c>
      <c r="G22" s="3" t="s">
        <v>33</v>
      </c>
      <c r="H22" s="3" t="s">
        <v>34</v>
      </c>
      <c r="I22" s="5">
        <v>1344.77</v>
      </c>
      <c r="J22" s="4">
        <v>1</v>
      </c>
      <c r="K22" s="1">
        <v>25</v>
      </c>
      <c r="L22" s="4">
        <v>56.96</v>
      </c>
      <c r="M22" s="3" t="s">
        <v>28</v>
      </c>
      <c r="N22" s="3" t="s">
        <v>35</v>
      </c>
      <c r="O22" s="2" t="str">
        <f t="shared" si="0"/>
        <v>01-2025</v>
      </c>
      <c r="P22" t="str">
        <f t="shared" si="1"/>
        <v>2025</v>
      </c>
      <c r="Q22" s="6">
        <f t="shared" si="4"/>
        <v>4.2356685529867565E-2</v>
      </c>
      <c r="R22" t="str">
        <f t="shared" si="2"/>
        <v>Profit</v>
      </c>
      <c r="S22" t="str">
        <f t="shared" si="3"/>
        <v>High (&gt;20%)</v>
      </c>
    </row>
    <row r="23" spans="1:19" x14ac:dyDescent="0.3">
      <c r="A23" s="3" t="s">
        <v>87</v>
      </c>
      <c r="B23" s="2">
        <v>45712</v>
      </c>
      <c r="C23" s="3" t="s">
        <v>42</v>
      </c>
      <c r="D23" s="3" t="s">
        <v>56</v>
      </c>
      <c r="E23" s="3" t="s">
        <v>61</v>
      </c>
      <c r="F23" s="3" t="s">
        <v>32</v>
      </c>
      <c r="G23" s="3" t="s">
        <v>33</v>
      </c>
      <c r="H23" s="3" t="s">
        <v>34</v>
      </c>
      <c r="I23" s="5">
        <v>7816.32</v>
      </c>
      <c r="J23" s="4">
        <v>6</v>
      </c>
      <c r="K23" s="1">
        <v>1</v>
      </c>
      <c r="L23" s="4">
        <v>1009.31</v>
      </c>
      <c r="M23" s="3" t="s">
        <v>28</v>
      </c>
      <c r="N23" s="3" t="s">
        <v>35</v>
      </c>
      <c r="O23" s="2" t="str">
        <f t="shared" si="0"/>
        <v>02-2025</v>
      </c>
      <c r="P23" t="str">
        <f t="shared" si="1"/>
        <v>2025</v>
      </c>
      <c r="Q23" s="6">
        <f t="shared" si="4"/>
        <v>0.12912854130844181</v>
      </c>
      <c r="R23" t="str">
        <f t="shared" si="2"/>
        <v>Profit</v>
      </c>
      <c r="S23" t="str">
        <f t="shared" si="3"/>
        <v>Low (1-10%)</v>
      </c>
    </row>
    <row r="24" spans="1:19" x14ac:dyDescent="0.3">
      <c r="A24" s="3" t="s">
        <v>88</v>
      </c>
      <c r="B24" s="2">
        <v>45469</v>
      </c>
      <c r="C24" s="3" t="s">
        <v>73</v>
      </c>
      <c r="D24" s="3" t="s">
        <v>89</v>
      </c>
      <c r="E24" s="3" t="s">
        <v>90</v>
      </c>
      <c r="F24" s="3" t="s">
        <v>32</v>
      </c>
      <c r="G24" s="3" t="s">
        <v>33</v>
      </c>
      <c r="H24" s="3" t="s">
        <v>34</v>
      </c>
      <c r="I24" s="5">
        <v>17681.099999999999</v>
      </c>
      <c r="J24" s="4">
        <v>10</v>
      </c>
      <c r="K24" s="1">
        <v>26</v>
      </c>
      <c r="L24" s="4">
        <v>884.53</v>
      </c>
      <c r="M24" s="3" t="s">
        <v>21</v>
      </c>
      <c r="N24" s="3" t="s">
        <v>22</v>
      </c>
      <c r="O24" s="2" t="str">
        <f t="shared" si="0"/>
        <v>06-2024</v>
      </c>
      <c r="P24" t="str">
        <f t="shared" si="1"/>
        <v>2024</v>
      </c>
      <c r="Q24" s="6">
        <f t="shared" si="4"/>
        <v>5.0026864844381853E-2</v>
      </c>
      <c r="R24" t="str">
        <f t="shared" si="2"/>
        <v>Profit</v>
      </c>
      <c r="S24" t="str">
        <f t="shared" si="3"/>
        <v>High (&gt;20%)</v>
      </c>
    </row>
    <row r="25" spans="1:19" x14ac:dyDescent="0.3">
      <c r="A25" s="3" t="s">
        <v>91</v>
      </c>
      <c r="B25" s="2">
        <v>45689</v>
      </c>
      <c r="C25" s="3" t="s">
        <v>42</v>
      </c>
      <c r="D25" s="3" t="s">
        <v>38</v>
      </c>
      <c r="E25" s="3" t="s">
        <v>39</v>
      </c>
      <c r="F25" s="3" t="s">
        <v>62</v>
      </c>
      <c r="G25" s="3" t="s">
        <v>67</v>
      </c>
      <c r="H25" s="3" t="s">
        <v>68</v>
      </c>
      <c r="I25" s="5">
        <v>5216.7</v>
      </c>
      <c r="J25" s="4">
        <v>10</v>
      </c>
      <c r="K25" s="1">
        <v>21</v>
      </c>
      <c r="L25" s="4">
        <v>259.14999999999998</v>
      </c>
      <c r="M25" s="3" t="s">
        <v>21</v>
      </c>
      <c r="N25" s="3" t="s">
        <v>44</v>
      </c>
      <c r="O25" s="2" t="str">
        <f t="shared" si="0"/>
        <v>02-2025</v>
      </c>
      <c r="P25" t="str">
        <f t="shared" si="1"/>
        <v>2025</v>
      </c>
      <c r="Q25" s="6">
        <f t="shared" si="4"/>
        <v>4.967699886901681E-2</v>
      </c>
      <c r="R25" t="str">
        <f t="shared" si="2"/>
        <v>Profit</v>
      </c>
      <c r="S25" t="str">
        <f t="shared" si="3"/>
        <v>High (&gt;20%)</v>
      </c>
    </row>
    <row r="26" spans="1:19" x14ac:dyDescent="0.3">
      <c r="A26" s="3" t="s">
        <v>92</v>
      </c>
      <c r="B26" s="2">
        <v>45646</v>
      </c>
      <c r="C26" s="3" t="s">
        <v>37</v>
      </c>
      <c r="D26" s="3" t="s">
        <v>56</v>
      </c>
      <c r="E26" s="3" t="s">
        <v>61</v>
      </c>
      <c r="F26" s="3" t="s">
        <v>18</v>
      </c>
      <c r="G26" s="3" t="s">
        <v>76</v>
      </c>
      <c r="H26" s="3" t="s">
        <v>77</v>
      </c>
      <c r="I26" s="5">
        <v>9898.4699999999993</v>
      </c>
      <c r="J26" s="4">
        <v>9</v>
      </c>
      <c r="K26" s="1">
        <v>28</v>
      </c>
      <c r="L26" s="4">
        <v>1292.04</v>
      </c>
      <c r="M26" s="3" t="s">
        <v>51</v>
      </c>
      <c r="N26" s="3" t="s">
        <v>22</v>
      </c>
      <c r="O26" s="2" t="str">
        <f t="shared" si="0"/>
        <v>12-2024</v>
      </c>
      <c r="P26" t="str">
        <f t="shared" si="1"/>
        <v>2024</v>
      </c>
      <c r="Q26" s="6">
        <f t="shared" si="4"/>
        <v>0.13052926361346753</v>
      </c>
      <c r="R26" t="str">
        <f t="shared" si="2"/>
        <v>Profit</v>
      </c>
      <c r="S26" t="str">
        <f t="shared" si="3"/>
        <v>High (&gt;20%)</v>
      </c>
    </row>
    <row r="27" spans="1:19" x14ac:dyDescent="0.3">
      <c r="A27" s="3" t="s">
        <v>93</v>
      </c>
      <c r="B27" s="2">
        <v>45697</v>
      </c>
      <c r="C27" s="3" t="s">
        <v>75</v>
      </c>
      <c r="D27" s="3" t="s">
        <v>16</v>
      </c>
      <c r="E27" s="3" t="s">
        <v>25</v>
      </c>
      <c r="F27" s="3" t="s">
        <v>18</v>
      </c>
      <c r="G27" s="3" t="s">
        <v>94</v>
      </c>
      <c r="H27" s="3" t="s">
        <v>95</v>
      </c>
      <c r="I27" s="5">
        <v>15473</v>
      </c>
      <c r="J27" s="4">
        <v>10</v>
      </c>
      <c r="K27" s="1">
        <v>10</v>
      </c>
      <c r="L27" s="4">
        <v>1377.35</v>
      </c>
      <c r="M27" s="3" t="s">
        <v>28</v>
      </c>
      <c r="N27" s="3" t="s">
        <v>35</v>
      </c>
      <c r="O27" s="2" t="str">
        <f t="shared" si="0"/>
        <v>02-2025</v>
      </c>
      <c r="P27" t="str">
        <f t="shared" si="1"/>
        <v>2025</v>
      </c>
      <c r="Q27" s="6">
        <f t="shared" si="4"/>
        <v>8.9016351063142235E-2</v>
      </c>
      <c r="R27" t="str">
        <f t="shared" si="2"/>
        <v>Profit</v>
      </c>
      <c r="S27" t="str">
        <f t="shared" si="3"/>
        <v>Low (1-10%)</v>
      </c>
    </row>
    <row r="28" spans="1:19" x14ac:dyDescent="0.3">
      <c r="A28" s="3" t="s">
        <v>96</v>
      </c>
      <c r="B28" s="2">
        <v>45788</v>
      </c>
      <c r="C28" s="3" t="s">
        <v>70</v>
      </c>
      <c r="D28" s="3" t="s">
        <v>89</v>
      </c>
      <c r="E28" s="3" t="s">
        <v>97</v>
      </c>
      <c r="F28" s="3" t="s">
        <v>62</v>
      </c>
      <c r="G28" s="3" t="s">
        <v>63</v>
      </c>
      <c r="H28" s="3" t="s">
        <v>64</v>
      </c>
      <c r="I28" s="5">
        <v>8638.56</v>
      </c>
      <c r="J28" s="4">
        <v>8</v>
      </c>
      <c r="K28" s="1">
        <v>26</v>
      </c>
      <c r="L28" s="4">
        <v>1043.43</v>
      </c>
      <c r="M28" s="3" t="s">
        <v>28</v>
      </c>
      <c r="N28" s="3" t="s">
        <v>22</v>
      </c>
      <c r="O28" s="2" t="str">
        <f t="shared" si="0"/>
        <v>05-2025</v>
      </c>
      <c r="P28" t="str">
        <f t="shared" si="1"/>
        <v>2025</v>
      </c>
      <c r="Q28" s="6">
        <f t="shared" si="4"/>
        <v>0.12078749235983777</v>
      </c>
      <c r="R28" t="str">
        <f t="shared" si="2"/>
        <v>Profit</v>
      </c>
      <c r="S28" t="str">
        <f t="shared" si="3"/>
        <v>High (&gt;20%)</v>
      </c>
    </row>
    <row r="29" spans="1:19" x14ac:dyDescent="0.3">
      <c r="A29" s="3" t="s">
        <v>98</v>
      </c>
      <c r="B29" s="2">
        <v>45532</v>
      </c>
      <c r="C29" s="3" t="s">
        <v>99</v>
      </c>
      <c r="D29" s="3" t="s">
        <v>16</v>
      </c>
      <c r="E29" s="3" t="s">
        <v>17</v>
      </c>
      <c r="F29" s="3" t="s">
        <v>62</v>
      </c>
      <c r="G29" s="3" t="s">
        <v>63</v>
      </c>
      <c r="H29" s="3" t="s">
        <v>64</v>
      </c>
      <c r="I29" s="5">
        <v>1242.6600000000001</v>
      </c>
      <c r="J29" s="4">
        <v>3</v>
      </c>
      <c r="K29" s="1">
        <v>3</v>
      </c>
      <c r="L29" s="4">
        <v>63.8</v>
      </c>
      <c r="M29" s="3" t="s">
        <v>28</v>
      </c>
      <c r="N29" s="3" t="s">
        <v>44</v>
      </c>
      <c r="O29" s="2" t="str">
        <f t="shared" si="0"/>
        <v>08-2024</v>
      </c>
      <c r="P29" t="str">
        <f t="shared" si="1"/>
        <v>2024</v>
      </c>
      <c r="Q29" s="6">
        <f t="shared" si="4"/>
        <v>5.134147715384739E-2</v>
      </c>
      <c r="R29" t="str">
        <f t="shared" si="2"/>
        <v>Profit</v>
      </c>
      <c r="S29" t="str">
        <f t="shared" si="3"/>
        <v>Low (1-10%)</v>
      </c>
    </row>
    <row r="30" spans="1:19" x14ac:dyDescent="0.3">
      <c r="A30" s="3" t="s">
        <v>100</v>
      </c>
      <c r="B30" s="2">
        <v>45773</v>
      </c>
      <c r="C30" s="3" t="s">
        <v>101</v>
      </c>
      <c r="D30" s="3" t="s">
        <v>89</v>
      </c>
      <c r="E30" s="3" t="s">
        <v>102</v>
      </c>
      <c r="F30" s="3" t="s">
        <v>62</v>
      </c>
      <c r="G30" s="3" t="s">
        <v>103</v>
      </c>
      <c r="H30" s="3" t="s">
        <v>104</v>
      </c>
      <c r="I30" s="5">
        <v>802.35</v>
      </c>
      <c r="J30" s="4">
        <v>5</v>
      </c>
      <c r="K30" s="1">
        <v>24</v>
      </c>
      <c r="L30" s="4">
        <v>57.18</v>
      </c>
      <c r="M30" s="3" t="s">
        <v>28</v>
      </c>
      <c r="N30" s="3" t="s">
        <v>44</v>
      </c>
      <c r="O30" s="2" t="str">
        <f t="shared" si="0"/>
        <v>04-2025</v>
      </c>
      <c r="P30" t="str">
        <f t="shared" si="1"/>
        <v>2025</v>
      </c>
      <c r="Q30" s="6">
        <f t="shared" si="4"/>
        <v>7.126565713217424E-2</v>
      </c>
      <c r="R30" t="str">
        <f t="shared" si="2"/>
        <v>Profit</v>
      </c>
      <c r="S30" t="str">
        <f t="shared" si="3"/>
        <v>High (&gt;20%)</v>
      </c>
    </row>
    <row r="31" spans="1:19" x14ac:dyDescent="0.3">
      <c r="A31" s="3" t="s">
        <v>105</v>
      </c>
      <c r="B31" s="2">
        <v>45566</v>
      </c>
      <c r="C31" s="3" t="s">
        <v>99</v>
      </c>
      <c r="D31" s="3" t="s">
        <v>56</v>
      </c>
      <c r="E31" s="3" t="s">
        <v>57</v>
      </c>
      <c r="F31" s="3" t="s">
        <v>32</v>
      </c>
      <c r="G31" s="3" t="s">
        <v>33</v>
      </c>
      <c r="H31" s="3" t="s">
        <v>34</v>
      </c>
      <c r="I31" s="5">
        <v>3375.2</v>
      </c>
      <c r="J31" s="4">
        <v>2</v>
      </c>
      <c r="K31" s="1">
        <v>5</v>
      </c>
      <c r="L31" s="4">
        <v>722.26</v>
      </c>
      <c r="M31" s="3" t="s">
        <v>51</v>
      </c>
      <c r="N31" s="3" t="s">
        <v>22</v>
      </c>
      <c r="O31" s="2" t="str">
        <f t="shared" si="0"/>
        <v>10-2024</v>
      </c>
      <c r="P31" t="str">
        <f t="shared" si="1"/>
        <v>2024</v>
      </c>
      <c r="Q31" s="6">
        <f t="shared" si="4"/>
        <v>0.21399028205735957</v>
      </c>
      <c r="R31" t="str">
        <f t="shared" si="2"/>
        <v>Profit</v>
      </c>
      <c r="S31" t="str">
        <f t="shared" si="3"/>
        <v>Low (1-10%)</v>
      </c>
    </row>
    <row r="32" spans="1:19" x14ac:dyDescent="0.3">
      <c r="A32" s="3" t="s">
        <v>106</v>
      </c>
      <c r="B32" s="2">
        <v>45447</v>
      </c>
      <c r="C32" s="3" t="s">
        <v>15</v>
      </c>
      <c r="D32" s="3" t="s">
        <v>89</v>
      </c>
      <c r="E32" s="3" t="s">
        <v>102</v>
      </c>
      <c r="F32" s="3" t="s">
        <v>18</v>
      </c>
      <c r="G32" s="3" t="s">
        <v>94</v>
      </c>
      <c r="H32" s="3" t="s">
        <v>95</v>
      </c>
      <c r="I32" s="5">
        <v>2209.2800000000002</v>
      </c>
      <c r="J32" s="4">
        <v>8</v>
      </c>
      <c r="K32" s="1">
        <v>4</v>
      </c>
      <c r="L32" s="4">
        <v>217.17</v>
      </c>
      <c r="M32" s="3" t="s">
        <v>28</v>
      </c>
      <c r="N32" s="3" t="s">
        <v>22</v>
      </c>
      <c r="O32" s="2" t="str">
        <f t="shared" si="0"/>
        <v>06-2024</v>
      </c>
      <c r="P32" t="str">
        <f t="shared" si="1"/>
        <v>2024</v>
      </c>
      <c r="Q32" s="6">
        <f t="shared" si="4"/>
        <v>9.8298993337195814E-2</v>
      </c>
      <c r="R32" t="str">
        <f t="shared" si="2"/>
        <v>Profit</v>
      </c>
      <c r="S32" t="str">
        <f t="shared" si="3"/>
        <v>Low (1-10%)</v>
      </c>
    </row>
    <row r="33" spans="1:19" x14ac:dyDescent="0.3">
      <c r="A33" s="3" t="s">
        <v>107</v>
      </c>
      <c r="B33" s="2">
        <v>45424</v>
      </c>
      <c r="C33" s="3" t="s">
        <v>24</v>
      </c>
      <c r="D33" s="3" t="s">
        <v>56</v>
      </c>
      <c r="E33" s="3" t="s">
        <v>108</v>
      </c>
      <c r="F33" s="3" t="s">
        <v>62</v>
      </c>
      <c r="G33" s="3" t="s">
        <v>63</v>
      </c>
      <c r="H33" s="3" t="s">
        <v>64</v>
      </c>
      <c r="I33" s="5">
        <v>6503.75</v>
      </c>
      <c r="J33" s="4">
        <v>5</v>
      </c>
      <c r="K33" s="1">
        <v>12</v>
      </c>
      <c r="L33" s="4">
        <v>510.77</v>
      </c>
      <c r="M33" s="3" t="s">
        <v>21</v>
      </c>
      <c r="N33" s="3" t="s">
        <v>40</v>
      </c>
      <c r="O33" s="2" t="str">
        <f t="shared" si="0"/>
        <v>05-2024</v>
      </c>
      <c r="P33" t="str">
        <f t="shared" si="1"/>
        <v>2024</v>
      </c>
      <c r="Q33" s="6">
        <f t="shared" si="4"/>
        <v>7.8534691524120695E-2</v>
      </c>
      <c r="R33" t="str">
        <f t="shared" si="2"/>
        <v>Profit</v>
      </c>
      <c r="S33" t="str">
        <f t="shared" si="3"/>
        <v>Mid (11-20%)</v>
      </c>
    </row>
    <row r="34" spans="1:19" x14ac:dyDescent="0.3">
      <c r="A34" s="3" t="s">
        <v>109</v>
      </c>
      <c r="B34" s="2">
        <v>45779</v>
      </c>
      <c r="C34" s="3" t="s">
        <v>42</v>
      </c>
      <c r="D34" s="3" t="s">
        <v>38</v>
      </c>
      <c r="E34" s="3" t="s">
        <v>71</v>
      </c>
      <c r="F34" s="3" t="s">
        <v>32</v>
      </c>
      <c r="G34" s="3" t="s">
        <v>47</v>
      </c>
      <c r="H34" s="3" t="s">
        <v>48</v>
      </c>
      <c r="I34" s="5">
        <v>7153.4</v>
      </c>
      <c r="J34" s="4">
        <v>4</v>
      </c>
      <c r="K34" s="1">
        <v>18</v>
      </c>
      <c r="L34" s="4">
        <v>1309.46</v>
      </c>
      <c r="M34" s="3" t="s">
        <v>51</v>
      </c>
      <c r="N34" s="3" t="s">
        <v>44</v>
      </c>
      <c r="O34" s="2" t="str">
        <f t="shared" si="0"/>
        <v>05-2025</v>
      </c>
      <c r="P34" t="str">
        <f t="shared" si="1"/>
        <v>2025</v>
      </c>
      <c r="Q34" s="6">
        <f t="shared" si="4"/>
        <v>0.18305421198311295</v>
      </c>
      <c r="R34" t="str">
        <f t="shared" si="2"/>
        <v>Profit</v>
      </c>
      <c r="S34" t="str">
        <f t="shared" si="3"/>
        <v>Mid (11-20%)</v>
      </c>
    </row>
    <row r="35" spans="1:19" x14ac:dyDescent="0.3">
      <c r="A35" s="3" t="s">
        <v>110</v>
      </c>
      <c r="B35" s="2">
        <v>45701</v>
      </c>
      <c r="C35" s="3" t="s">
        <v>75</v>
      </c>
      <c r="D35" s="3" t="s">
        <v>89</v>
      </c>
      <c r="E35" s="3" t="s">
        <v>90</v>
      </c>
      <c r="F35" s="3" t="s">
        <v>62</v>
      </c>
      <c r="G35" s="3" t="s">
        <v>80</v>
      </c>
      <c r="H35" s="3" t="s">
        <v>81</v>
      </c>
      <c r="I35" s="5">
        <v>8470.5499999999993</v>
      </c>
      <c r="J35" s="4">
        <v>5</v>
      </c>
      <c r="K35" s="1">
        <v>5</v>
      </c>
      <c r="L35" s="4">
        <v>1774.25</v>
      </c>
      <c r="M35" s="3" t="s">
        <v>28</v>
      </c>
      <c r="N35" s="3" t="s">
        <v>44</v>
      </c>
      <c r="O35" s="2" t="str">
        <f t="shared" si="0"/>
        <v>02-2025</v>
      </c>
      <c r="P35" t="str">
        <f t="shared" si="1"/>
        <v>2025</v>
      </c>
      <c r="Q35" s="6">
        <f t="shared" si="4"/>
        <v>0.20946101492819241</v>
      </c>
      <c r="R35" t="str">
        <f t="shared" si="2"/>
        <v>Profit</v>
      </c>
      <c r="S35" t="str">
        <f t="shared" si="3"/>
        <v>Low (1-10%)</v>
      </c>
    </row>
    <row r="36" spans="1:19" x14ac:dyDescent="0.3">
      <c r="A36" s="3" t="s">
        <v>111</v>
      </c>
      <c r="B36" s="2">
        <v>45479</v>
      </c>
      <c r="C36" s="3" t="s">
        <v>50</v>
      </c>
      <c r="D36" s="3" t="s">
        <v>38</v>
      </c>
      <c r="E36" s="3" t="s">
        <v>71</v>
      </c>
      <c r="F36" s="3" t="s">
        <v>32</v>
      </c>
      <c r="G36" s="3" t="s">
        <v>112</v>
      </c>
      <c r="H36" s="3" t="s">
        <v>113</v>
      </c>
      <c r="I36" s="5">
        <v>6147.72</v>
      </c>
      <c r="J36" s="4">
        <v>4</v>
      </c>
      <c r="K36" s="1">
        <v>7.0000000000000009</v>
      </c>
      <c r="L36" s="4">
        <v>1020</v>
      </c>
      <c r="M36" s="3" t="s">
        <v>51</v>
      </c>
      <c r="N36" s="3" t="s">
        <v>35</v>
      </c>
      <c r="O36" s="2" t="str">
        <f t="shared" si="0"/>
        <v>07-2024</v>
      </c>
      <c r="P36" t="str">
        <f t="shared" si="1"/>
        <v>2024</v>
      </c>
      <c r="Q36" s="6">
        <f t="shared" si="4"/>
        <v>0.16591516855029181</v>
      </c>
      <c r="R36" t="str">
        <f t="shared" si="2"/>
        <v>Profit</v>
      </c>
      <c r="S36" t="str">
        <f t="shared" si="3"/>
        <v>Low (1-10%)</v>
      </c>
    </row>
    <row r="37" spans="1:19" x14ac:dyDescent="0.3">
      <c r="A37" s="3" t="s">
        <v>114</v>
      </c>
      <c r="B37" s="2">
        <v>45437</v>
      </c>
      <c r="C37" s="3" t="s">
        <v>75</v>
      </c>
      <c r="D37" s="3" t="s">
        <v>16</v>
      </c>
      <c r="E37" s="3" t="s">
        <v>17</v>
      </c>
      <c r="F37" s="3" t="s">
        <v>62</v>
      </c>
      <c r="G37" s="3" t="s">
        <v>63</v>
      </c>
      <c r="H37" s="3" t="s">
        <v>64</v>
      </c>
      <c r="I37" s="5">
        <v>2836.5</v>
      </c>
      <c r="J37" s="4">
        <v>5</v>
      </c>
      <c r="K37" s="1">
        <v>2</v>
      </c>
      <c r="L37" s="4">
        <v>628.39</v>
      </c>
      <c r="M37" s="3" t="s">
        <v>21</v>
      </c>
      <c r="N37" s="3" t="s">
        <v>35</v>
      </c>
      <c r="O37" s="2" t="str">
        <f t="shared" si="0"/>
        <v>05-2024</v>
      </c>
      <c r="P37" t="str">
        <f t="shared" si="1"/>
        <v>2024</v>
      </c>
      <c r="Q37" s="6">
        <f t="shared" si="4"/>
        <v>0.22153710558787237</v>
      </c>
      <c r="R37" t="str">
        <f t="shared" si="2"/>
        <v>Profit</v>
      </c>
      <c r="S37" t="str">
        <f t="shared" si="3"/>
        <v>Low (1-10%)</v>
      </c>
    </row>
    <row r="38" spans="1:19" x14ac:dyDescent="0.3">
      <c r="A38" s="3" t="s">
        <v>115</v>
      </c>
      <c r="B38" s="2">
        <v>45556</v>
      </c>
      <c r="C38" s="3" t="s">
        <v>73</v>
      </c>
      <c r="D38" s="3" t="s">
        <v>89</v>
      </c>
      <c r="E38" s="3" t="s">
        <v>116</v>
      </c>
      <c r="F38" s="3" t="s">
        <v>18</v>
      </c>
      <c r="G38" s="3" t="s">
        <v>19</v>
      </c>
      <c r="H38" s="3" t="s">
        <v>20</v>
      </c>
      <c r="I38" s="5">
        <v>1870.92</v>
      </c>
      <c r="J38" s="4">
        <v>1</v>
      </c>
      <c r="K38" s="1">
        <v>0</v>
      </c>
      <c r="L38" s="4">
        <v>104.31</v>
      </c>
      <c r="M38" s="3" t="s">
        <v>21</v>
      </c>
      <c r="N38" s="3" t="s">
        <v>22</v>
      </c>
      <c r="O38" s="2" t="str">
        <f t="shared" si="0"/>
        <v>09-2024</v>
      </c>
      <c r="P38" t="str">
        <f t="shared" si="1"/>
        <v>2024</v>
      </c>
      <c r="Q38" s="6">
        <f t="shared" si="4"/>
        <v>5.5753319222628439E-2</v>
      </c>
      <c r="R38" t="str">
        <f t="shared" si="2"/>
        <v>Profit</v>
      </c>
      <c r="S38" t="str">
        <f t="shared" si="3"/>
        <v>No Discount</v>
      </c>
    </row>
    <row r="39" spans="1:19" x14ac:dyDescent="0.3">
      <c r="A39" s="3" t="s">
        <v>117</v>
      </c>
      <c r="B39" s="2">
        <v>45487</v>
      </c>
      <c r="C39" s="3" t="s">
        <v>15</v>
      </c>
      <c r="D39" s="3" t="s">
        <v>16</v>
      </c>
      <c r="E39" s="3" t="s">
        <v>31</v>
      </c>
      <c r="F39" s="3" t="s">
        <v>32</v>
      </c>
      <c r="G39" s="3" t="s">
        <v>33</v>
      </c>
      <c r="H39" s="3" t="s">
        <v>34</v>
      </c>
      <c r="I39" s="5">
        <v>9352.85</v>
      </c>
      <c r="J39" s="4">
        <v>5</v>
      </c>
      <c r="K39" s="1">
        <v>23</v>
      </c>
      <c r="L39" s="4">
        <v>717.65</v>
      </c>
      <c r="M39" s="3" t="s">
        <v>28</v>
      </c>
      <c r="N39" s="3" t="s">
        <v>22</v>
      </c>
      <c r="O39" s="2" t="str">
        <f t="shared" si="0"/>
        <v>07-2024</v>
      </c>
      <c r="P39" t="str">
        <f t="shared" si="1"/>
        <v>2024</v>
      </c>
      <c r="Q39" s="6">
        <f t="shared" si="4"/>
        <v>7.6730622216757458E-2</v>
      </c>
      <c r="R39" t="str">
        <f t="shared" si="2"/>
        <v>Profit</v>
      </c>
      <c r="S39" t="str">
        <f t="shared" si="3"/>
        <v>High (&gt;20%)</v>
      </c>
    </row>
    <row r="40" spans="1:19" x14ac:dyDescent="0.3">
      <c r="A40" s="3" t="s">
        <v>118</v>
      </c>
      <c r="B40" s="2">
        <v>45504</v>
      </c>
      <c r="C40" s="3" t="s">
        <v>24</v>
      </c>
      <c r="D40" s="3" t="s">
        <v>89</v>
      </c>
      <c r="E40" s="3" t="s">
        <v>90</v>
      </c>
      <c r="F40" s="3" t="s">
        <v>18</v>
      </c>
      <c r="G40" s="3" t="s">
        <v>19</v>
      </c>
      <c r="H40" s="3" t="s">
        <v>20</v>
      </c>
      <c r="I40" s="5">
        <v>4498.8599999999997</v>
      </c>
      <c r="J40" s="4">
        <v>3</v>
      </c>
      <c r="K40" s="1">
        <v>22</v>
      </c>
      <c r="L40" s="4">
        <v>862.46</v>
      </c>
      <c r="M40" s="3" t="s">
        <v>51</v>
      </c>
      <c r="N40" s="3" t="s">
        <v>44</v>
      </c>
      <c r="O40" s="2" t="str">
        <f t="shared" si="0"/>
        <v>07-2024</v>
      </c>
      <c r="P40" t="str">
        <f t="shared" si="1"/>
        <v>2024</v>
      </c>
      <c r="Q40" s="6">
        <f t="shared" si="4"/>
        <v>0.19170634338476861</v>
      </c>
      <c r="R40" t="str">
        <f t="shared" si="2"/>
        <v>Profit</v>
      </c>
      <c r="S40" t="str">
        <f t="shared" si="3"/>
        <v>High (&gt;20%)</v>
      </c>
    </row>
    <row r="41" spans="1:19" x14ac:dyDescent="0.3">
      <c r="A41" s="3" t="s">
        <v>119</v>
      </c>
      <c r="B41" s="2">
        <v>45752</v>
      </c>
      <c r="C41" s="3" t="s">
        <v>42</v>
      </c>
      <c r="D41" s="3" t="s">
        <v>38</v>
      </c>
      <c r="E41" s="3" t="s">
        <v>53</v>
      </c>
      <c r="F41" s="3" t="s">
        <v>32</v>
      </c>
      <c r="G41" s="3" t="s">
        <v>58</v>
      </c>
      <c r="H41" s="3" t="s">
        <v>59</v>
      </c>
      <c r="I41" s="5">
        <v>4073.37</v>
      </c>
      <c r="J41" s="4">
        <v>7</v>
      </c>
      <c r="K41" s="1">
        <v>24</v>
      </c>
      <c r="L41" s="4">
        <v>528.49</v>
      </c>
      <c r="M41" s="3" t="s">
        <v>21</v>
      </c>
      <c r="N41" s="3" t="s">
        <v>22</v>
      </c>
      <c r="O41" s="2" t="str">
        <f t="shared" si="0"/>
        <v>04-2025</v>
      </c>
      <c r="P41" t="str">
        <f t="shared" si="1"/>
        <v>2025</v>
      </c>
      <c r="Q41" s="6">
        <f t="shared" si="4"/>
        <v>0.12974269462386182</v>
      </c>
      <c r="R41" t="str">
        <f t="shared" si="2"/>
        <v>Profit</v>
      </c>
      <c r="S41" t="str">
        <f t="shared" si="3"/>
        <v>High (&gt;20%)</v>
      </c>
    </row>
    <row r="42" spans="1:19" x14ac:dyDescent="0.3">
      <c r="A42" s="3" t="s">
        <v>120</v>
      </c>
      <c r="B42" s="2">
        <v>45439</v>
      </c>
      <c r="C42" s="3" t="s">
        <v>84</v>
      </c>
      <c r="D42" s="3" t="s">
        <v>38</v>
      </c>
      <c r="E42" s="3" t="s">
        <v>71</v>
      </c>
      <c r="F42" s="3" t="s">
        <v>32</v>
      </c>
      <c r="G42" s="3" t="s">
        <v>112</v>
      </c>
      <c r="H42" s="3" t="s">
        <v>113</v>
      </c>
      <c r="I42" s="5">
        <v>4120.0600000000004</v>
      </c>
      <c r="J42" s="4">
        <v>7</v>
      </c>
      <c r="K42" s="1">
        <v>25</v>
      </c>
      <c r="L42" s="4">
        <v>565.57000000000005</v>
      </c>
      <c r="M42" s="3" t="s">
        <v>51</v>
      </c>
      <c r="N42" s="3" t="s">
        <v>35</v>
      </c>
      <c r="O42" s="2" t="str">
        <f t="shared" si="0"/>
        <v>05-2024</v>
      </c>
      <c r="P42" t="str">
        <f t="shared" si="1"/>
        <v>2024</v>
      </c>
      <c r="Q42" s="6">
        <f t="shared" si="4"/>
        <v>0.13727227273389223</v>
      </c>
      <c r="R42" t="str">
        <f t="shared" si="2"/>
        <v>Profit</v>
      </c>
      <c r="S42" t="str">
        <f t="shared" si="3"/>
        <v>High (&gt;20%)</v>
      </c>
    </row>
    <row r="43" spans="1:19" x14ac:dyDescent="0.3">
      <c r="A43" s="3" t="s">
        <v>121</v>
      </c>
      <c r="B43" s="2">
        <v>45515</v>
      </c>
      <c r="C43" s="3" t="s">
        <v>66</v>
      </c>
      <c r="D43" s="3" t="s">
        <v>38</v>
      </c>
      <c r="E43" s="3" t="s">
        <v>39</v>
      </c>
      <c r="F43" s="3" t="s">
        <v>32</v>
      </c>
      <c r="G43" s="3" t="s">
        <v>112</v>
      </c>
      <c r="H43" s="3" t="s">
        <v>113</v>
      </c>
      <c r="I43" s="5">
        <v>4954.95</v>
      </c>
      <c r="J43" s="4">
        <v>9</v>
      </c>
      <c r="K43" s="1">
        <v>11</v>
      </c>
      <c r="L43" s="4">
        <v>884.66</v>
      </c>
      <c r="M43" s="3" t="s">
        <v>28</v>
      </c>
      <c r="N43" s="3" t="s">
        <v>22</v>
      </c>
      <c r="O43" s="2" t="str">
        <f t="shared" si="0"/>
        <v>08-2024</v>
      </c>
      <c r="P43" t="str">
        <f t="shared" si="1"/>
        <v>2024</v>
      </c>
      <c r="Q43" s="6">
        <f t="shared" si="4"/>
        <v>0.17854065126792398</v>
      </c>
      <c r="R43" t="str">
        <f t="shared" si="2"/>
        <v>Profit</v>
      </c>
      <c r="S43" t="str">
        <f t="shared" si="3"/>
        <v>Mid (11-20%)</v>
      </c>
    </row>
    <row r="44" spans="1:19" x14ac:dyDescent="0.3">
      <c r="A44" s="3" t="s">
        <v>122</v>
      </c>
      <c r="B44" s="2">
        <v>45516</v>
      </c>
      <c r="C44" s="3" t="s">
        <v>50</v>
      </c>
      <c r="D44" s="3" t="s">
        <v>16</v>
      </c>
      <c r="E44" s="3" t="s">
        <v>31</v>
      </c>
      <c r="F44" s="3" t="s">
        <v>18</v>
      </c>
      <c r="G44" s="3" t="s">
        <v>26</v>
      </c>
      <c r="H44" s="3" t="s">
        <v>27</v>
      </c>
      <c r="I44" s="5">
        <v>13218.4</v>
      </c>
      <c r="J44" s="4">
        <v>8</v>
      </c>
      <c r="K44" s="1">
        <v>14</v>
      </c>
      <c r="L44" s="4">
        <v>1949.19</v>
      </c>
      <c r="M44" s="3" t="s">
        <v>51</v>
      </c>
      <c r="N44" s="3" t="s">
        <v>35</v>
      </c>
      <c r="O44" s="2" t="str">
        <f t="shared" si="0"/>
        <v>08-2024</v>
      </c>
      <c r="P44" t="str">
        <f t="shared" si="1"/>
        <v>2024</v>
      </c>
      <c r="Q44" s="6">
        <f t="shared" si="4"/>
        <v>0.14746035828844642</v>
      </c>
      <c r="R44" t="str">
        <f t="shared" si="2"/>
        <v>Profit</v>
      </c>
      <c r="S44" t="str">
        <f t="shared" si="3"/>
        <v>Mid (11-20%)</v>
      </c>
    </row>
    <row r="45" spans="1:19" x14ac:dyDescent="0.3">
      <c r="A45" s="3" t="s">
        <v>123</v>
      </c>
      <c r="B45" s="2">
        <v>45765</v>
      </c>
      <c r="C45" s="3" t="s">
        <v>24</v>
      </c>
      <c r="D45" s="3" t="s">
        <v>16</v>
      </c>
      <c r="E45" s="3" t="s">
        <v>31</v>
      </c>
      <c r="F45" s="3" t="s">
        <v>32</v>
      </c>
      <c r="G45" s="3" t="s">
        <v>58</v>
      </c>
      <c r="H45" s="3" t="s">
        <v>59</v>
      </c>
      <c r="I45" s="5">
        <v>8531.8799999999992</v>
      </c>
      <c r="J45" s="4">
        <v>7</v>
      </c>
      <c r="K45" s="1">
        <v>3</v>
      </c>
      <c r="L45" s="4">
        <v>1496.19</v>
      </c>
      <c r="M45" s="3" t="s">
        <v>51</v>
      </c>
      <c r="N45" s="3" t="s">
        <v>22</v>
      </c>
      <c r="O45" s="2" t="str">
        <f t="shared" si="0"/>
        <v>04-2025</v>
      </c>
      <c r="P45" t="str">
        <f t="shared" si="1"/>
        <v>2025</v>
      </c>
      <c r="Q45" s="6">
        <f t="shared" si="4"/>
        <v>0.17536463241395803</v>
      </c>
      <c r="R45" t="str">
        <f t="shared" si="2"/>
        <v>Profit</v>
      </c>
      <c r="S45" t="str">
        <f t="shared" si="3"/>
        <v>Low (1-10%)</v>
      </c>
    </row>
    <row r="46" spans="1:19" x14ac:dyDescent="0.3">
      <c r="A46" s="3" t="s">
        <v>124</v>
      </c>
      <c r="B46" s="2">
        <v>45642</v>
      </c>
      <c r="C46" s="3" t="s">
        <v>42</v>
      </c>
      <c r="D46" s="3" t="s">
        <v>89</v>
      </c>
      <c r="E46" s="3" t="s">
        <v>90</v>
      </c>
      <c r="F46" s="3" t="s">
        <v>18</v>
      </c>
      <c r="G46" s="3" t="s">
        <v>19</v>
      </c>
      <c r="H46" s="3" t="s">
        <v>20</v>
      </c>
      <c r="I46" s="5">
        <v>2359.92</v>
      </c>
      <c r="J46" s="4">
        <v>3</v>
      </c>
      <c r="K46" s="1">
        <v>3</v>
      </c>
      <c r="L46" s="4">
        <v>183.13</v>
      </c>
      <c r="M46" s="3" t="s">
        <v>28</v>
      </c>
      <c r="N46" s="3" t="s">
        <v>40</v>
      </c>
      <c r="O46" s="2" t="str">
        <f t="shared" si="0"/>
        <v>12-2024</v>
      </c>
      <c r="P46" t="str">
        <f t="shared" si="1"/>
        <v>2024</v>
      </c>
      <c r="Q46" s="6">
        <f t="shared" si="4"/>
        <v>7.7600088138580964E-2</v>
      </c>
      <c r="R46" t="str">
        <f t="shared" si="2"/>
        <v>Profit</v>
      </c>
      <c r="S46" t="str">
        <f t="shared" si="3"/>
        <v>Low (1-10%)</v>
      </c>
    </row>
    <row r="47" spans="1:19" x14ac:dyDescent="0.3">
      <c r="A47" s="3" t="s">
        <v>125</v>
      </c>
      <c r="B47" s="2">
        <v>45511</v>
      </c>
      <c r="C47" s="3" t="s">
        <v>101</v>
      </c>
      <c r="D47" s="3" t="s">
        <v>89</v>
      </c>
      <c r="E47" s="3" t="s">
        <v>97</v>
      </c>
      <c r="F47" s="3" t="s">
        <v>18</v>
      </c>
      <c r="G47" s="3" t="s">
        <v>19</v>
      </c>
      <c r="H47" s="3" t="s">
        <v>20</v>
      </c>
      <c r="I47" s="5">
        <v>655.93</v>
      </c>
      <c r="J47" s="4">
        <v>1</v>
      </c>
      <c r="K47" s="1">
        <v>12</v>
      </c>
      <c r="L47" s="4">
        <v>62.71</v>
      </c>
      <c r="M47" s="3" t="s">
        <v>21</v>
      </c>
      <c r="N47" s="3" t="s">
        <v>44</v>
      </c>
      <c r="O47" s="2" t="str">
        <f t="shared" si="0"/>
        <v>08-2024</v>
      </c>
      <c r="P47" t="str">
        <f t="shared" si="1"/>
        <v>2024</v>
      </c>
      <c r="Q47" s="6">
        <f t="shared" si="4"/>
        <v>9.5604713917643663E-2</v>
      </c>
      <c r="R47" t="str">
        <f t="shared" si="2"/>
        <v>Profit</v>
      </c>
      <c r="S47" t="str">
        <f t="shared" si="3"/>
        <v>Mid (11-20%)</v>
      </c>
    </row>
    <row r="48" spans="1:19" x14ac:dyDescent="0.3">
      <c r="A48" s="3" t="s">
        <v>126</v>
      </c>
      <c r="B48" s="2">
        <v>45714</v>
      </c>
      <c r="C48" s="3" t="s">
        <v>37</v>
      </c>
      <c r="D48" s="3" t="s">
        <v>56</v>
      </c>
      <c r="E48" s="3" t="s">
        <v>57</v>
      </c>
      <c r="F48" s="3" t="s">
        <v>62</v>
      </c>
      <c r="G48" s="3" t="s">
        <v>67</v>
      </c>
      <c r="H48" s="3" t="s">
        <v>68</v>
      </c>
      <c r="I48" s="5">
        <v>358.98</v>
      </c>
      <c r="J48" s="4">
        <v>1</v>
      </c>
      <c r="K48" s="1">
        <v>9</v>
      </c>
      <c r="L48" s="4">
        <v>71.81</v>
      </c>
      <c r="M48" s="3" t="s">
        <v>21</v>
      </c>
      <c r="N48" s="3" t="s">
        <v>22</v>
      </c>
      <c r="O48" s="2" t="str">
        <f t="shared" si="0"/>
        <v>02-2025</v>
      </c>
      <c r="P48" t="str">
        <f t="shared" si="1"/>
        <v>2025</v>
      </c>
      <c r="Q48" s="6">
        <f t="shared" si="4"/>
        <v>0.20003899938715247</v>
      </c>
      <c r="R48" t="str">
        <f t="shared" si="2"/>
        <v>Profit</v>
      </c>
      <c r="S48" t="str">
        <f t="shared" si="3"/>
        <v>Low (1-10%)</v>
      </c>
    </row>
    <row r="49" spans="1:19" x14ac:dyDescent="0.3">
      <c r="A49" s="3" t="s">
        <v>127</v>
      </c>
      <c r="B49" s="2">
        <v>45609</v>
      </c>
      <c r="C49" s="3" t="s">
        <v>66</v>
      </c>
      <c r="D49" s="3" t="s">
        <v>16</v>
      </c>
      <c r="E49" s="3" t="s">
        <v>17</v>
      </c>
      <c r="F49" s="3" t="s">
        <v>32</v>
      </c>
      <c r="G49" s="3" t="s">
        <v>47</v>
      </c>
      <c r="H49" s="3" t="s">
        <v>48</v>
      </c>
      <c r="I49" s="5">
        <v>1902.93</v>
      </c>
      <c r="J49" s="4">
        <v>1</v>
      </c>
      <c r="K49" s="1">
        <v>15</v>
      </c>
      <c r="L49" s="4">
        <v>365.62</v>
      </c>
      <c r="M49" s="3" t="s">
        <v>21</v>
      </c>
      <c r="N49" s="3" t="s">
        <v>44</v>
      </c>
      <c r="O49" s="2" t="str">
        <f t="shared" si="0"/>
        <v>11-2024</v>
      </c>
      <c r="P49" t="str">
        <f t="shared" si="1"/>
        <v>2024</v>
      </c>
      <c r="Q49" s="6">
        <f t="shared" si="4"/>
        <v>0.19213528611141764</v>
      </c>
      <c r="R49" t="str">
        <f t="shared" si="2"/>
        <v>Profit</v>
      </c>
      <c r="S49" t="str">
        <f t="shared" si="3"/>
        <v>Mid (11-20%)</v>
      </c>
    </row>
    <row r="50" spans="1:19" x14ac:dyDescent="0.3">
      <c r="A50" s="3" t="s">
        <v>128</v>
      </c>
      <c r="B50" s="2">
        <v>45719</v>
      </c>
      <c r="C50" s="3" t="s">
        <v>86</v>
      </c>
      <c r="D50" s="3" t="s">
        <v>56</v>
      </c>
      <c r="E50" s="3" t="s">
        <v>61</v>
      </c>
      <c r="F50" s="3" t="s">
        <v>32</v>
      </c>
      <c r="G50" s="3" t="s">
        <v>33</v>
      </c>
      <c r="H50" s="3" t="s">
        <v>34</v>
      </c>
      <c r="I50" s="5">
        <v>5095.6499999999996</v>
      </c>
      <c r="J50" s="4">
        <v>7</v>
      </c>
      <c r="K50" s="1">
        <v>5</v>
      </c>
      <c r="L50" s="4">
        <v>808.51</v>
      </c>
      <c r="M50" s="3" t="s">
        <v>21</v>
      </c>
      <c r="N50" s="3" t="s">
        <v>35</v>
      </c>
      <c r="O50" s="2" t="str">
        <f t="shared" si="0"/>
        <v>03-2025</v>
      </c>
      <c r="P50" t="str">
        <f t="shared" si="1"/>
        <v>2025</v>
      </c>
      <c r="Q50" s="6">
        <f t="shared" si="4"/>
        <v>0.15866670591583018</v>
      </c>
      <c r="R50" t="str">
        <f t="shared" si="2"/>
        <v>Profit</v>
      </c>
      <c r="S50" t="str">
        <f t="shared" si="3"/>
        <v>Low (1-10%)</v>
      </c>
    </row>
    <row r="51" spans="1:19" x14ac:dyDescent="0.3">
      <c r="A51" s="3" t="s">
        <v>129</v>
      </c>
      <c r="B51" s="2">
        <v>45520</v>
      </c>
      <c r="C51" s="3" t="s">
        <v>101</v>
      </c>
      <c r="D51" s="3" t="s">
        <v>56</v>
      </c>
      <c r="E51" s="3" t="s">
        <v>57</v>
      </c>
      <c r="F51" s="3" t="s">
        <v>62</v>
      </c>
      <c r="G51" s="3" t="s">
        <v>80</v>
      </c>
      <c r="H51" s="3" t="s">
        <v>81</v>
      </c>
      <c r="I51" s="5">
        <v>11397.75</v>
      </c>
      <c r="J51" s="4">
        <v>7</v>
      </c>
      <c r="K51" s="1">
        <v>1</v>
      </c>
      <c r="L51" s="4">
        <v>2719.65</v>
      </c>
      <c r="M51" s="3" t="s">
        <v>51</v>
      </c>
      <c r="N51" s="3" t="s">
        <v>35</v>
      </c>
      <c r="O51" s="2" t="str">
        <f t="shared" si="0"/>
        <v>08-2024</v>
      </c>
      <c r="P51" t="str">
        <f t="shared" si="1"/>
        <v>2024</v>
      </c>
      <c r="Q51" s="6">
        <f t="shared" si="4"/>
        <v>0.23861288412186615</v>
      </c>
      <c r="R51" t="str">
        <f t="shared" si="2"/>
        <v>Profit</v>
      </c>
      <c r="S51" t="str">
        <f t="shared" si="3"/>
        <v>Low (1-10%)</v>
      </c>
    </row>
    <row r="52" spans="1:19" x14ac:dyDescent="0.3">
      <c r="A52" s="3" t="s">
        <v>130</v>
      </c>
      <c r="B52" s="2">
        <v>45539</v>
      </c>
      <c r="C52" s="3" t="s">
        <v>50</v>
      </c>
      <c r="D52" s="3" t="s">
        <v>38</v>
      </c>
      <c r="E52" s="3" t="s">
        <v>71</v>
      </c>
      <c r="F52" s="3" t="s">
        <v>18</v>
      </c>
      <c r="G52" s="3" t="s">
        <v>94</v>
      </c>
      <c r="H52" s="3" t="s">
        <v>95</v>
      </c>
      <c r="I52" s="5">
        <v>947.64</v>
      </c>
      <c r="J52" s="4">
        <v>6</v>
      </c>
      <c r="K52" s="1">
        <v>10</v>
      </c>
      <c r="L52" s="4">
        <v>185.53</v>
      </c>
      <c r="M52" s="3" t="s">
        <v>28</v>
      </c>
      <c r="N52" s="3" t="s">
        <v>22</v>
      </c>
      <c r="O52" s="2" t="str">
        <f t="shared" si="0"/>
        <v>09-2024</v>
      </c>
      <c r="P52" t="str">
        <f t="shared" si="1"/>
        <v>2024</v>
      </c>
      <c r="Q52" s="6">
        <f t="shared" si="4"/>
        <v>0.19578109830737411</v>
      </c>
      <c r="R52" t="str">
        <f t="shared" si="2"/>
        <v>Profit</v>
      </c>
      <c r="S52" t="str">
        <f t="shared" si="3"/>
        <v>Low (1-10%)</v>
      </c>
    </row>
    <row r="53" spans="1:19" x14ac:dyDescent="0.3">
      <c r="A53" s="3" t="s">
        <v>131</v>
      </c>
      <c r="B53" s="2">
        <v>45708</v>
      </c>
      <c r="C53" s="3" t="s">
        <v>86</v>
      </c>
      <c r="D53" s="3" t="s">
        <v>56</v>
      </c>
      <c r="E53" s="3" t="s">
        <v>108</v>
      </c>
      <c r="F53" s="3" t="s">
        <v>18</v>
      </c>
      <c r="G53" s="3" t="s">
        <v>26</v>
      </c>
      <c r="H53" s="3" t="s">
        <v>27</v>
      </c>
      <c r="I53" s="5">
        <v>3094.56</v>
      </c>
      <c r="J53" s="4">
        <v>4</v>
      </c>
      <c r="K53" s="1">
        <v>21</v>
      </c>
      <c r="L53" s="4">
        <v>261.86</v>
      </c>
      <c r="M53" s="3" t="s">
        <v>28</v>
      </c>
      <c r="N53" s="3" t="s">
        <v>40</v>
      </c>
      <c r="O53" s="2" t="str">
        <f t="shared" si="0"/>
        <v>02-2025</v>
      </c>
      <c r="P53" t="str">
        <f t="shared" si="1"/>
        <v>2025</v>
      </c>
      <c r="Q53" s="6">
        <f t="shared" si="4"/>
        <v>8.4619461248125749E-2</v>
      </c>
      <c r="R53" t="str">
        <f t="shared" si="2"/>
        <v>Profit</v>
      </c>
      <c r="S53" t="str">
        <f t="shared" si="3"/>
        <v>High (&gt;20%)</v>
      </c>
    </row>
    <row r="54" spans="1:19" x14ac:dyDescent="0.3">
      <c r="A54" s="3" t="s">
        <v>132</v>
      </c>
      <c r="B54" s="2">
        <v>45570</v>
      </c>
      <c r="C54" s="3" t="s">
        <v>133</v>
      </c>
      <c r="D54" s="3" t="s">
        <v>38</v>
      </c>
      <c r="E54" s="3" t="s">
        <v>53</v>
      </c>
      <c r="F54" s="3" t="s">
        <v>62</v>
      </c>
      <c r="G54" s="3" t="s">
        <v>80</v>
      </c>
      <c r="H54" s="3" t="s">
        <v>81</v>
      </c>
      <c r="I54" s="5">
        <v>9718.73</v>
      </c>
      <c r="J54" s="4">
        <v>7</v>
      </c>
      <c r="K54" s="1">
        <v>27</v>
      </c>
      <c r="L54" s="4">
        <v>356.81</v>
      </c>
      <c r="M54" s="3" t="s">
        <v>51</v>
      </c>
      <c r="N54" s="3" t="s">
        <v>44</v>
      </c>
      <c r="O54" s="2" t="str">
        <f t="shared" si="0"/>
        <v>10-2024</v>
      </c>
      <c r="P54" t="str">
        <f t="shared" si="1"/>
        <v>2024</v>
      </c>
      <c r="Q54" s="6">
        <f t="shared" si="4"/>
        <v>3.6713644684027651E-2</v>
      </c>
      <c r="R54" t="str">
        <f t="shared" si="2"/>
        <v>Profit</v>
      </c>
      <c r="S54" t="str">
        <f t="shared" si="3"/>
        <v>High (&gt;20%)</v>
      </c>
    </row>
    <row r="55" spans="1:19" x14ac:dyDescent="0.3">
      <c r="A55" s="3" t="s">
        <v>134</v>
      </c>
      <c r="B55" s="2">
        <v>45653</v>
      </c>
      <c r="C55" s="3" t="s">
        <v>70</v>
      </c>
      <c r="D55" s="3" t="s">
        <v>89</v>
      </c>
      <c r="E55" s="3" t="s">
        <v>90</v>
      </c>
      <c r="F55" s="3" t="s">
        <v>32</v>
      </c>
      <c r="G55" s="3" t="s">
        <v>58</v>
      </c>
      <c r="H55" s="3" t="s">
        <v>59</v>
      </c>
      <c r="I55" s="5">
        <v>13397.79</v>
      </c>
      <c r="J55" s="4">
        <v>7</v>
      </c>
      <c r="K55" s="1">
        <v>19</v>
      </c>
      <c r="L55" s="4">
        <v>2309.5500000000002</v>
      </c>
      <c r="M55" s="3" t="s">
        <v>28</v>
      </c>
      <c r="N55" s="3" t="s">
        <v>44</v>
      </c>
      <c r="O55" s="2" t="str">
        <f t="shared" si="0"/>
        <v>12-2024</v>
      </c>
      <c r="P55" t="str">
        <f t="shared" si="1"/>
        <v>2024</v>
      </c>
      <c r="Q55" s="6">
        <f t="shared" si="4"/>
        <v>0.1723829079273522</v>
      </c>
      <c r="R55" t="str">
        <f t="shared" si="2"/>
        <v>Profit</v>
      </c>
      <c r="S55" t="str">
        <f t="shared" si="3"/>
        <v>Mid (11-20%)</v>
      </c>
    </row>
    <row r="56" spans="1:19" x14ac:dyDescent="0.3">
      <c r="A56" s="3" t="s">
        <v>135</v>
      </c>
      <c r="B56" s="2">
        <v>45710</v>
      </c>
      <c r="C56" s="3" t="s">
        <v>86</v>
      </c>
      <c r="D56" s="3" t="s">
        <v>16</v>
      </c>
      <c r="E56" s="3" t="s">
        <v>25</v>
      </c>
      <c r="F56" s="3" t="s">
        <v>62</v>
      </c>
      <c r="G56" s="3" t="s">
        <v>67</v>
      </c>
      <c r="H56" s="3" t="s">
        <v>68</v>
      </c>
      <c r="I56" s="5">
        <v>3592.82</v>
      </c>
      <c r="J56" s="4">
        <v>2</v>
      </c>
      <c r="K56" s="1">
        <v>1</v>
      </c>
      <c r="L56" s="4">
        <v>841.7</v>
      </c>
      <c r="M56" s="3" t="s">
        <v>51</v>
      </c>
      <c r="N56" s="3" t="s">
        <v>35</v>
      </c>
      <c r="O56" s="2" t="str">
        <f t="shared" si="0"/>
        <v>02-2025</v>
      </c>
      <c r="P56" t="str">
        <f t="shared" si="1"/>
        <v>2025</v>
      </c>
      <c r="Q56" s="6">
        <f t="shared" si="4"/>
        <v>0.23427279963928058</v>
      </c>
      <c r="R56" t="str">
        <f t="shared" si="2"/>
        <v>Profit</v>
      </c>
      <c r="S56" t="str">
        <f t="shared" si="3"/>
        <v>Low (1-10%)</v>
      </c>
    </row>
    <row r="57" spans="1:19" x14ac:dyDescent="0.3">
      <c r="A57" s="3" t="s">
        <v>136</v>
      </c>
      <c r="B57" s="2">
        <v>45543</v>
      </c>
      <c r="C57" s="3" t="s">
        <v>30</v>
      </c>
      <c r="D57" s="3" t="s">
        <v>89</v>
      </c>
      <c r="E57" s="3" t="s">
        <v>90</v>
      </c>
      <c r="F57" s="3" t="s">
        <v>62</v>
      </c>
      <c r="G57" s="3" t="s">
        <v>80</v>
      </c>
      <c r="H57" s="3" t="s">
        <v>81</v>
      </c>
      <c r="I57" s="5">
        <v>1613.09</v>
      </c>
      <c r="J57" s="4">
        <v>1</v>
      </c>
      <c r="K57" s="1">
        <v>27</v>
      </c>
      <c r="L57" s="4">
        <v>205.51</v>
      </c>
      <c r="M57" s="3" t="s">
        <v>21</v>
      </c>
      <c r="N57" s="3" t="s">
        <v>40</v>
      </c>
      <c r="O57" s="2" t="str">
        <f t="shared" si="0"/>
        <v>09-2024</v>
      </c>
      <c r="P57" t="str">
        <f t="shared" si="1"/>
        <v>2024</v>
      </c>
      <c r="Q57" s="6">
        <f t="shared" si="4"/>
        <v>0.12740144691244754</v>
      </c>
      <c r="R57" t="str">
        <f t="shared" si="2"/>
        <v>Profit</v>
      </c>
      <c r="S57" t="str">
        <f t="shared" si="3"/>
        <v>High (&gt;20%)</v>
      </c>
    </row>
    <row r="58" spans="1:19" x14ac:dyDescent="0.3">
      <c r="A58" s="3" t="s">
        <v>137</v>
      </c>
      <c r="B58" s="2">
        <v>45517</v>
      </c>
      <c r="C58" s="3" t="s">
        <v>133</v>
      </c>
      <c r="D58" s="3" t="s">
        <v>38</v>
      </c>
      <c r="E58" s="3" t="s">
        <v>53</v>
      </c>
      <c r="F58" s="3" t="s">
        <v>18</v>
      </c>
      <c r="G58" s="3" t="s">
        <v>26</v>
      </c>
      <c r="H58" s="3" t="s">
        <v>27</v>
      </c>
      <c r="I58" s="5">
        <v>10848.16</v>
      </c>
      <c r="J58" s="4">
        <v>8</v>
      </c>
      <c r="K58" s="1">
        <v>26</v>
      </c>
      <c r="L58" s="4">
        <v>1581.16</v>
      </c>
      <c r="M58" s="3" t="s">
        <v>21</v>
      </c>
      <c r="N58" s="3" t="s">
        <v>35</v>
      </c>
      <c r="O58" s="2" t="str">
        <f t="shared" si="0"/>
        <v>08-2024</v>
      </c>
      <c r="P58" t="str">
        <f t="shared" si="1"/>
        <v>2024</v>
      </c>
      <c r="Q58" s="6">
        <f t="shared" si="4"/>
        <v>0.14575374994469109</v>
      </c>
      <c r="R58" t="str">
        <f t="shared" si="2"/>
        <v>Profit</v>
      </c>
      <c r="S58" t="str">
        <f t="shared" si="3"/>
        <v>High (&gt;20%)</v>
      </c>
    </row>
    <row r="59" spans="1:19" x14ac:dyDescent="0.3">
      <c r="A59" s="3" t="s">
        <v>138</v>
      </c>
      <c r="B59" s="2">
        <v>45621</v>
      </c>
      <c r="C59" s="3" t="s">
        <v>15</v>
      </c>
      <c r="D59" s="3" t="s">
        <v>56</v>
      </c>
      <c r="E59" s="3" t="s">
        <v>61</v>
      </c>
      <c r="F59" s="3" t="s">
        <v>32</v>
      </c>
      <c r="G59" s="3" t="s">
        <v>47</v>
      </c>
      <c r="H59" s="3" t="s">
        <v>48</v>
      </c>
      <c r="I59" s="5">
        <v>11803.92</v>
      </c>
      <c r="J59" s="4">
        <v>6</v>
      </c>
      <c r="K59" s="1">
        <v>10</v>
      </c>
      <c r="L59" s="4">
        <v>856.03</v>
      </c>
      <c r="M59" s="3" t="s">
        <v>51</v>
      </c>
      <c r="N59" s="3" t="s">
        <v>35</v>
      </c>
      <c r="O59" s="2" t="str">
        <f t="shared" si="0"/>
        <v>11-2024</v>
      </c>
      <c r="P59" t="str">
        <f t="shared" si="1"/>
        <v>2024</v>
      </c>
      <c r="Q59" s="6">
        <f t="shared" si="4"/>
        <v>7.2520823590807124E-2</v>
      </c>
      <c r="R59" t="str">
        <f t="shared" si="2"/>
        <v>Profit</v>
      </c>
      <c r="S59" t="str">
        <f t="shared" si="3"/>
        <v>Low (1-10%)</v>
      </c>
    </row>
    <row r="60" spans="1:19" x14ac:dyDescent="0.3">
      <c r="A60" s="3" t="s">
        <v>139</v>
      </c>
      <c r="B60" s="2">
        <v>45544</v>
      </c>
      <c r="C60" s="3" t="s">
        <v>70</v>
      </c>
      <c r="D60" s="3" t="s">
        <v>89</v>
      </c>
      <c r="E60" s="3" t="s">
        <v>140</v>
      </c>
      <c r="F60" s="3" t="s">
        <v>62</v>
      </c>
      <c r="G60" s="3" t="s">
        <v>103</v>
      </c>
      <c r="H60" s="3" t="s">
        <v>104</v>
      </c>
      <c r="I60" s="5">
        <v>4463.4799999999996</v>
      </c>
      <c r="J60" s="4">
        <v>7</v>
      </c>
      <c r="K60" s="1">
        <v>2</v>
      </c>
      <c r="L60" s="4">
        <v>591.73</v>
      </c>
      <c r="M60" s="3" t="s">
        <v>28</v>
      </c>
      <c r="N60" s="3" t="s">
        <v>22</v>
      </c>
      <c r="O60" s="2" t="str">
        <f t="shared" si="0"/>
        <v>09-2024</v>
      </c>
      <c r="P60" t="str">
        <f t="shared" si="1"/>
        <v>2024</v>
      </c>
      <c r="Q60" s="6">
        <f t="shared" si="4"/>
        <v>0.13257144649466338</v>
      </c>
      <c r="R60" t="str">
        <f t="shared" si="2"/>
        <v>Profit</v>
      </c>
      <c r="S60" t="str">
        <f t="shared" si="3"/>
        <v>Low (1-10%)</v>
      </c>
    </row>
    <row r="61" spans="1:19" x14ac:dyDescent="0.3">
      <c r="A61" s="3" t="s">
        <v>141</v>
      </c>
      <c r="B61" s="2">
        <v>45517</v>
      </c>
      <c r="C61" s="3" t="s">
        <v>101</v>
      </c>
      <c r="D61" s="3" t="s">
        <v>16</v>
      </c>
      <c r="E61" s="3" t="s">
        <v>17</v>
      </c>
      <c r="F61" s="3" t="s">
        <v>32</v>
      </c>
      <c r="G61" s="3" t="s">
        <v>58</v>
      </c>
      <c r="H61" s="3" t="s">
        <v>59</v>
      </c>
      <c r="I61" s="5">
        <v>649.30999999999995</v>
      </c>
      <c r="J61" s="4">
        <v>1</v>
      </c>
      <c r="K61" s="1">
        <v>19</v>
      </c>
      <c r="L61" s="4">
        <v>53.76</v>
      </c>
      <c r="M61" s="3" t="s">
        <v>28</v>
      </c>
      <c r="N61" s="3" t="s">
        <v>22</v>
      </c>
      <c r="O61" s="2" t="str">
        <f t="shared" si="0"/>
        <v>08-2024</v>
      </c>
      <c r="P61" t="str">
        <f t="shared" si="1"/>
        <v>2024</v>
      </c>
      <c r="Q61" s="6">
        <f t="shared" si="4"/>
        <v>8.2795583003496029E-2</v>
      </c>
      <c r="R61" t="str">
        <f t="shared" si="2"/>
        <v>Profit</v>
      </c>
      <c r="S61" t="str">
        <f t="shared" si="3"/>
        <v>Mid (11-20%)</v>
      </c>
    </row>
    <row r="62" spans="1:19" x14ac:dyDescent="0.3">
      <c r="A62" s="3" t="s">
        <v>142</v>
      </c>
      <c r="B62" s="2">
        <v>45784</v>
      </c>
      <c r="C62" s="3" t="s">
        <v>70</v>
      </c>
      <c r="D62" s="3" t="s">
        <v>16</v>
      </c>
      <c r="E62" s="3" t="s">
        <v>17</v>
      </c>
      <c r="F62" s="3" t="s">
        <v>62</v>
      </c>
      <c r="G62" s="3" t="s">
        <v>103</v>
      </c>
      <c r="H62" s="3" t="s">
        <v>104</v>
      </c>
      <c r="I62" s="5">
        <v>1693.85</v>
      </c>
      <c r="J62" s="4">
        <v>1</v>
      </c>
      <c r="K62" s="1">
        <v>16</v>
      </c>
      <c r="L62" s="4">
        <v>182.97</v>
      </c>
      <c r="M62" s="3" t="s">
        <v>51</v>
      </c>
      <c r="N62" s="3" t="s">
        <v>22</v>
      </c>
      <c r="O62" s="2" t="str">
        <f t="shared" si="0"/>
        <v>05-2025</v>
      </c>
      <c r="P62" t="str">
        <f t="shared" si="1"/>
        <v>2025</v>
      </c>
      <c r="Q62" s="6">
        <f t="shared" si="4"/>
        <v>0.10802019068984857</v>
      </c>
      <c r="R62" t="str">
        <f t="shared" si="2"/>
        <v>Profit</v>
      </c>
      <c r="S62" t="str">
        <f t="shared" si="3"/>
        <v>Mid (11-20%)</v>
      </c>
    </row>
    <row r="63" spans="1:19" x14ac:dyDescent="0.3">
      <c r="A63" s="3" t="s">
        <v>143</v>
      </c>
      <c r="B63" s="2">
        <v>45700</v>
      </c>
      <c r="C63" s="3" t="s">
        <v>66</v>
      </c>
      <c r="D63" s="3" t="s">
        <v>56</v>
      </c>
      <c r="E63" s="3" t="s">
        <v>108</v>
      </c>
      <c r="F63" s="3" t="s">
        <v>62</v>
      </c>
      <c r="G63" s="3" t="s">
        <v>80</v>
      </c>
      <c r="H63" s="3" t="s">
        <v>81</v>
      </c>
      <c r="I63" s="5">
        <v>1530.08</v>
      </c>
      <c r="J63" s="4">
        <v>2</v>
      </c>
      <c r="K63" s="1">
        <v>22</v>
      </c>
      <c r="L63" s="4">
        <v>216.71</v>
      </c>
      <c r="M63" s="3" t="s">
        <v>51</v>
      </c>
      <c r="N63" s="3" t="s">
        <v>40</v>
      </c>
      <c r="O63" s="2" t="str">
        <f t="shared" si="0"/>
        <v>02-2025</v>
      </c>
      <c r="P63" t="str">
        <f t="shared" si="1"/>
        <v>2025</v>
      </c>
      <c r="Q63" s="6">
        <f t="shared" si="4"/>
        <v>0.14163311722262889</v>
      </c>
      <c r="R63" t="str">
        <f t="shared" si="2"/>
        <v>Profit</v>
      </c>
      <c r="S63" t="str">
        <f t="shared" si="3"/>
        <v>High (&gt;20%)</v>
      </c>
    </row>
    <row r="64" spans="1:19" x14ac:dyDescent="0.3">
      <c r="A64" s="3" t="s">
        <v>144</v>
      </c>
      <c r="B64" s="2">
        <v>45788</v>
      </c>
      <c r="C64" s="3" t="s">
        <v>37</v>
      </c>
      <c r="D64" s="3" t="s">
        <v>16</v>
      </c>
      <c r="E64" s="3" t="s">
        <v>25</v>
      </c>
      <c r="F64" s="3" t="s">
        <v>62</v>
      </c>
      <c r="G64" s="3" t="s">
        <v>63</v>
      </c>
      <c r="H64" s="3" t="s">
        <v>64</v>
      </c>
      <c r="I64" s="5">
        <v>12486.95</v>
      </c>
      <c r="J64" s="4">
        <v>7</v>
      </c>
      <c r="K64" s="1">
        <v>5</v>
      </c>
      <c r="L64" s="4">
        <v>2799.04</v>
      </c>
      <c r="M64" s="3" t="s">
        <v>51</v>
      </c>
      <c r="N64" s="3" t="s">
        <v>35</v>
      </c>
      <c r="O64" s="2" t="str">
        <f t="shared" si="0"/>
        <v>05-2025</v>
      </c>
      <c r="P64" t="str">
        <f t="shared" si="1"/>
        <v>2025</v>
      </c>
      <c r="Q64" s="6">
        <f t="shared" si="4"/>
        <v>0.22415722013782388</v>
      </c>
      <c r="R64" t="str">
        <f t="shared" si="2"/>
        <v>Profit</v>
      </c>
      <c r="S64" t="str">
        <f t="shared" si="3"/>
        <v>Low (1-10%)</v>
      </c>
    </row>
    <row r="65" spans="1:19" x14ac:dyDescent="0.3">
      <c r="A65" s="3" t="s">
        <v>145</v>
      </c>
      <c r="B65" s="2">
        <v>45531</v>
      </c>
      <c r="C65" s="3" t="s">
        <v>15</v>
      </c>
      <c r="D65" s="3" t="s">
        <v>16</v>
      </c>
      <c r="E65" s="3" t="s">
        <v>31</v>
      </c>
      <c r="F65" s="3" t="s">
        <v>62</v>
      </c>
      <c r="G65" s="3" t="s">
        <v>67</v>
      </c>
      <c r="H65" s="3" t="s">
        <v>68</v>
      </c>
      <c r="I65" s="5">
        <v>4574.22</v>
      </c>
      <c r="J65" s="4">
        <v>7</v>
      </c>
      <c r="K65" s="1">
        <v>23</v>
      </c>
      <c r="L65" s="4">
        <v>727.68</v>
      </c>
      <c r="M65" s="3" t="s">
        <v>51</v>
      </c>
      <c r="N65" s="3" t="s">
        <v>35</v>
      </c>
      <c r="O65" s="2" t="str">
        <f t="shared" si="0"/>
        <v>08-2024</v>
      </c>
      <c r="P65" t="str">
        <f t="shared" si="1"/>
        <v>2024</v>
      </c>
      <c r="Q65" s="6">
        <f t="shared" si="4"/>
        <v>0.15908286002859501</v>
      </c>
      <c r="R65" t="str">
        <f t="shared" si="2"/>
        <v>Profit</v>
      </c>
      <c r="S65" t="str">
        <f t="shared" si="3"/>
        <v>High (&gt;20%)</v>
      </c>
    </row>
    <row r="66" spans="1:19" x14ac:dyDescent="0.3">
      <c r="A66" s="3" t="s">
        <v>146</v>
      </c>
      <c r="B66" s="2">
        <v>45783</v>
      </c>
      <c r="C66" s="3" t="s">
        <v>101</v>
      </c>
      <c r="D66" s="3" t="s">
        <v>56</v>
      </c>
      <c r="E66" s="3" t="s">
        <v>57</v>
      </c>
      <c r="F66" s="3" t="s">
        <v>18</v>
      </c>
      <c r="G66" s="3" t="s">
        <v>94</v>
      </c>
      <c r="H66" s="3" t="s">
        <v>95</v>
      </c>
      <c r="I66" s="5">
        <v>7773.93</v>
      </c>
      <c r="J66" s="4">
        <v>9</v>
      </c>
      <c r="K66" s="1">
        <v>28</v>
      </c>
      <c r="L66" s="4">
        <v>1104.03</v>
      </c>
      <c r="M66" s="3" t="s">
        <v>21</v>
      </c>
      <c r="N66" s="3" t="s">
        <v>40</v>
      </c>
      <c r="O66" s="2" t="str">
        <f t="shared" ref="O66:O129" si="5" xml:space="preserve"> TEXT(B66,"MM-YYYY")</f>
        <v>05-2025</v>
      </c>
      <c r="P66" t="str">
        <f t="shared" ref="P66:P129" si="6">TEXT(B66,"YYYY")</f>
        <v>2025</v>
      </c>
      <c r="Q66" s="6">
        <f t="shared" ref="Q66:Q129" si="7">IFERROR(L66/I66,0)</f>
        <v>0.1420169721106313</v>
      </c>
      <c r="R66" t="str">
        <f t="shared" ref="R66:R129" si="8">IF(L66&gt;0,"Profit","Loss")</f>
        <v>Profit</v>
      </c>
      <c r="S66" t="str">
        <f t="shared" ref="S66:S129" si="9">IF(K66=0,"No Discount",IF(K66&lt;=10,"Low (1-10%)",IF(K66&lt;=20,"Mid (11-20%)","High (&gt;20%)")))</f>
        <v>High (&gt;20%)</v>
      </c>
    </row>
    <row r="67" spans="1:19" x14ac:dyDescent="0.3">
      <c r="A67" s="3" t="s">
        <v>147</v>
      </c>
      <c r="B67" s="2">
        <v>45611</v>
      </c>
      <c r="C67" s="3" t="s">
        <v>15</v>
      </c>
      <c r="D67" s="3" t="s">
        <v>56</v>
      </c>
      <c r="E67" s="3" t="s">
        <v>57</v>
      </c>
      <c r="F67" s="3" t="s">
        <v>32</v>
      </c>
      <c r="G67" s="3" t="s">
        <v>33</v>
      </c>
      <c r="H67" s="3" t="s">
        <v>34</v>
      </c>
      <c r="I67" s="5">
        <v>9476.4</v>
      </c>
      <c r="J67" s="4">
        <v>8</v>
      </c>
      <c r="K67" s="1">
        <v>4</v>
      </c>
      <c r="L67" s="4">
        <v>703.64</v>
      </c>
      <c r="M67" s="3" t="s">
        <v>28</v>
      </c>
      <c r="N67" s="3" t="s">
        <v>22</v>
      </c>
      <c r="O67" s="2" t="str">
        <f t="shared" si="5"/>
        <v>11-2024</v>
      </c>
      <c r="P67" t="str">
        <f t="shared" si="6"/>
        <v>2024</v>
      </c>
      <c r="Q67" s="6">
        <f t="shared" si="7"/>
        <v>7.4251825587775946E-2</v>
      </c>
      <c r="R67" t="str">
        <f t="shared" si="8"/>
        <v>Profit</v>
      </c>
      <c r="S67" t="str">
        <f t="shared" si="9"/>
        <v>Low (1-10%)</v>
      </c>
    </row>
    <row r="68" spans="1:19" x14ac:dyDescent="0.3">
      <c r="A68" s="3" t="s">
        <v>148</v>
      </c>
      <c r="B68" s="2">
        <v>45541</v>
      </c>
      <c r="C68" s="3" t="s">
        <v>99</v>
      </c>
      <c r="D68" s="3" t="s">
        <v>38</v>
      </c>
      <c r="E68" s="3" t="s">
        <v>39</v>
      </c>
      <c r="F68" s="3" t="s">
        <v>62</v>
      </c>
      <c r="G68" s="3" t="s">
        <v>103</v>
      </c>
      <c r="H68" s="3" t="s">
        <v>104</v>
      </c>
      <c r="I68" s="5">
        <v>3774.96</v>
      </c>
      <c r="J68" s="4">
        <v>9</v>
      </c>
      <c r="K68" s="1">
        <v>17</v>
      </c>
      <c r="L68" s="4">
        <v>163.01</v>
      </c>
      <c r="M68" s="3" t="s">
        <v>28</v>
      </c>
      <c r="N68" s="3" t="s">
        <v>40</v>
      </c>
      <c r="O68" s="2" t="str">
        <f t="shared" si="5"/>
        <v>09-2024</v>
      </c>
      <c r="P68" t="str">
        <f t="shared" si="6"/>
        <v>2024</v>
      </c>
      <c r="Q68" s="6">
        <f t="shared" si="7"/>
        <v>4.3181914510352422E-2</v>
      </c>
      <c r="R68" t="str">
        <f t="shared" si="8"/>
        <v>Profit</v>
      </c>
      <c r="S68" t="str">
        <f t="shared" si="9"/>
        <v>Mid (11-20%)</v>
      </c>
    </row>
    <row r="69" spans="1:19" x14ac:dyDescent="0.3">
      <c r="A69" s="3" t="s">
        <v>149</v>
      </c>
      <c r="B69" s="2">
        <v>45583</v>
      </c>
      <c r="C69" s="3" t="s">
        <v>99</v>
      </c>
      <c r="D69" s="3" t="s">
        <v>16</v>
      </c>
      <c r="E69" s="3" t="s">
        <v>17</v>
      </c>
      <c r="F69" s="3" t="s">
        <v>62</v>
      </c>
      <c r="G69" s="3" t="s">
        <v>80</v>
      </c>
      <c r="H69" s="3" t="s">
        <v>81</v>
      </c>
      <c r="I69" s="5">
        <v>11246.04</v>
      </c>
      <c r="J69" s="4">
        <v>6</v>
      </c>
      <c r="K69" s="1">
        <v>6</v>
      </c>
      <c r="L69" s="4">
        <v>2435.79</v>
      </c>
      <c r="M69" s="3" t="s">
        <v>21</v>
      </c>
      <c r="N69" s="3" t="s">
        <v>40</v>
      </c>
      <c r="O69" s="2" t="str">
        <f t="shared" si="5"/>
        <v>10-2024</v>
      </c>
      <c r="P69" t="str">
        <f t="shared" si="6"/>
        <v>2024</v>
      </c>
      <c r="Q69" s="6">
        <f t="shared" si="7"/>
        <v>0.21659090666581302</v>
      </c>
      <c r="R69" t="str">
        <f t="shared" si="8"/>
        <v>Profit</v>
      </c>
      <c r="S69" t="str">
        <f t="shared" si="9"/>
        <v>Low (1-10%)</v>
      </c>
    </row>
    <row r="70" spans="1:19" x14ac:dyDescent="0.3">
      <c r="A70" s="3" t="s">
        <v>150</v>
      </c>
      <c r="B70" s="2">
        <v>45730</v>
      </c>
      <c r="C70" s="3" t="s">
        <v>15</v>
      </c>
      <c r="D70" s="3" t="s">
        <v>16</v>
      </c>
      <c r="E70" s="3" t="s">
        <v>31</v>
      </c>
      <c r="F70" s="3" t="s">
        <v>32</v>
      </c>
      <c r="G70" s="3" t="s">
        <v>58</v>
      </c>
      <c r="H70" s="3" t="s">
        <v>59</v>
      </c>
      <c r="I70" s="5">
        <v>3300.72</v>
      </c>
      <c r="J70" s="4">
        <v>2</v>
      </c>
      <c r="K70" s="1">
        <v>25</v>
      </c>
      <c r="L70" s="4">
        <v>578.44000000000005</v>
      </c>
      <c r="M70" s="3" t="s">
        <v>21</v>
      </c>
      <c r="N70" s="3" t="s">
        <v>35</v>
      </c>
      <c r="O70" s="2" t="str">
        <f t="shared" si="5"/>
        <v>03-2025</v>
      </c>
      <c r="P70" t="str">
        <f t="shared" si="6"/>
        <v>2025</v>
      </c>
      <c r="Q70" s="6">
        <f t="shared" si="7"/>
        <v>0.17524661286022447</v>
      </c>
      <c r="R70" t="str">
        <f t="shared" si="8"/>
        <v>Profit</v>
      </c>
      <c r="S70" t="str">
        <f t="shared" si="9"/>
        <v>High (&gt;20%)</v>
      </c>
    </row>
    <row r="71" spans="1:19" x14ac:dyDescent="0.3">
      <c r="A71" s="3" t="s">
        <v>151</v>
      </c>
      <c r="B71" s="2">
        <v>45603</v>
      </c>
      <c r="C71" s="3" t="s">
        <v>70</v>
      </c>
      <c r="D71" s="3" t="s">
        <v>16</v>
      </c>
      <c r="E71" s="3" t="s">
        <v>25</v>
      </c>
      <c r="F71" s="3" t="s">
        <v>62</v>
      </c>
      <c r="G71" s="3" t="s">
        <v>67</v>
      </c>
      <c r="H71" s="3" t="s">
        <v>68</v>
      </c>
      <c r="I71" s="5">
        <v>8488.2000000000007</v>
      </c>
      <c r="J71" s="4">
        <v>6</v>
      </c>
      <c r="K71" s="1">
        <v>24</v>
      </c>
      <c r="L71" s="4">
        <v>873.92</v>
      </c>
      <c r="M71" s="3" t="s">
        <v>51</v>
      </c>
      <c r="N71" s="3" t="s">
        <v>40</v>
      </c>
      <c r="O71" s="2" t="str">
        <f t="shared" si="5"/>
        <v>11-2024</v>
      </c>
      <c r="P71" t="str">
        <f t="shared" si="6"/>
        <v>2024</v>
      </c>
      <c r="Q71" s="6">
        <f t="shared" si="7"/>
        <v>0.10295704625244456</v>
      </c>
      <c r="R71" t="str">
        <f t="shared" si="8"/>
        <v>Profit</v>
      </c>
      <c r="S71" t="str">
        <f t="shared" si="9"/>
        <v>High (&gt;20%)</v>
      </c>
    </row>
    <row r="72" spans="1:19" x14ac:dyDescent="0.3">
      <c r="A72" s="3" t="s">
        <v>152</v>
      </c>
      <c r="B72" s="2">
        <v>45518</v>
      </c>
      <c r="C72" s="3" t="s">
        <v>73</v>
      </c>
      <c r="D72" s="3" t="s">
        <v>56</v>
      </c>
      <c r="E72" s="3" t="s">
        <v>61</v>
      </c>
      <c r="F72" s="3" t="s">
        <v>18</v>
      </c>
      <c r="G72" s="3" t="s">
        <v>76</v>
      </c>
      <c r="H72" s="3" t="s">
        <v>77</v>
      </c>
      <c r="I72" s="5">
        <v>2992.53</v>
      </c>
      <c r="J72" s="4">
        <v>3</v>
      </c>
      <c r="K72" s="1">
        <v>16</v>
      </c>
      <c r="L72" s="4">
        <v>335.06</v>
      </c>
      <c r="M72" s="3" t="s">
        <v>21</v>
      </c>
      <c r="N72" s="3" t="s">
        <v>35</v>
      </c>
      <c r="O72" s="2" t="str">
        <f t="shared" si="5"/>
        <v>08-2024</v>
      </c>
      <c r="P72" t="str">
        <f t="shared" si="6"/>
        <v>2024</v>
      </c>
      <c r="Q72" s="6">
        <f t="shared" si="7"/>
        <v>0.11196546066371932</v>
      </c>
      <c r="R72" t="str">
        <f t="shared" si="8"/>
        <v>Profit</v>
      </c>
      <c r="S72" t="str">
        <f t="shared" si="9"/>
        <v>Mid (11-20%)</v>
      </c>
    </row>
    <row r="73" spans="1:19" x14ac:dyDescent="0.3">
      <c r="A73" s="3" t="s">
        <v>153</v>
      </c>
      <c r="B73" s="2">
        <v>45720</v>
      </c>
      <c r="C73" s="3" t="s">
        <v>66</v>
      </c>
      <c r="D73" s="3" t="s">
        <v>38</v>
      </c>
      <c r="E73" s="3" t="s">
        <v>71</v>
      </c>
      <c r="F73" s="3" t="s">
        <v>18</v>
      </c>
      <c r="G73" s="3" t="s">
        <v>26</v>
      </c>
      <c r="H73" s="3" t="s">
        <v>27</v>
      </c>
      <c r="I73" s="5">
        <v>1637.42</v>
      </c>
      <c r="J73" s="4">
        <v>2</v>
      </c>
      <c r="K73" s="1">
        <v>1</v>
      </c>
      <c r="L73" s="4">
        <v>248.33</v>
      </c>
      <c r="M73" s="3" t="s">
        <v>21</v>
      </c>
      <c r="N73" s="3" t="s">
        <v>35</v>
      </c>
      <c r="O73" s="2" t="str">
        <f t="shared" si="5"/>
        <v>03-2025</v>
      </c>
      <c r="P73" t="str">
        <f t="shared" si="6"/>
        <v>2025</v>
      </c>
      <c r="Q73" s="6">
        <f t="shared" si="7"/>
        <v>0.15165931770712462</v>
      </c>
      <c r="R73" t="str">
        <f t="shared" si="8"/>
        <v>Profit</v>
      </c>
      <c r="S73" t="str">
        <f t="shared" si="9"/>
        <v>Low (1-10%)</v>
      </c>
    </row>
    <row r="74" spans="1:19" x14ac:dyDescent="0.3">
      <c r="A74" s="3" t="s">
        <v>154</v>
      </c>
      <c r="B74" s="2">
        <v>45768</v>
      </c>
      <c r="C74" s="3" t="s">
        <v>86</v>
      </c>
      <c r="D74" s="3" t="s">
        <v>56</v>
      </c>
      <c r="E74" s="3" t="s">
        <v>61</v>
      </c>
      <c r="F74" s="3" t="s">
        <v>32</v>
      </c>
      <c r="G74" s="3" t="s">
        <v>112</v>
      </c>
      <c r="H74" s="3" t="s">
        <v>113</v>
      </c>
      <c r="I74" s="5">
        <v>11379.96</v>
      </c>
      <c r="J74" s="4">
        <v>6</v>
      </c>
      <c r="K74" s="1">
        <v>13</v>
      </c>
      <c r="L74" s="4">
        <v>636.80999999999995</v>
      </c>
      <c r="M74" s="3" t="s">
        <v>28</v>
      </c>
      <c r="N74" s="3" t="s">
        <v>35</v>
      </c>
      <c r="O74" s="2" t="str">
        <f t="shared" si="5"/>
        <v>04-2025</v>
      </c>
      <c r="P74" t="str">
        <f t="shared" si="6"/>
        <v>2025</v>
      </c>
      <c r="Q74" s="6">
        <f t="shared" si="7"/>
        <v>5.5958896164837131E-2</v>
      </c>
      <c r="R74" t="str">
        <f t="shared" si="8"/>
        <v>Profit</v>
      </c>
      <c r="S74" t="str">
        <f t="shared" si="9"/>
        <v>Mid (11-20%)</v>
      </c>
    </row>
    <row r="75" spans="1:19" x14ac:dyDescent="0.3">
      <c r="A75" s="3" t="s">
        <v>155</v>
      </c>
      <c r="B75" s="2">
        <v>45465</v>
      </c>
      <c r="C75" s="3" t="s">
        <v>30</v>
      </c>
      <c r="D75" s="3" t="s">
        <v>56</v>
      </c>
      <c r="E75" s="3" t="s">
        <v>57</v>
      </c>
      <c r="F75" s="3" t="s">
        <v>18</v>
      </c>
      <c r="G75" s="3" t="s">
        <v>19</v>
      </c>
      <c r="H75" s="3" t="s">
        <v>20</v>
      </c>
      <c r="I75" s="5">
        <v>7066.55</v>
      </c>
      <c r="J75" s="4">
        <v>5</v>
      </c>
      <c r="K75" s="1">
        <v>13</v>
      </c>
      <c r="L75" s="4">
        <v>1479.7</v>
      </c>
      <c r="M75" s="3" t="s">
        <v>28</v>
      </c>
      <c r="N75" s="3" t="s">
        <v>44</v>
      </c>
      <c r="O75" s="2" t="str">
        <f t="shared" si="5"/>
        <v>06-2024</v>
      </c>
      <c r="P75" t="str">
        <f t="shared" si="6"/>
        <v>2024</v>
      </c>
      <c r="Q75" s="6">
        <f t="shared" si="7"/>
        <v>0.20939496642633251</v>
      </c>
      <c r="R75" t="str">
        <f t="shared" si="8"/>
        <v>Profit</v>
      </c>
      <c r="S75" t="str">
        <f t="shared" si="9"/>
        <v>Mid (11-20%)</v>
      </c>
    </row>
    <row r="76" spans="1:19" x14ac:dyDescent="0.3">
      <c r="A76" s="3" t="s">
        <v>156</v>
      </c>
      <c r="B76" s="2">
        <v>45781</v>
      </c>
      <c r="C76" s="3" t="s">
        <v>37</v>
      </c>
      <c r="D76" s="3" t="s">
        <v>89</v>
      </c>
      <c r="E76" s="3" t="s">
        <v>102</v>
      </c>
      <c r="F76" s="3" t="s">
        <v>18</v>
      </c>
      <c r="G76" s="3" t="s">
        <v>26</v>
      </c>
      <c r="H76" s="3" t="s">
        <v>27</v>
      </c>
      <c r="I76" s="5">
        <v>1577.94</v>
      </c>
      <c r="J76" s="4">
        <v>2</v>
      </c>
      <c r="K76" s="1">
        <v>26</v>
      </c>
      <c r="L76" s="4">
        <v>229.33</v>
      </c>
      <c r="M76" s="3" t="s">
        <v>21</v>
      </c>
      <c r="N76" s="3" t="s">
        <v>35</v>
      </c>
      <c r="O76" s="2" t="str">
        <f t="shared" si="5"/>
        <v>05-2025</v>
      </c>
      <c r="P76" t="str">
        <f t="shared" si="6"/>
        <v>2025</v>
      </c>
      <c r="Q76" s="6">
        <f t="shared" si="7"/>
        <v>0.14533505709976299</v>
      </c>
      <c r="R76" t="str">
        <f t="shared" si="8"/>
        <v>Profit</v>
      </c>
      <c r="S76" t="str">
        <f t="shared" si="9"/>
        <v>High (&gt;20%)</v>
      </c>
    </row>
    <row r="77" spans="1:19" x14ac:dyDescent="0.3">
      <c r="A77" s="3" t="s">
        <v>157</v>
      </c>
      <c r="B77" s="2">
        <v>45577</v>
      </c>
      <c r="C77" s="3" t="s">
        <v>24</v>
      </c>
      <c r="D77" s="3" t="s">
        <v>56</v>
      </c>
      <c r="E77" s="3" t="s">
        <v>57</v>
      </c>
      <c r="F77" s="3" t="s">
        <v>62</v>
      </c>
      <c r="G77" s="3" t="s">
        <v>63</v>
      </c>
      <c r="H77" s="3" t="s">
        <v>64</v>
      </c>
      <c r="I77" s="5">
        <v>763.96</v>
      </c>
      <c r="J77" s="4">
        <v>1</v>
      </c>
      <c r="K77" s="1">
        <v>10</v>
      </c>
      <c r="L77" s="4">
        <v>39.58</v>
      </c>
      <c r="M77" s="3" t="s">
        <v>28</v>
      </c>
      <c r="N77" s="3" t="s">
        <v>35</v>
      </c>
      <c r="O77" s="2" t="str">
        <f t="shared" si="5"/>
        <v>10-2024</v>
      </c>
      <c r="P77" t="str">
        <f t="shared" si="6"/>
        <v>2024</v>
      </c>
      <c r="Q77" s="6">
        <f t="shared" si="7"/>
        <v>5.180899523535263E-2</v>
      </c>
      <c r="R77" t="str">
        <f t="shared" si="8"/>
        <v>Profit</v>
      </c>
      <c r="S77" t="str">
        <f t="shared" si="9"/>
        <v>Low (1-10%)</v>
      </c>
    </row>
    <row r="78" spans="1:19" x14ac:dyDescent="0.3">
      <c r="A78" s="3" t="s">
        <v>158</v>
      </c>
      <c r="B78" s="2">
        <v>45735</v>
      </c>
      <c r="C78" s="3" t="s">
        <v>42</v>
      </c>
      <c r="D78" s="3" t="s">
        <v>89</v>
      </c>
      <c r="E78" s="3" t="s">
        <v>97</v>
      </c>
      <c r="F78" s="3" t="s">
        <v>18</v>
      </c>
      <c r="G78" s="3" t="s">
        <v>19</v>
      </c>
      <c r="H78" s="3" t="s">
        <v>20</v>
      </c>
      <c r="I78" s="5">
        <v>13950.09</v>
      </c>
      <c r="J78" s="4">
        <v>9</v>
      </c>
      <c r="K78" s="1">
        <v>24</v>
      </c>
      <c r="L78" s="4">
        <v>1635.16</v>
      </c>
      <c r="M78" s="3" t="s">
        <v>21</v>
      </c>
      <c r="N78" s="3" t="s">
        <v>35</v>
      </c>
      <c r="O78" s="2" t="str">
        <f t="shared" si="5"/>
        <v>03-2025</v>
      </c>
      <c r="P78" t="str">
        <f t="shared" si="6"/>
        <v>2025</v>
      </c>
      <c r="Q78" s="6">
        <f t="shared" si="7"/>
        <v>0.11721501438341975</v>
      </c>
      <c r="R78" t="str">
        <f t="shared" si="8"/>
        <v>Profit</v>
      </c>
      <c r="S78" t="str">
        <f t="shared" si="9"/>
        <v>High (&gt;20%)</v>
      </c>
    </row>
    <row r="79" spans="1:19" x14ac:dyDescent="0.3">
      <c r="A79" s="3" t="s">
        <v>159</v>
      </c>
      <c r="B79" s="2">
        <v>45664</v>
      </c>
      <c r="C79" s="3" t="s">
        <v>99</v>
      </c>
      <c r="D79" s="3" t="s">
        <v>38</v>
      </c>
      <c r="E79" s="3" t="s">
        <v>71</v>
      </c>
      <c r="F79" s="3" t="s">
        <v>32</v>
      </c>
      <c r="G79" s="3" t="s">
        <v>58</v>
      </c>
      <c r="H79" s="3" t="s">
        <v>59</v>
      </c>
      <c r="I79" s="5">
        <v>8912.76</v>
      </c>
      <c r="J79" s="4">
        <v>6</v>
      </c>
      <c r="K79" s="1">
        <v>26</v>
      </c>
      <c r="L79" s="4">
        <v>1590.24</v>
      </c>
      <c r="M79" s="3" t="s">
        <v>21</v>
      </c>
      <c r="N79" s="3" t="s">
        <v>35</v>
      </c>
      <c r="O79" s="2" t="str">
        <f t="shared" si="5"/>
        <v>01-2025</v>
      </c>
      <c r="P79" t="str">
        <f t="shared" si="6"/>
        <v>2025</v>
      </c>
      <c r="Q79" s="6">
        <f t="shared" si="7"/>
        <v>0.17842284544854792</v>
      </c>
      <c r="R79" t="str">
        <f t="shared" si="8"/>
        <v>Profit</v>
      </c>
      <c r="S79" t="str">
        <f t="shared" si="9"/>
        <v>High (&gt;20%)</v>
      </c>
    </row>
    <row r="80" spans="1:19" x14ac:dyDescent="0.3">
      <c r="A80" s="3" t="s">
        <v>160</v>
      </c>
      <c r="B80" s="2">
        <v>45774</v>
      </c>
      <c r="C80" s="3" t="s">
        <v>133</v>
      </c>
      <c r="D80" s="3" t="s">
        <v>89</v>
      </c>
      <c r="E80" s="3" t="s">
        <v>102</v>
      </c>
      <c r="F80" s="3" t="s">
        <v>32</v>
      </c>
      <c r="G80" s="3" t="s">
        <v>47</v>
      </c>
      <c r="H80" s="3" t="s">
        <v>48</v>
      </c>
      <c r="I80" s="5">
        <v>9077.0400000000009</v>
      </c>
      <c r="J80" s="4">
        <v>8</v>
      </c>
      <c r="K80" s="1">
        <v>23</v>
      </c>
      <c r="L80" s="4">
        <v>1162.69</v>
      </c>
      <c r="M80" s="3" t="s">
        <v>28</v>
      </c>
      <c r="N80" s="3" t="s">
        <v>35</v>
      </c>
      <c r="O80" s="2" t="str">
        <f t="shared" si="5"/>
        <v>04-2025</v>
      </c>
      <c r="P80" t="str">
        <f t="shared" si="6"/>
        <v>2025</v>
      </c>
      <c r="Q80" s="6">
        <f t="shared" si="7"/>
        <v>0.12809131611186025</v>
      </c>
      <c r="R80" t="str">
        <f t="shared" si="8"/>
        <v>Profit</v>
      </c>
      <c r="S80" t="str">
        <f t="shared" si="9"/>
        <v>High (&gt;20%)</v>
      </c>
    </row>
    <row r="81" spans="1:19" x14ac:dyDescent="0.3">
      <c r="A81" s="3" t="s">
        <v>161</v>
      </c>
      <c r="B81" s="2">
        <v>45623</v>
      </c>
      <c r="C81" s="3" t="s">
        <v>101</v>
      </c>
      <c r="D81" s="3" t="s">
        <v>56</v>
      </c>
      <c r="E81" s="3" t="s">
        <v>108</v>
      </c>
      <c r="F81" s="3" t="s">
        <v>18</v>
      </c>
      <c r="G81" s="3" t="s">
        <v>76</v>
      </c>
      <c r="H81" s="3" t="s">
        <v>77</v>
      </c>
      <c r="I81" s="5">
        <v>8681.76</v>
      </c>
      <c r="J81" s="4">
        <v>6</v>
      </c>
      <c r="K81" s="1">
        <v>0</v>
      </c>
      <c r="L81" s="4">
        <v>914.67</v>
      </c>
      <c r="M81" s="3" t="s">
        <v>51</v>
      </c>
      <c r="N81" s="3" t="s">
        <v>22</v>
      </c>
      <c r="O81" s="2" t="str">
        <f t="shared" si="5"/>
        <v>11-2024</v>
      </c>
      <c r="P81" t="str">
        <f t="shared" si="6"/>
        <v>2024</v>
      </c>
      <c r="Q81" s="6">
        <f t="shared" si="7"/>
        <v>0.1053553657322939</v>
      </c>
      <c r="R81" t="str">
        <f t="shared" si="8"/>
        <v>Profit</v>
      </c>
      <c r="S81" t="str">
        <f t="shared" si="9"/>
        <v>No Discount</v>
      </c>
    </row>
    <row r="82" spans="1:19" x14ac:dyDescent="0.3">
      <c r="A82" s="3" t="s">
        <v>162</v>
      </c>
      <c r="B82" s="2">
        <v>45474</v>
      </c>
      <c r="C82" s="3" t="s">
        <v>37</v>
      </c>
      <c r="D82" s="3" t="s">
        <v>38</v>
      </c>
      <c r="E82" s="3" t="s">
        <v>53</v>
      </c>
      <c r="F82" s="3" t="s">
        <v>32</v>
      </c>
      <c r="G82" s="3" t="s">
        <v>33</v>
      </c>
      <c r="H82" s="3" t="s">
        <v>34</v>
      </c>
      <c r="I82" s="5">
        <v>15324.96</v>
      </c>
      <c r="J82" s="4">
        <v>8</v>
      </c>
      <c r="K82" s="1">
        <v>27</v>
      </c>
      <c r="L82" s="4">
        <v>630.78</v>
      </c>
      <c r="M82" s="3" t="s">
        <v>28</v>
      </c>
      <c r="N82" s="3" t="s">
        <v>44</v>
      </c>
      <c r="O82" s="2" t="str">
        <f t="shared" si="5"/>
        <v>07-2024</v>
      </c>
      <c r="P82" t="str">
        <f t="shared" si="6"/>
        <v>2024</v>
      </c>
      <c r="Q82" s="6">
        <f t="shared" si="7"/>
        <v>4.1160303191655964E-2</v>
      </c>
      <c r="R82" t="str">
        <f t="shared" si="8"/>
        <v>Profit</v>
      </c>
      <c r="S82" t="str">
        <f t="shared" si="9"/>
        <v>High (&gt;20%)</v>
      </c>
    </row>
    <row r="83" spans="1:19" x14ac:dyDescent="0.3">
      <c r="A83" s="3" t="s">
        <v>163</v>
      </c>
      <c r="B83" s="2">
        <v>45540</v>
      </c>
      <c r="C83" s="3" t="s">
        <v>84</v>
      </c>
      <c r="D83" s="3" t="s">
        <v>56</v>
      </c>
      <c r="E83" s="3" t="s">
        <v>61</v>
      </c>
      <c r="F83" s="3" t="s">
        <v>18</v>
      </c>
      <c r="G83" s="3" t="s">
        <v>94</v>
      </c>
      <c r="H83" s="3" t="s">
        <v>95</v>
      </c>
      <c r="I83" s="5">
        <v>4456.62</v>
      </c>
      <c r="J83" s="4">
        <v>9</v>
      </c>
      <c r="K83" s="1">
        <v>11</v>
      </c>
      <c r="L83" s="4">
        <v>803.43</v>
      </c>
      <c r="M83" s="3" t="s">
        <v>51</v>
      </c>
      <c r="N83" s="3" t="s">
        <v>40</v>
      </c>
      <c r="O83" s="2" t="str">
        <f t="shared" si="5"/>
        <v>09-2024</v>
      </c>
      <c r="P83" t="str">
        <f t="shared" si="6"/>
        <v>2024</v>
      </c>
      <c r="Q83" s="6">
        <f t="shared" si="7"/>
        <v>0.18027787875116119</v>
      </c>
      <c r="R83" t="str">
        <f t="shared" si="8"/>
        <v>Profit</v>
      </c>
      <c r="S83" t="str">
        <f t="shared" si="9"/>
        <v>Mid (11-20%)</v>
      </c>
    </row>
    <row r="84" spans="1:19" x14ac:dyDescent="0.3">
      <c r="A84" s="3" t="s">
        <v>164</v>
      </c>
      <c r="B84" s="2">
        <v>45629</v>
      </c>
      <c r="C84" s="3" t="s">
        <v>30</v>
      </c>
      <c r="D84" s="3" t="s">
        <v>89</v>
      </c>
      <c r="E84" s="3" t="s">
        <v>116</v>
      </c>
      <c r="F84" s="3" t="s">
        <v>18</v>
      </c>
      <c r="G84" s="3" t="s">
        <v>26</v>
      </c>
      <c r="H84" s="3" t="s">
        <v>27</v>
      </c>
      <c r="I84" s="5">
        <v>13463.12</v>
      </c>
      <c r="J84" s="4">
        <v>8</v>
      </c>
      <c r="K84" s="1">
        <v>29</v>
      </c>
      <c r="L84" s="4">
        <v>1135.76</v>
      </c>
      <c r="M84" s="3" t="s">
        <v>21</v>
      </c>
      <c r="N84" s="3" t="s">
        <v>35</v>
      </c>
      <c r="O84" s="2" t="str">
        <f t="shared" si="5"/>
        <v>12-2024</v>
      </c>
      <c r="P84" t="str">
        <f t="shared" si="6"/>
        <v>2024</v>
      </c>
      <c r="Q84" s="6">
        <f t="shared" si="7"/>
        <v>8.4360831664577002E-2</v>
      </c>
      <c r="R84" t="str">
        <f t="shared" si="8"/>
        <v>Profit</v>
      </c>
      <c r="S84" t="str">
        <f t="shared" si="9"/>
        <v>High (&gt;20%)</v>
      </c>
    </row>
    <row r="85" spans="1:19" x14ac:dyDescent="0.3">
      <c r="A85" s="3" t="s">
        <v>165</v>
      </c>
      <c r="B85" s="2">
        <v>45660</v>
      </c>
      <c r="C85" s="3" t="s">
        <v>37</v>
      </c>
      <c r="D85" s="3" t="s">
        <v>38</v>
      </c>
      <c r="E85" s="3" t="s">
        <v>53</v>
      </c>
      <c r="F85" s="3" t="s">
        <v>62</v>
      </c>
      <c r="G85" s="3" t="s">
        <v>80</v>
      </c>
      <c r="H85" s="3" t="s">
        <v>81</v>
      </c>
      <c r="I85" s="5">
        <v>12675.39</v>
      </c>
      <c r="J85" s="4">
        <v>7</v>
      </c>
      <c r="K85" s="1">
        <v>10</v>
      </c>
      <c r="L85" s="4">
        <v>768.8</v>
      </c>
      <c r="M85" s="3" t="s">
        <v>51</v>
      </c>
      <c r="N85" s="3" t="s">
        <v>40</v>
      </c>
      <c r="O85" s="2" t="str">
        <f t="shared" si="5"/>
        <v>01-2025</v>
      </c>
      <c r="P85" t="str">
        <f t="shared" si="6"/>
        <v>2025</v>
      </c>
      <c r="Q85" s="6">
        <f t="shared" si="7"/>
        <v>6.0652966102029207E-2</v>
      </c>
      <c r="R85" t="str">
        <f t="shared" si="8"/>
        <v>Profit</v>
      </c>
      <c r="S85" t="str">
        <f t="shared" si="9"/>
        <v>Low (1-10%)</v>
      </c>
    </row>
    <row r="86" spans="1:19" x14ac:dyDescent="0.3">
      <c r="A86" s="3" t="s">
        <v>166</v>
      </c>
      <c r="B86" s="2">
        <v>45479</v>
      </c>
      <c r="C86" s="3" t="s">
        <v>70</v>
      </c>
      <c r="D86" s="3" t="s">
        <v>16</v>
      </c>
      <c r="E86" s="3" t="s">
        <v>17</v>
      </c>
      <c r="F86" s="3" t="s">
        <v>18</v>
      </c>
      <c r="G86" s="3" t="s">
        <v>19</v>
      </c>
      <c r="H86" s="3" t="s">
        <v>20</v>
      </c>
      <c r="I86" s="5">
        <v>12314.64</v>
      </c>
      <c r="J86" s="4">
        <v>8</v>
      </c>
      <c r="K86" s="1">
        <v>21</v>
      </c>
      <c r="L86" s="4">
        <v>1574.18</v>
      </c>
      <c r="M86" s="3" t="s">
        <v>21</v>
      </c>
      <c r="N86" s="3" t="s">
        <v>22</v>
      </c>
      <c r="O86" s="2" t="str">
        <f t="shared" si="5"/>
        <v>07-2024</v>
      </c>
      <c r="P86" t="str">
        <f t="shared" si="6"/>
        <v>2024</v>
      </c>
      <c r="Q86" s="6">
        <f t="shared" si="7"/>
        <v>0.12782996498476612</v>
      </c>
      <c r="R86" t="str">
        <f t="shared" si="8"/>
        <v>Profit</v>
      </c>
      <c r="S86" t="str">
        <f t="shared" si="9"/>
        <v>High (&gt;20%)</v>
      </c>
    </row>
    <row r="87" spans="1:19" x14ac:dyDescent="0.3">
      <c r="A87" s="3" t="s">
        <v>167</v>
      </c>
      <c r="B87" s="2">
        <v>45667</v>
      </c>
      <c r="C87" s="3" t="s">
        <v>99</v>
      </c>
      <c r="D87" s="3" t="s">
        <v>89</v>
      </c>
      <c r="E87" s="3" t="s">
        <v>102</v>
      </c>
      <c r="F87" s="3" t="s">
        <v>32</v>
      </c>
      <c r="G87" s="3" t="s">
        <v>47</v>
      </c>
      <c r="H87" s="3" t="s">
        <v>48</v>
      </c>
      <c r="I87" s="5">
        <v>13555.1</v>
      </c>
      <c r="J87" s="4">
        <v>10</v>
      </c>
      <c r="K87" s="1">
        <v>26</v>
      </c>
      <c r="L87" s="4">
        <v>788.7</v>
      </c>
      <c r="M87" s="3" t="s">
        <v>21</v>
      </c>
      <c r="N87" s="3" t="s">
        <v>44</v>
      </c>
      <c r="O87" s="2" t="str">
        <f t="shared" si="5"/>
        <v>01-2025</v>
      </c>
      <c r="P87" t="str">
        <f t="shared" si="6"/>
        <v>2025</v>
      </c>
      <c r="Q87" s="6">
        <f t="shared" si="7"/>
        <v>5.8184742274125609E-2</v>
      </c>
      <c r="R87" t="str">
        <f t="shared" si="8"/>
        <v>Profit</v>
      </c>
      <c r="S87" t="str">
        <f t="shared" si="9"/>
        <v>High (&gt;20%)</v>
      </c>
    </row>
    <row r="88" spans="1:19" x14ac:dyDescent="0.3">
      <c r="A88" s="3" t="s">
        <v>168</v>
      </c>
      <c r="B88" s="2">
        <v>45510</v>
      </c>
      <c r="C88" s="3" t="s">
        <v>30</v>
      </c>
      <c r="D88" s="3" t="s">
        <v>89</v>
      </c>
      <c r="E88" s="3" t="s">
        <v>116</v>
      </c>
      <c r="F88" s="3" t="s">
        <v>18</v>
      </c>
      <c r="G88" s="3" t="s">
        <v>76</v>
      </c>
      <c r="H88" s="3" t="s">
        <v>77</v>
      </c>
      <c r="I88" s="5">
        <v>3461.64</v>
      </c>
      <c r="J88" s="4">
        <v>6</v>
      </c>
      <c r="K88" s="1">
        <v>10</v>
      </c>
      <c r="L88" s="4">
        <v>530.79999999999995</v>
      </c>
      <c r="M88" s="3" t="s">
        <v>51</v>
      </c>
      <c r="N88" s="3" t="s">
        <v>22</v>
      </c>
      <c r="O88" s="2" t="str">
        <f t="shared" si="5"/>
        <v>08-2024</v>
      </c>
      <c r="P88" t="str">
        <f t="shared" si="6"/>
        <v>2024</v>
      </c>
      <c r="Q88" s="6">
        <f t="shared" si="7"/>
        <v>0.1533377243156423</v>
      </c>
      <c r="R88" t="str">
        <f t="shared" si="8"/>
        <v>Profit</v>
      </c>
      <c r="S88" t="str">
        <f t="shared" si="9"/>
        <v>Low (1-10%)</v>
      </c>
    </row>
    <row r="89" spans="1:19" x14ac:dyDescent="0.3">
      <c r="A89" s="3" t="s">
        <v>169</v>
      </c>
      <c r="B89" s="2">
        <v>45491</v>
      </c>
      <c r="C89" s="3" t="s">
        <v>84</v>
      </c>
      <c r="D89" s="3" t="s">
        <v>89</v>
      </c>
      <c r="E89" s="3" t="s">
        <v>140</v>
      </c>
      <c r="F89" s="3" t="s">
        <v>62</v>
      </c>
      <c r="G89" s="3" t="s">
        <v>63</v>
      </c>
      <c r="H89" s="3" t="s">
        <v>64</v>
      </c>
      <c r="I89" s="5">
        <v>8002.98</v>
      </c>
      <c r="J89" s="4">
        <v>9</v>
      </c>
      <c r="K89" s="1">
        <v>21</v>
      </c>
      <c r="L89" s="4">
        <v>800.58</v>
      </c>
      <c r="M89" s="3" t="s">
        <v>28</v>
      </c>
      <c r="N89" s="3" t="s">
        <v>35</v>
      </c>
      <c r="O89" s="2" t="str">
        <f t="shared" si="5"/>
        <v>07-2024</v>
      </c>
      <c r="P89" t="str">
        <f t="shared" si="6"/>
        <v>2024</v>
      </c>
      <c r="Q89" s="6">
        <f t="shared" si="7"/>
        <v>0.10003523687426434</v>
      </c>
      <c r="R89" t="str">
        <f t="shared" si="8"/>
        <v>Profit</v>
      </c>
      <c r="S89" t="str">
        <f t="shared" si="9"/>
        <v>High (&gt;20%)</v>
      </c>
    </row>
    <row r="90" spans="1:19" x14ac:dyDescent="0.3">
      <c r="A90" s="3" t="s">
        <v>170</v>
      </c>
      <c r="B90" s="2">
        <v>45560</v>
      </c>
      <c r="C90" s="3" t="s">
        <v>86</v>
      </c>
      <c r="D90" s="3" t="s">
        <v>89</v>
      </c>
      <c r="E90" s="3" t="s">
        <v>97</v>
      </c>
      <c r="F90" s="3" t="s">
        <v>18</v>
      </c>
      <c r="G90" s="3" t="s">
        <v>94</v>
      </c>
      <c r="H90" s="3" t="s">
        <v>95</v>
      </c>
      <c r="I90" s="5">
        <v>14939.73</v>
      </c>
      <c r="J90" s="4">
        <v>9</v>
      </c>
      <c r="K90" s="1">
        <v>20</v>
      </c>
      <c r="L90" s="4">
        <v>2876.37</v>
      </c>
      <c r="M90" s="3" t="s">
        <v>51</v>
      </c>
      <c r="N90" s="3" t="s">
        <v>44</v>
      </c>
      <c r="O90" s="2" t="str">
        <f t="shared" si="5"/>
        <v>09-2024</v>
      </c>
      <c r="P90" t="str">
        <f t="shared" si="6"/>
        <v>2024</v>
      </c>
      <c r="Q90" s="6">
        <f t="shared" si="7"/>
        <v>0.19253159193640046</v>
      </c>
      <c r="R90" t="str">
        <f t="shared" si="8"/>
        <v>Profit</v>
      </c>
      <c r="S90" t="str">
        <f t="shared" si="9"/>
        <v>Mid (11-20%)</v>
      </c>
    </row>
    <row r="91" spans="1:19" x14ac:dyDescent="0.3">
      <c r="A91" s="3" t="s">
        <v>171</v>
      </c>
      <c r="B91" s="2">
        <v>45468</v>
      </c>
      <c r="C91" s="3" t="s">
        <v>66</v>
      </c>
      <c r="D91" s="3" t="s">
        <v>16</v>
      </c>
      <c r="E91" s="3" t="s">
        <v>25</v>
      </c>
      <c r="F91" s="3" t="s">
        <v>32</v>
      </c>
      <c r="G91" s="3" t="s">
        <v>112</v>
      </c>
      <c r="H91" s="3" t="s">
        <v>113</v>
      </c>
      <c r="I91" s="5">
        <v>11401.1</v>
      </c>
      <c r="J91" s="4">
        <v>10</v>
      </c>
      <c r="K91" s="1">
        <v>1</v>
      </c>
      <c r="L91" s="4">
        <v>1794.61</v>
      </c>
      <c r="M91" s="3" t="s">
        <v>28</v>
      </c>
      <c r="N91" s="3" t="s">
        <v>44</v>
      </c>
      <c r="O91" s="2" t="str">
        <f t="shared" si="5"/>
        <v>06-2024</v>
      </c>
      <c r="P91" t="str">
        <f t="shared" si="6"/>
        <v>2024</v>
      </c>
      <c r="Q91" s="6">
        <f t="shared" si="7"/>
        <v>0.1574067414547719</v>
      </c>
      <c r="R91" t="str">
        <f t="shared" si="8"/>
        <v>Profit</v>
      </c>
      <c r="S91" t="str">
        <f t="shared" si="9"/>
        <v>Low (1-10%)</v>
      </c>
    </row>
    <row r="92" spans="1:19" x14ac:dyDescent="0.3">
      <c r="A92" s="3" t="s">
        <v>172</v>
      </c>
      <c r="B92" s="2">
        <v>45615</v>
      </c>
      <c r="C92" s="3" t="s">
        <v>86</v>
      </c>
      <c r="D92" s="3" t="s">
        <v>16</v>
      </c>
      <c r="E92" s="3" t="s">
        <v>25</v>
      </c>
      <c r="F92" s="3" t="s">
        <v>62</v>
      </c>
      <c r="G92" s="3" t="s">
        <v>80</v>
      </c>
      <c r="H92" s="3" t="s">
        <v>81</v>
      </c>
      <c r="I92" s="5">
        <v>7994.22</v>
      </c>
      <c r="J92" s="4">
        <v>6</v>
      </c>
      <c r="K92" s="1">
        <v>11</v>
      </c>
      <c r="L92" s="4">
        <v>895.16</v>
      </c>
      <c r="M92" s="3" t="s">
        <v>21</v>
      </c>
      <c r="N92" s="3" t="s">
        <v>22</v>
      </c>
      <c r="O92" s="2" t="str">
        <f t="shared" si="5"/>
        <v>11-2024</v>
      </c>
      <c r="P92" t="str">
        <f t="shared" si="6"/>
        <v>2024</v>
      </c>
      <c r="Q92" s="6">
        <f t="shared" si="7"/>
        <v>0.11197590258962099</v>
      </c>
      <c r="R92" t="str">
        <f t="shared" si="8"/>
        <v>Profit</v>
      </c>
      <c r="S92" t="str">
        <f t="shared" si="9"/>
        <v>Mid (11-20%)</v>
      </c>
    </row>
    <row r="93" spans="1:19" x14ac:dyDescent="0.3">
      <c r="A93" s="3" t="s">
        <v>173</v>
      </c>
      <c r="B93" s="2">
        <v>45692</v>
      </c>
      <c r="C93" s="3" t="s">
        <v>24</v>
      </c>
      <c r="D93" s="3" t="s">
        <v>16</v>
      </c>
      <c r="E93" s="3" t="s">
        <v>31</v>
      </c>
      <c r="F93" s="3" t="s">
        <v>18</v>
      </c>
      <c r="G93" s="3" t="s">
        <v>26</v>
      </c>
      <c r="H93" s="3" t="s">
        <v>27</v>
      </c>
      <c r="I93" s="5">
        <v>6333.35</v>
      </c>
      <c r="J93" s="4">
        <v>5</v>
      </c>
      <c r="K93" s="1">
        <v>17</v>
      </c>
      <c r="L93" s="4">
        <v>853.27</v>
      </c>
      <c r="M93" s="3" t="s">
        <v>51</v>
      </c>
      <c r="N93" s="3" t="s">
        <v>40</v>
      </c>
      <c r="O93" s="2" t="str">
        <f t="shared" si="5"/>
        <v>02-2025</v>
      </c>
      <c r="P93" t="str">
        <f t="shared" si="6"/>
        <v>2025</v>
      </c>
      <c r="Q93" s="6">
        <f t="shared" si="7"/>
        <v>0.13472648756187483</v>
      </c>
      <c r="R93" t="str">
        <f t="shared" si="8"/>
        <v>Profit</v>
      </c>
      <c r="S93" t="str">
        <f t="shared" si="9"/>
        <v>Mid (11-20%)</v>
      </c>
    </row>
    <row r="94" spans="1:19" x14ac:dyDescent="0.3">
      <c r="A94" s="3" t="s">
        <v>174</v>
      </c>
      <c r="B94" s="2">
        <v>45622</v>
      </c>
      <c r="C94" s="3" t="s">
        <v>50</v>
      </c>
      <c r="D94" s="3" t="s">
        <v>16</v>
      </c>
      <c r="E94" s="3" t="s">
        <v>25</v>
      </c>
      <c r="F94" s="3" t="s">
        <v>32</v>
      </c>
      <c r="G94" s="3" t="s">
        <v>33</v>
      </c>
      <c r="H94" s="3" t="s">
        <v>34</v>
      </c>
      <c r="I94" s="5">
        <v>10863.04</v>
      </c>
      <c r="J94" s="4">
        <v>8</v>
      </c>
      <c r="K94" s="1">
        <v>4</v>
      </c>
      <c r="L94" s="4">
        <v>1093.22</v>
      </c>
      <c r="M94" s="3" t="s">
        <v>21</v>
      </c>
      <c r="N94" s="3" t="s">
        <v>40</v>
      </c>
      <c r="O94" s="2" t="str">
        <f t="shared" si="5"/>
        <v>11-2024</v>
      </c>
      <c r="P94" t="str">
        <f t="shared" si="6"/>
        <v>2024</v>
      </c>
      <c r="Q94" s="6">
        <f t="shared" si="7"/>
        <v>0.10063665419624708</v>
      </c>
      <c r="R94" t="str">
        <f t="shared" si="8"/>
        <v>Profit</v>
      </c>
      <c r="S94" t="str">
        <f t="shared" si="9"/>
        <v>Low (1-10%)</v>
      </c>
    </row>
    <row r="95" spans="1:19" x14ac:dyDescent="0.3">
      <c r="A95" s="3" t="s">
        <v>175</v>
      </c>
      <c r="B95" s="2">
        <v>45748</v>
      </c>
      <c r="C95" s="3" t="s">
        <v>99</v>
      </c>
      <c r="D95" s="3" t="s">
        <v>16</v>
      </c>
      <c r="E95" s="3" t="s">
        <v>17</v>
      </c>
      <c r="F95" s="3" t="s">
        <v>62</v>
      </c>
      <c r="G95" s="3" t="s">
        <v>80</v>
      </c>
      <c r="H95" s="3" t="s">
        <v>81</v>
      </c>
      <c r="I95" s="5">
        <v>15379.2</v>
      </c>
      <c r="J95" s="4">
        <v>9</v>
      </c>
      <c r="K95" s="1">
        <v>8</v>
      </c>
      <c r="L95" s="4">
        <v>3526.58</v>
      </c>
      <c r="M95" s="3" t="s">
        <v>51</v>
      </c>
      <c r="N95" s="3" t="s">
        <v>40</v>
      </c>
      <c r="O95" s="2" t="str">
        <f t="shared" si="5"/>
        <v>04-2025</v>
      </c>
      <c r="P95" t="str">
        <f t="shared" si="6"/>
        <v>2025</v>
      </c>
      <c r="Q95" s="6">
        <f t="shared" si="7"/>
        <v>0.22930841656263004</v>
      </c>
      <c r="R95" t="str">
        <f t="shared" si="8"/>
        <v>Profit</v>
      </c>
      <c r="S95" t="str">
        <f t="shared" si="9"/>
        <v>Low (1-10%)</v>
      </c>
    </row>
    <row r="96" spans="1:19" x14ac:dyDescent="0.3">
      <c r="A96" s="3" t="s">
        <v>176</v>
      </c>
      <c r="B96" s="2">
        <v>45752</v>
      </c>
      <c r="C96" s="3" t="s">
        <v>86</v>
      </c>
      <c r="D96" s="3" t="s">
        <v>89</v>
      </c>
      <c r="E96" s="3" t="s">
        <v>102</v>
      </c>
      <c r="F96" s="3" t="s">
        <v>18</v>
      </c>
      <c r="G96" s="3" t="s">
        <v>19</v>
      </c>
      <c r="H96" s="3" t="s">
        <v>20</v>
      </c>
      <c r="I96" s="5">
        <v>10251.01</v>
      </c>
      <c r="J96" s="4">
        <v>7</v>
      </c>
      <c r="K96" s="1">
        <v>2</v>
      </c>
      <c r="L96" s="4">
        <v>2263.8200000000002</v>
      </c>
      <c r="M96" s="3" t="s">
        <v>28</v>
      </c>
      <c r="N96" s="3" t="s">
        <v>40</v>
      </c>
      <c r="O96" s="2" t="str">
        <f t="shared" si="5"/>
        <v>04-2025</v>
      </c>
      <c r="P96" t="str">
        <f t="shared" si="6"/>
        <v>2025</v>
      </c>
      <c r="Q96" s="6">
        <f t="shared" si="7"/>
        <v>0.22083872711079203</v>
      </c>
      <c r="R96" t="str">
        <f t="shared" si="8"/>
        <v>Profit</v>
      </c>
      <c r="S96" t="str">
        <f t="shared" si="9"/>
        <v>Low (1-10%)</v>
      </c>
    </row>
    <row r="97" spans="1:19" x14ac:dyDescent="0.3">
      <c r="A97" s="3" t="s">
        <v>177</v>
      </c>
      <c r="B97" s="2">
        <v>45454</v>
      </c>
      <c r="C97" s="3" t="s">
        <v>42</v>
      </c>
      <c r="D97" s="3" t="s">
        <v>89</v>
      </c>
      <c r="E97" s="3" t="s">
        <v>116</v>
      </c>
      <c r="F97" s="3" t="s">
        <v>18</v>
      </c>
      <c r="G97" s="3" t="s">
        <v>94</v>
      </c>
      <c r="H97" s="3" t="s">
        <v>95</v>
      </c>
      <c r="I97" s="5">
        <v>437.48</v>
      </c>
      <c r="J97" s="4">
        <v>2</v>
      </c>
      <c r="K97" s="1">
        <v>3</v>
      </c>
      <c r="L97" s="4">
        <v>28.55</v>
      </c>
      <c r="M97" s="3" t="s">
        <v>21</v>
      </c>
      <c r="N97" s="3" t="s">
        <v>22</v>
      </c>
      <c r="O97" s="2" t="str">
        <f t="shared" si="5"/>
        <v>06-2024</v>
      </c>
      <c r="P97" t="str">
        <f t="shared" si="6"/>
        <v>2024</v>
      </c>
      <c r="Q97" s="6">
        <f t="shared" si="7"/>
        <v>6.5260126177196676E-2</v>
      </c>
      <c r="R97" t="str">
        <f t="shared" si="8"/>
        <v>Profit</v>
      </c>
      <c r="S97" t="str">
        <f t="shared" si="9"/>
        <v>Low (1-10%)</v>
      </c>
    </row>
    <row r="98" spans="1:19" x14ac:dyDescent="0.3">
      <c r="A98" s="3" t="s">
        <v>178</v>
      </c>
      <c r="B98" s="2">
        <v>45560</v>
      </c>
      <c r="C98" s="3" t="s">
        <v>42</v>
      </c>
      <c r="D98" s="3" t="s">
        <v>16</v>
      </c>
      <c r="E98" s="3" t="s">
        <v>25</v>
      </c>
      <c r="F98" s="3" t="s">
        <v>18</v>
      </c>
      <c r="G98" s="3" t="s">
        <v>19</v>
      </c>
      <c r="H98" s="3" t="s">
        <v>20</v>
      </c>
      <c r="I98" s="5">
        <v>640.4</v>
      </c>
      <c r="J98" s="4">
        <v>2</v>
      </c>
      <c r="K98" s="1">
        <v>9</v>
      </c>
      <c r="L98" s="4">
        <v>40.450000000000003</v>
      </c>
      <c r="M98" s="3" t="s">
        <v>51</v>
      </c>
      <c r="N98" s="3" t="s">
        <v>40</v>
      </c>
      <c r="O98" s="2" t="str">
        <f t="shared" si="5"/>
        <v>09-2024</v>
      </c>
      <c r="P98" t="str">
        <f t="shared" si="6"/>
        <v>2024</v>
      </c>
      <c r="Q98" s="6">
        <f t="shared" si="7"/>
        <v>6.3163647720174895E-2</v>
      </c>
      <c r="R98" t="str">
        <f t="shared" si="8"/>
        <v>Profit</v>
      </c>
      <c r="S98" t="str">
        <f t="shared" si="9"/>
        <v>Low (1-10%)</v>
      </c>
    </row>
    <row r="99" spans="1:19" x14ac:dyDescent="0.3">
      <c r="A99" s="3" t="s">
        <v>179</v>
      </c>
      <c r="B99" s="2">
        <v>45479</v>
      </c>
      <c r="C99" s="3" t="s">
        <v>24</v>
      </c>
      <c r="D99" s="3" t="s">
        <v>56</v>
      </c>
      <c r="E99" s="3" t="s">
        <v>108</v>
      </c>
      <c r="F99" s="3" t="s">
        <v>32</v>
      </c>
      <c r="G99" s="3" t="s">
        <v>33</v>
      </c>
      <c r="H99" s="3" t="s">
        <v>34</v>
      </c>
      <c r="I99" s="5">
        <v>5637.84</v>
      </c>
      <c r="J99" s="4">
        <v>3</v>
      </c>
      <c r="K99" s="1">
        <v>5</v>
      </c>
      <c r="L99" s="4">
        <v>366.61</v>
      </c>
      <c r="M99" s="3" t="s">
        <v>51</v>
      </c>
      <c r="N99" s="3" t="s">
        <v>22</v>
      </c>
      <c r="O99" s="2" t="str">
        <f t="shared" si="5"/>
        <v>07-2024</v>
      </c>
      <c r="P99" t="str">
        <f t="shared" si="6"/>
        <v>2024</v>
      </c>
      <c r="Q99" s="6">
        <f t="shared" si="7"/>
        <v>6.5026676883345402E-2</v>
      </c>
      <c r="R99" t="str">
        <f t="shared" si="8"/>
        <v>Profit</v>
      </c>
      <c r="S99" t="str">
        <f t="shared" si="9"/>
        <v>Low (1-10%)</v>
      </c>
    </row>
    <row r="100" spans="1:19" x14ac:dyDescent="0.3">
      <c r="A100" s="3" t="s">
        <v>180</v>
      </c>
      <c r="B100" s="2">
        <v>45427</v>
      </c>
      <c r="C100" s="3" t="s">
        <v>101</v>
      </c>
      <c r="D100" s="3" t="s">
        <v>38</v>
      </c>
      <c r="E100" s="3" t="s">
        <v>43</v>
      </c>
      <c r="F100" s="3" t="s">
        <v>32</v>
      </c>
      <c r="G100" s="3" t="s">
        <v>33</v>
      </c>
      <c r="H100" s="3" t="s">
        <v>34</v>
      </c>
      <c r="I100" s="5">
        <v>16167.51</v>
      </c>
      <c r="J100" s="4">
        <v>9</v>
      </c>
      <c r="K100" s="1">
        <v>19</v>
      </c>
      <c r="L100" s="4">
        <v>1210.18</v>
      </c>
      <c r="M100" s="3" t="s">
        <v>28</v>
      </c>
      <c r="N100" s="3" t="s">
        <v>22</v>
      </c>
      <c r="O100" s="2" t="str">
        <f t="shared" si="5"/>
        <v>05-2024</v>
      </c>
      <c r="P100" t="str">
        <f t="shared" si="6"/>
        <v>2024</v>
      </c>
      <c r="Q100" s="6">
        <f t="shared" si="7"/>
        <v>7.4852590163853316E-2</v>
      </c>
      <c r="R100" t="str">
        <f t="shared" si="8"/>
        <v>Profit</v>
      </c>
      <c r="S100" t="str">
        <f t="shared" si="9"/>
        <v>Mid (11-20%)</v>
      </c>
    </row>
    <row r="101" spans="1:19" x14ac:dyDescent="0.3">
      <c r="A101" s="3" t="s">
        <v>181</v>
      </c>
      <c r="B101" s="2">
        <v>45443</v>
      </c>
      <c r="C101" s="3" t="s">
        <v>99</v>
      </c>
      <c r="D101" s="3" t="s">
        <v>16</v>
      </c>
      <c r="E101" s="3" t="s">
        <v>31</v>
      </c>
      <c r="F101" s="3" t="s">
        <v>18</v>
      </c>
      <c r="G101" s="3" t="s">
        <v>76</v>
      </c>
      <c r="H101" s="3" t="s">
        <v>77</v>
      </c>
      <c r="I101" s="5">
        <v>8236.48</v>
      </c>
      <c r="J101" s="4">
        <v>8</v>
      </c>
      <c r="K101" s="1">
        <v>22</v>
      </c>
      <c r="L101" s="4">
        <v>1095.97</v>
      </c>
      <c r="M101" s="3" t="s">
        <v>51</v>
      </c>
      <c r="N101" s="3" t="s">
        <v>40</v>
      </c>
      <c r="O101" s="2" t="str">
        <f t="shared" si="5"/>
        <v>05-2024</v>
      </c>
      <c r="P101" t="str">
        <f t="shared" si="6"/>
        <v>2024</v>
      </c>
      <c r="Q101" s="6">
        <f t="shared" si="7"/>
        <v>0.13306291036947823</v>
      </c>
      <c r="R101" t="str">
        <f t="shared" si="8"/>
        <v>Profit</v>
      </c>
      <c r="S101" t="str">
        <f t="shared" si="9"/>
        <v>High (&gt;20%)</v>
      </c>
    </row>
    <row r="102" spans="1:19" x14ac:dyDescent="0.3">
      <c r="A102" s="3" t="s">
        <v>182</v>
      </c>
      <c r="B102" s="2">
        <v>45639</v>
      </c>
      <c r="C102" s="3" t="s">
        <v>42</v>
      </c>
      <c r="D102" s="3" t="s">
        <v>16</v>
      </c>
      <c r="E102" s="3" t="s">
        <v>17</v>
      </c>
      <c r="F102" s="3" t="s">
        <v>62</v>
      </c>
      <c r="G102" s="3" t="s">
        <v>80</v>
      </c>
      <c r="H102" s="3" t="s">
        <v>81</v>
      </c>
      <c r="I102" s="5">
        <v>12156.5</v>
      </c>
      <c r="J102" s="4">
        <v>10</v>
      </c>
      <c r="K102" s="1">
        <v>15</v>
      </c>
      <c r="L102" s="4">
        <v>2302.3000000000002</v>
      </c>
      <c r="M102" s="3" t="s">
        <v>21</v>
      </c>
      <c r="N102" s="3" t="s">
        <v>44</v>
      </c>
      <c r="O102" s="2" t="str">
        <f t="shared" si="5"/>
        <v>12-2024</v>
      </c>
      <c r="P102" t="str">
        <f t="shared" si="6"/>
        <v>2024</v>
      </c>
      <c r="Q102" s="6">
        <f t="shared" si="7"/>
        <v>0.18938839304076011</v>
      </c>
      <c r="R102" t="str">
        <f t="shared" si="8"/>
        <v>Profit</v>
      </c>
      <c r="S102" t="str">
        <f t="shared" si="9"/>
        <v>Mid (11-20%)</v>
      </c>
    </row>
    <row r="103" spans="1:19" x14ac:dyDescent="0.3">
      <c r="A103" s="3" t="s">
        <v>183</v>
      </c>
      <c r="B103" s="2">
        <v>45501</v>
      </c>
      <c r="C103" s="3" t="s">
        <v>84</v>
      </c>
      <c r="D103" s="3" t="s">
        <v>38</v>
      </c>
      <c r="E103" s="3" t="s">
        <v>43</v>
      </c>
      <c r="F103" s="3" t="s">
        <v>18</v>
      </c>
      <c r="G103" s="3" t="s">
        <v>19</v>
      </c>
      <c r="H103" s="3" t="s">
        <v>20</v>
      </c>
      <c r="I103" s="5">
        <v>1007.37</v>
      </c>
      <c r="J103" s="4">
        <v>1</v>
      </c>
      <c r="K103" s="1">
        <v>20</v>
      </c>
      <c r="L103" s="4">
        <v>167.76</v>
      </c>
      <c r="M103" s="3" t="s">
        <v>51</v>
      </c>
      <c r="N103" s="3" t="s">
        <v>40</v>
      </c>
      <c r="O103" s="2" t="str">
        <f t="shared" si="5"/>
        <v>07-2024</v>
      </c>
      <c r="P103" t="str">
        <f t="shared" si="6"/>
        <v>2024</v>
      </c>
      <c r="Q103" s="6">
        <f t="shared" si="7"/>
        <v>0.16653265433753237</v>
      </c>
      <c r="R103" t="str">
        <f t="shared" si="8"/>
        <v>Profit</v>
      </c>
      <c r="S103" t="str">
        <f t="shared" si="9"/>
        <v>Mid (11-20%)</v>
      </c>
    </row>
    <row r="104" spans="1:19" x14ac:dyDescent="0.3">
      <c r="A104" s="3" t="s">
        <v>184</v>
      </c>
      <c r="B104" s="2">
        <v>45730</v>
      </c>
      <c r="C104" s="3" t="s">
        <v>75</v>
      </c>
      <c r="D104" s="3" t="s">
        <v>89</v>
      </c>
      <c r="E104" s="3" t="s">
        <v>90</v>
      </c>
      <c r="F104" s="3" t="s">
        <v>18</v>
      </c>
      <c r="G104" s="3" t="s">
        <v>26</v>
      </c>
      <c r="H104" s="3" t="s">
        <v>27</v>
      </c>
      <c r="I104" s="5">
        <v>948.24</v>
      </c>
      <c r="J104" s="4">
        <v>1</v>
      </c>
      <c r="K104" s="1">
        <v>27</v>
      </c>
      <c r="L104" s="4">
        <v>34.909999999999997</v>
      </c>
      <c r="M104" s="3" t="s">
        <v>28</v>
      </c>
      <c r="N104" s="3" t="s">
        <v>35</v>
      </c>
      <c r="O104" s="2" t="str">
        <f t="shared" si="5"/>
        <v>03-2025</v>
      </c>
      <c r="P104" t="str">
        <f t="shared" si="6"/>
        <v>2025</v>
      </c>
      <c r="Q104" s="6">
        <f t="shared" si="7"/>
        <v>3.6815574116257486E-2</v>
      </c>
      <c r="R104" t="str">
        <f t="shared" si="8"/>
        <v>Profit</v>
      </c>
      <c r="S104" t="str">
        <f t="shared" si="9"/>
        <v>High (&gt;20%)</v>
      </c>
    </row>
    <row r="105" spans="1:19" x14ac:dyDescent="0.3">
      <c r="A105" s="3" t="s">
        <v>185</v>
      </c>
      <c r="B105" s="2">
        <v>45776</v>
      </c>
      <c r="C105" s="3" t="s">
        <v>75</v>
      </c>
      <c r="D105" s="3" t="s">
        <v>16</v>
      </c>
      <c r="E105" s="3" t="s">
        <v>31</v>
      </c>
      <c r="F105" s="3" t="s">
        <v>18</v>
      </c>
      <c r="G105" s="3" t="s">
        <v>19</v>
      </c>
      <c r="H105" s="3" t="s">
        <v>20</v>
      </c>
      <c r="I105" s="5">
        <v>7304.5</v>
      </c>
      <c r="J105" s="4">
        <v>10</v>
      </c>
      <c r="K105" s="1">
        <v>5</v>
      </c>
      <c r="L105" s="4">
        <v>461.1</v>
      </c>
      <c r="M105" s="3" t="s">
        <v>21</v>
      </c>
      <c r="N105" s="3" t="s">
        <v>44</v>
      </c>
      <c r="O105" s="2" t="str">
        <f t="shared" si="5"/>
        <v>04-2025</v>
      </c>
      <c r="P105" t="str">
        <f t="shared" si="6"/>
        <v>2025</v>
      </c>
      <c r="Q105" s="6">
        <f t="shared" si="7"/>
        <v>6.3125470600314884E-2</v>
      </c>
      <c r="R105" t="str">
        <f t="shared" si="8"/>
        <v>Profit</v>
      </c>
      <c r="S105" t="str">
        <f t="shared" si="9"/>
        <v>Low (1-10%)</v>
      </c>
    </row>
    <row r="106" spans="1:19" x14ac:dyDescent="0.3">
      <c r="A106" s="3" t="s">
        <v>186</v>
      </c>
      <c r="B106" s="2">
        <v>45736</v>
      </c>
      <c r="C106" s="3" t="s">
        <v>101</v>
      </c>
      <c r="D106" s="3" t="s">
        <v>56</v>
      </c>
      <c r="E106" s="3" t="s">
        <v>57</v>
      </c>
      <c r="F106" s="3" t="s">
        <v>32</v>
      </c>
      <c r="G106" s="3" t="s">
        <v>33</v>
      </c>
      <c r="H106" s="3" t="s">
        <v>34</v>
      </c>
      <c r="I106" s="5">
        <v>4409.01</v>
      </c>
      <c r="J106" s="4">
        <v>3</v>
      </c>
      <c r="K106" s="1">
        <v>26</v>
      </c>
      <c r="L106" s="4">
        <v>466.16</v>
      </c>
      <c r="M106" s="3" t="s">
        <v>51</v>
      </c>
      <c r="N106" s="3" t="s">
        <v>35</v>
      </c>
      <c r="O106" s="2" t="str">
        <f t="shared" si="5"/>
        <v>03-2025</v>
      </c>
      <c r="P106" t="str">
        <f t="shared" si="6"/>
        <v>2025</v>
      </c>
      <c r="Q106" s="6">
        <f t="shared" si="7"/>
        <v>0.10572895049001931</v>
      </c>
      <c r="R106" t="str">
        <f t="shared" si="8"/>
        <v>Profit</v>
      </c>
      <c r="S106" t="str">
        <f t="shared" si="9"/>
        <v>High (&gt;20%)</v>
      </c>
    </row>
    <row r="107" spans="1:19" x14ac:dyDescent="0.3">
      <c r="A107" s="3" t="s">
        <v>187</v>
      </c>
      <c r="B107" s="2">
        <v>45481</v>
      </c>
      <c r="C107" s="3" t="s">
        <v>101</v>
      </c>
      <c r="D107" s="3" t="s">
        <v>16</v>
      </c>
      <c r="E107" s="3" t="s">
        <v>17</v>
      </c>
      <c r="F107" s="3" t="s">
        <v>62</v>
      </c>
      <c r="G107" s="3" t="s">
        <v>63</v>
      </c>
      <c r="H107" s="3" t="s">
        <v>64</v>
      </c>
      <c r="I107" s="5">
        <v>736.65</v>
      </c>
      <c r="J107" s="4">
        <v>3</v>
      </c>
      <c r="K107" s="1">
        <v>8</v>
      </c>
      <c r="L107" s="4">
        <v>123.05</v>
      </c>
      <c r="M107" s="3" t="s">
        <v>28</v>
      </c>
      <c r="N107" s="3" t="s">
        <v>22</v>
      </c>
      <c r="O107" s="2" t="str">
        <f t="shared" si="5"/>
        <v>07-2024</v>
      </c>
      <c r="P107" t="str">
        <f t="shared" si="6"/>
        <v>2024</v>
      </c>
      <c r="Q107" s="6">
        <f t="shared" si="7"/>
        <v>0.1670399782800516</v>
      </c>
      <c r="R107" t="str">
        <f t="shared" si="8"/>
        <v>Profit</v>
      </c>
      <c r="S107" t="str">
        <f t="shared" si="9"/>
        <v>Low (1-10%)</v>
      </c>
    </row>
    <row r="108" spans="1:19" x14ac:dyDescent="0.3">
      <c r="A108" s="3" t="s">
        <v>188</v>
      </c>
      <c r="B108" s="2">
        <v>45632</v>
      </c>
      <c r="C108" s="3" t="s">
        <v>84</v>
      </c>
      <c r="D108" s="3" t="s">
        <v>16</v>
      </c>
      <c r="E108" s="3" t="s">
        <v>25</v>
      </c>
      <c r="F108" s="3" t="s">
        <v>32</v>
      </c>
      <c r="G108" s="3" t="s">
        <v>112</v>
      </c>
      <c r="H108" s="3" t="s">
        <v>113</v>
      </c>
      <c r="I108" s="5">
        <v>12407.84</v>
      </c>
      <c r="J108" s="4">
        <v>8</v>
      </c>
      <c r="K108" s="1">
        <v>24</v>
      </c>
      <c r="L108" s="4">
        <v>1510</v>
      </c>
      <c r="M108" s="3" t="s">
        <v>51</v>
      </c>
      <c r="N108" s="3" t="s">
        <v>35</v>
      </c>
      <c r="O108" s="2" t="str">
        <f t="shared" si="5"/>
        <v>12-2024</v>
      </c>
      <c r="P108" t="str">
        <f t="shared" si="6"/>
        <v>2024</v>
      </c>
      <c r="Q108" s="6">
        <f t="shared" si="7"/>
        <v>0.12169724948097332</v>
      </c>
      <c r="R108" t="str">
        <f t="shared" si="8"/>
        <v>Profit</v>
      </c>
      <c r="S108" t="str">
        <f t="shared" si="9"/>
        <v>High (&gt;20%)</v>
      </c>
    </row>
    <row r="109" spans="1:19" x14ac:dyDescent="0.3">
      <c r="A109" s="3" t="s">
        <v>189</v>
      </c>
      <c r="B109" s="2">
        <v>45764</v>
      </c>
      <c r="C109" s="3" t="s">
        <v>24</v>
      </c>
      <c r="D109" s="3" t="s">
        <v>56</v>
      </c>
      <c r="E109" s="3" t="s">
        <v>61</v>
      </c>
      <c r="F109" s="3" t="s">
        <v>18</v>
      </c>
      <c r="G109" s="3" t="s">
        <v>19</v>
      </c>
      <c r="H109" s="3" t="s">
        <v>20</v>
      </c>
      <c r="I109" s="5">
        <v>6470.3</v>
      </c>
      <c r="J109" s="4">
        <v>10</v>
      </c>
      <c r="K109" s="1">
        <v>3</v>
      </c>
      <c r="L109" s="4">
        <v>1412.01</v>
      </c>
      <c r="M109" s="3" t="s">
        <v>51</v>
      </c>
      <c r="N109" s="3" t="s">
        <v>35</v>
      </c>
      <c r="O109" s="2" t="str">
        <f t="shared" si="5"/>
        <v>04-2025</v>
      </c>
      <c r="P109" t="str">
        <f t="shared" si="6"/>
        <v>2025</v>
      </c>
      <c r="Q109" s="6">
        <f t="shared" si="7"/>
        <v>0.21822944840270156</v>
      </c>
      <c r="R109" t="str">
        <f t="shared" si="8"/>
        <v>Profit</v>
      </c>
      <c r="S109" t="str">
        <f t="shared" si="9"/>
        <v>Low (1-10%)</v>
      </c>
    </row>
    <row r="110" spans="1:19" x14ac:dyDescent="0.3">
      <c r="A110" s="3" t="s">
        <v>190</v>
      </c>
      <c r="B110" s="2">
        <v>45517</v>
      </c>
      <c r="C110" s="3" t="s">
        <v>15</v>
      </c>
      <c r="D110" s="3" t="s">
        <v>38</v>
      </c>
      <c r="E110" s="3" t="s">
        <v>53</v>
      </c>
      <c r="F110" s="3" t="s">
        <v>18</v>
      </c>
      <c r="G110" s="3" t="s">
        <v>76</v>
      </c>
      <c r="H110" s="3" t="s">
        <v>77</v>
      </c>
      <c r="I110" s="5">
        <v>1823.95</v>
      </c>
      <c r="J110" s="4">
        <v>5</v>
      </c>
      <c r="K110" s="1">
        <v>8</v>
      </c>
      <c r="L110" s="4">
        <v>372.97</v>
      </c>
      <c r="M110" s="3" t="s">
        <v>21</v>
      </c>
      <c r="N110" s="3" t="s">
        <v>35</v>
      </c>
      <c r="O110" s="2" t="str">
        <f t="shared" si="5"/>
        <v>08-2024</v>
      </c>
      <c r="P110" t="str">
        <f t="shared" si="6"/>
        <v>2024</v>
      </c>
      <c r="Q110" s="6">
        <f t="shared" si="7"/>
        <v>0.20448477206063764</v>
      </c>
      <c r="R110" t="str">
        <f t="shared" si="8"/>
        <v>Profit</v>
      </c>
      <c r="S110" t="str">
        <f t="shared" si="9"/>
        <v>Low (1-10%)</v>
      </c>
    </row>
    <row r="111" spans="1:19" x14ac:dyDescent="0.3">
      <c r="A111" s="3" t="s">
        <v>191</v>
      </c>
      <c r="B111" s="2">
        <v>45548</v>
      </c>
      <c r="C111" s="3" t="s">
        <v>86</v>
      </c>
      <c r="D111" s="3" t="s">
        <v>56</v>
      </c>
      <c r="E111" s="3" t="s">
        <v>108</v>
      </c>
      <c r="F111" s="3" t="s">
        <v>18</v>
      </c>
      <c r="G111" s="3" t="s">
        <v>26</v>
      </c>
      <c r="H111" s="3" t="s">
        <v>27</v>
      </c>
      <c r="I111" s="5">
        <v>6669.96</v>
      </c>
      <c r="J111" s="4">
        <v>6</v>
      </c>
      <c r="K111" s="1">
        <v>7.0000000000000009</v>
      </c>
      <c r="L111" s="4">
        <v>1226.27</v>
      </c>
      <c r="M111" s="3" t="s">
        <v>51</v>
      </c>
      <c r="N111" s="3" t="s">
        <v>35</v>
      </c>
      <c r="O111" s="2" t="str">
        <f t="shared" si="5"/>
        <v>09-2024</v>
      </c>
      <c r="P111" t="str">
        <f t="shared" si="6"/>
        <v>2024</v>
      </c>
      <c r="Q111" s="6">
        <f t="shared" si="7"/>
        <v>0.18384967825894008</v>
      </c>
      <c r="R111" t="str">
        <f t="shared" si="8"/>
        <v>Profit</v>
      </c>
      <c r="S111" t="str">
        <f t="shared" si="9"/>
        <v>Low (1-10%)</v>
      </c>
    </row>
    <row r="112" spans="1:19" x14ac:dyDescent="0.3">
      <c r="A112" s="3" t="s">
        <v>192</v>
      </c>
      <c r="B112" s="2">
        <v>45693</v>
      </c>
      <c r="C112" s="3" t="s">
        <v>99</v>
      </c>
      <c r="D112" s="3" t="s">
        <v>89</v>
      </c>
      <c r="E112" s="3" t="s">
        <v>140</v>
      </c>
      <c r="F112" s="3" t="s">
        <v>62</v>
      </c>
      <c r="G112" s="3" t="s">
        <v>63</v>
      </c>
      <c r="H112" s="3" t="s">
        <v>64</v>
      </c>
      <c r="I112" s="5">
        <v>9728.82</v>
      </c>
      <c r="J112" s="4">
        <v>6</v>
      </c>
      <c r="K112" s="1">
        <v>2</v>
      </c>
      <c r="L112" s="4">
        <v>1193.55</v>
      </c>
      <c r="M112" s="3" t="s">
        <v>51</v>
      </c>
      <c r="N112" s="3" t="s">
        <v>44</v>
      </c>
      <c r="O112" s="2" t="str">
        <f t="shared" si="5"/>
        <v>02-2025</v>
      </c>
      <c r="P112" t="str">
        <f t="shared" si="6"/>
        <v>2025</v>
      </c>
      <c r="Q112" s="6">
        <f t="shared" si="7"/>
        <v>0.12268188742314073</v>
      </c>
      <c r="R112" t="str">
        <f t="shared" si="8"/>
        <v>Profit</v>
      </c>
      <c r="S112" t="str">
        <f t="shared" si="9"/>
        <v>Low (1-10%)</v>
      </c>
    </row>
    <row r="113" spans="1:19" x14ac:dyDescent="0.3">
      <c r="A113" s="3" t="s">
        <v>193</v>
      </c>
      <c r="B113" s="2">
        <v>45468</v>
      </c>
      <c r="C113" s="3" t="s">
        <v>101</v>
      </c>
      <c r="D113" s="3" t="s">
        <v>89</v>
      </c>
      <c r="E113" s="3" t="s">
        <v>102</v>
      </c>
      <c r="F113" s="3" t="s">
        <v>32</v>
      </c>
      <c r="G113" s="3" t="s">
        <v>112</v>
      </c>
      <c r="H113" s="3" t="s">
        <v>113</v>
      </c>
      <c r="I113" s="5">
        <v>1967.21</v>
      </c>
      <c r="J113" s="4">
        <v>7</v>
      </c>
      <c r="K113" s="1">
        <v>3</v>
      </c>
      <c r="L113" s="4">
        <v>266.68</v>
      </c>
      <c r="M113" s="3" t="s">
        <v>28</v>
      </c>
      <c r="N113" s="3" t="s">
        <v>40</v>
      </c>
      <c r="O113" s="2" t="str">
        <f t="shared" si="5"/>
        <v>06-2024</v>
      </c>
      <c r="P113" t="str">
        <f t="shared" si="6"/>
        <v>2024</v>
      </c>
      <c r="Q113" s="6">
        <f t="shared" si="7"/>
        <v>0.1355625479740343</v>
      </c>
      <c r="R113" t="str">
        <f t="shared" si="8"/>
        <v>Profit</v>
      </c>
      <c r="S113" t="str">
        <f t="shared" si="9"/>
        <v>Low (1-10%)</v>
      </c>
    </row>
    <row r="114" spans="1:19" x14ac:dyDescent="0.3">
      <c r="A114" s="3" t="s">
        <v>194</v>
      </c>
      <c r="B114" s="2">
        <v>45623</v>
      </c>
      <c r="C114" s="3" t="s">
        <v>99</v>
      </c>
      <c r="D114" s="3" t="s">
        <v>16</v>
      </c>
      <c r="E114" s="3" t="s">
        <v>17</v>
      </c>
      <c r="F114" s="3" t="s">
        <v>62</v>
      </c>
      <c r="G114" s="3" t="s">
        <v>63</v>
      </c>
      <c r="H114" s="3" t="s">
        <v>64</v>
      </c>
      <c r="I114" s="5">
        <v>5833.08</v>
      </c>
      <c r="J114" s="4">
        <v>6</v>
      </c>
      <c r="K114" s="1">
        <v>17</v>
      </c>
      <c r="L114" s="4">
        <v>603.82000000000005</v>
      </c>
      <c r="M114" s="3" t="s">
        <v>21</v>
      </c>
      <c r="N114" s="3" t="s">
        <v>40</v>
      </c>
      <c r="O114" s="2" t="str">
        <f t="shared" si="5"/>
        <v>11-2024</v>
      </c>
      <c r="P114" t="str">
        <f t="shared" si="6"/>
        <v>2024</v>
      </c>
      <c r="Q114" s="6">
        <f t="shared" si="7"/>
        <v>0.10351649557352206</v>
      </c>
      <c r="R114" t="str">
        <f t="shared" si="8"/>
        <v>Profit</v>
      </c>
      <c r="S114" t="str">
        <f t="shared" si="9"/>
        <v>Mid (11-20%)</v>
      </c>
    </row>
    <row r="115" spans="1:19" x14ac:dyDescent="0.3">
      <c r="A115" s="3" t="s">
        <v>195</v>
      </c>
      <c r="B115" s="2">
        <v>45623</v>
      </c>
      <c r="C115" s="3" t="s">
        <v>99</v>
      </c>
      <c r="D115" s="3" t="s">
        <v>16</v>
      </c>
      <c r="E115" s="3" t="s">
        <v>31</v>
      </c>
      <c r="F115" s="3" t="s">
        <v>32</v>
      </c>
      <c r="G115" s="3" t="s">
        <v>58</v>
      </c>
      <c r="H115" s="3" t="s">
        <v>59</v>
      </c>
      <c r="I115" s="5">
        <v>9606.7999999999993</v>
      </c>
      <c r="J115" s="4">
        <v>10</v>
      </c>
      <c r="K115" s="1">
        <v>27</v>
      </c>
      <c r="L115" s="4">
        <v>490.28</v>
      </c>
      <c r="M115" s="3" t="s">
        <v>21</v>
      </c>
      <c r="N115" s="3" t="s">
        <v>40</v>
      </c>
      <c r="O115" s="2" t="str">
        <f t="shared" si="5"/>
        <v>11-2024</v>
      </c>
      <c r="P115" t="str">
        <f t="shared" si="6"/>
        <v>2024</v>
      </c>
      <c r="Q115" s="6">
        <f t="shared" si="7"/>
        <v>5.1034683765665986E-2</v>
      </c>
      <c r="R115" t="str">
        <f t="shared" si="8"/>
        <v>Profit</v>
      </c>
      <c r="S115" t="str">
        <f t="shared" si="9"/>
        <v>High (&gt;20%)</v>
      </c>
    </row>
    <row r="116" spans="1:19" x14ac:dyDescent="0.3">
      <c r="A116" s="3" t="s">
        <v>196</v>
      </c>
      <c r="B116" s="2">
        <v>45589</v>
      </c>
      <c r="C116" s="3" t="s">
        <v>37</v>
      </c>
      <c r="D116" s="3" t="s">
        <v>16</v>
      </c>
      <c r="E116" s="3" t="s">
        <v>25</v>
      </c>
      <c r="F116" s="3" t="s">
        <v>18</v>
      </c>
      <c r="G116" s="3" t="s">
        <v>26</v>
      </c>
      <c r="H116" s="3" t="s">
        <v>27</v>
      </c>
      <c r="I116" s="5">
        <v>7294.2</v>
      </c>
      <c r="J116" s="4">
        <v>5</v>
      </c>
      <c r="K116" s="1">
        <v>29</v>
      </c>
      <c r="L116" s="4">
        <v>1264.71</v>
      </c>
      <c r="M116" s="3" t="s">
        <v>21</v>
      </c>
      <c r="N116" s="3" t="s">
        <v>22</v>
      </c>
      <c r="O116" s="2" t="str">
        <f t="shared" si="5"/>
        <v>10-2024</v>
      </c>
      <c r="P116" t="str">
        <f t="shared" si="6"/>
        <v>2024</v>
      </c>
      <c r="Q116" s="6">
        <f t="shared" si="7"/>
        <v>0.17338570370979683</v>
      </c>
      <c r="R116" t="str">
        <f t="shared" si="8"/>
        <v>Profit</v>
      </c>
      <c r="S116" t="str">
        <f t="shared" si="9"/>
        <v>High (&gt;20%)</v>
      </c>
    </row>
    <row r="117" spans="1:19" x14ac:dyDescent="0.3">
      <c r="A117" s="3" t="s">
        <v>197</v>
      </c>
      <c r="B117" s="2">
        <v>45481</v>
      </c>
      <c r="C117" s="3" t="s">
        <v>70</v>
      </c>
      <c r="D117" s="3" t="s">
        <v>89</v>
      </c>
      <c r="E117" s="3" t="s">
        <v>90</v>
      </c>
      <c r="F117" s="3" t="s">
        <v>18</v>
      </c>
      <c r="G117" s="3" t="s">
        <v>94</v>
      </c>
      <c r="H117" s="3" t="s">
        <v>95</v>
      </c>
      <c r="I117" s="5">
        <v>1341.38</v>
      </c>
      <c r="J117" s="4">
        <v>1</v>
      </c>
      <c r="K117" s="1">
        <v>2</v>
      </c>
      <c r="L117" s="4">
        <v>298.27</v>
      </c>
      <c r="M117" s="3" t="s">
        <v>51</v>
      </c>
      <c r="N117" s="3" t="s">
        <v>35</v>
      </c>
      <c r="O117" s="2" t="str">
        <f t="shared" si="5"/>
        <v>07-2024</v>
      </c>
      <c r="P117" t="str">
        <f t="shared" si="6"/>
        <v>2024</v>
      </c>
      <c r="Q117" s="6">
        <f t="shared" si="7"/>
        <v>0.22236055405627037</v>
      </c>
      <c r="R117" t="str">
        <f t="shared" si="8"/>
        <v>Profit</v>
      </c>
      <c r="S117" t="str">
        <f t="shared" si="9"/>
        <v>Low (1-10%)</v>
      </c>
    </row>
    <row r="118" spans="1:19" x14ac:dyDescent="0.3">
      <c r="A118" s="3" t="s">
        <v>198</v>
      </c>
      <c r="B118" s="2">
        <v>45718</v>
      </c>
      <c r="C118" s="3" t="s">
        <v>73</v>
      </c>
      <c r="D118" s="3" t="s">
        <v>16</v>
      </c>
      <c r="E118" s="3" t="s">
        <v>25</v>
      </c>
      <c r="F118" s="3" t="s">
        <v>32</v>
      </c>
      <c r="G118" s="3" t="s">
        <v>33</v>
      </c>
      <c r="H118" s="3" t="s">
        <v>34</v>
      </c>
      <c r="I118" s="5">
        <v>1912.92</v>
      </c>
      <c r="J118" s="4">
        <v>6</v>
      </c>
      <c r="K118" s="1">
        <v>11</v>
      </c>
      <c r="L118" s="4">
        <v>334.38</v>
      </c>
      <c r="M118" s="3" t="s">
        <v>28</v>
      </c>
      <c r="N118" s="3" t="s">
        <v>40</v>
      </c>
      <c r="O118" s="2" t="str">
        <f t="shared" si="5"/>
        <v>03-2025</v>
      </c>
      <c r="P118" t="str">
        <f t="shared" si="6"/>
        <v>2025</v>
      </c>
      <c r="Q118" s="6">
        <f t="shared" si="7"/>
        <v>0.17480082805344707</v>
      </c>
      <c r="R118" t="str">
        <f t="shared" si="8"/>
        <v>Profit</v>
      </c>
      <c r="S118" t="str">
        <f t="shared" si="9"/>
        <v>Mid (11-20%)</v>
      </c>
    </row>
    <row r="119" spans="1:19" x14ac:dyDescent="0.3">
      <c r="A119" s="3" t="s">
        <v>199</v>
      </c>
      <c r="B119" s="2">
        <v>45619</v>
      </c>
      <c r="C119" s="3" t="s">
        <v>42</v>
      </c>
      <c r="D119" s="3" t="s">
        <v>16</v>
      </c>
      <c r="E119" s="3" t="s">
        <v>25</v>
      </c>
      <c r="F119" s="3" t="s">
        <v>62</v>
      </c>
      <c r="G119" s="3" t="s">
        <v>80</v>
      </c>
      <c r="H119" s="3" t="s">
        <v>81</v>
      </c>
      <c r="I119" s="5">
        <v>890.28</v>
      </c>
      <c r="J119" s="4">
        <v>4</v>
      </c>
      <c r="K119" s="1">
        <v>0</v>
      </c>
      <c r="L119" s="4">
        <v>90.24</v>
      </c>
      <c r="M119" s="3" t="s">
        <v>21</v>
      </c>
      <c r="N119" s="3" t="s">
        <v>44</v>
      </c>
      <c r="O119" s="2" t="str">
        <f t="shared" si="5"/>
        <v>11-2024</v>
      </c>
      <c r="P119" t="str">
        <f t="shared" si="6"/>
        <v>2024</v>
      </c>
      <c r="Q119" s="6">
        <f t="shared" si="7"/>
        <v>0.1013613694568001</v>
      </c>
      <c r="R119" t="str">
        <f t="shared" si="8"/>
        <v>Profit</v>
      </c>
      <c r="S119" t="str">
        <f t="shared" si="9"/>
        <v>No Discount</v>
      </c>
    </row>
    <row r="120" spans="1:19" x14ac:dyDescent="0.3">
      <c r="A120" s="3" t="s">
        <v>200</v>
      </c>
      <c r="B120" s="2">
        <v>45726</v>
      </c>
      <c r="C120" s="3" t="s">
        <v>75</v>
      </c>
      <c r="D120" s="3" t="s">
        <v>16</v>
      </c>
      <c r="E120" s="3" t="s">
        <v>17</v>
      </c>
      <c r="F120" s="3" t="s">
        <v>62</v>
      </c>
      <c r="G120" s="3" t="s">
        <v>67</v>
      </c>
      <c r="H120" s="3" t="s">
        <v>68</v>
      </c>
      <c r="I120" s="5">
        <v>1513.36</v>
      </c>
      <c r="J120" s="4">
        <v>4</v>
      </c>
      <c r="K120" s="1">
        <v>10</v>
      </c>
      <c r="L120" s="4">
        <v>90.69</v>
      </c>
      <c r="M120" s="3" t="s">
        <v>51</v>
      </c>
      <c r="N120" s="3" t="s">
        <v>35</v>
      </c>
      <c r="O120" s="2" t="str">
        <f t="shared" si="5"/>
        <v>03-2025</v>
      </c>
      <c r="P120" t="str">
        <f t="shared" si="6"/>
        <v>2025</v>
      </c>
      <c r="Q120" s="6">
        <f t="shared" si="7"/>
        <v>5.9926256806047476E-2</v>
      </c>
      <c r="R120" t="str">
        <f t="shared" si="8"/>
        <v>Profit</v>
      </c>
      <c r="S120" t="str">
        <f t="shared" si="9"/>
        <v>Low (1-10%)</v>
      </c>
    </row>
    <row r="121" spans="1:19" x14ac:dyDescent="0.3">
      <c r="A121" s="3" t="s">
        <v>201</v>
      </c>
      <c r="B121" s="2">
        <v>45783</v>
      </c>
      <c r="C121" s="3" t="s">
        <v>84</v>
      </c>
      <c r="D121" s="3" t="s">
        <v>89</v>
      </c>
      <c r="E121" s="3" t="s">
        <v>116</v>
      </c>
      <c r="F121" s="3" t="s">
        <v>18</v>
      </c>
      <c r="G121" s="3" t="s">
        <v>19</v>
      </c>
      <c r="H121" s="3" t="s">
        <v>20</v>
      </c>
      <c r="I121" s="5">
        <v>1000.8</v>
      </c>
      <c r="J121" s="4">
        <v>8</v>
      </c>
      <c r="K121" s="1">
        <v>6</v>
      </c>
      <c r="L121" s="4">
        <v>170.82</v>
      </c>
      <c r="M121" s="3" t="s">
        <v>21</v>
      </c>
      <c r="N121" s="3" t="s">
        <v>35</v>
      </c>
      <c r="O121" s="2" t="str">
        <f t="shared" si="5"/>
        <v>05-2025</v>
      </c>
      <c r="P121" t="str">
        <f t="shared" si="6"/>
        <v>2025</v>
      </c>
      <c r="Q121" s="6">
        <f t="shared" si="7"/>
        <v>0.17068345323741008</v>
      </c>
      <c r="R121" t="str">
        <f t="shared" si="8"/>
        <v>Profit</v>
      </c>
      <c r="S121" t="str">
        <f t="shared" si="9"/>
        <v>Low (1-10%)</v>
      </c>
    </row>
    <row r="122" spans="1:19" x14ac:dyDescent="0.3">
      <c r="A122" s="3" t="s">
        <v>202</v>
      </c>
      <c r="B122" s="2">
        <v>45777</v>
      </c>
      <c r="C122" s="3" t="s">
        <v>101</v>
      </c>
      <c r="D122" s="3" t="s">
        <v>89</v>
      </c>
      <c r="E122" s="3" t="s">
        <v>97</v>
      </c>
      <c r="F122" s="3" t="s">
        <v>32</v>
      </c>
      <c r="G122" s="3" t="s">
        <v>112</v>
      </c>
      <c r="H122" s="3" t="s">
        <v>113</v>
      </c>
      <c r="I122" s="5">
        <v>619.34</v>
      </c>
      <c r="J122" s="4">
        <v>2</v>
      </c>
      <c r="K122" s="1">
        <v>28</v>
      </c>
      <c r="L122" s="4">
        <v>42.8</v>
      </c>
      <c r="M122" s="3" t="s">
        <v>21</v>
      </c>
      <c r="N122" s="3" t="s">
        <v>22</v>
      </c>
      <c r="O122" s="2" t="str">
        <f t="shared" si="5"/>
        <v>04-2025</v>
      </c>
      <c r="P122" t="str">
        <f t="shared" si="6"/>
        <v>2025</v>
      </c>
      <c r="Q122" s="6">
        <f t="shared" si="7"/>
        <v>6.9105822326993249E-2</v>
      </c>
      <c r="R122" t="str">
        <f t="shared" si="8"/>
        <v>Profit</v>
      </c>
      <c r="S122" t="str">
        <f t="shared" si="9"/>
        <v>High (&gt;20%)</v>
      </c>
    </row>
    <row r="123" spans="1:19" x14ac:dyDescent="0.3">
      <c r="A123" s="3" t="s">
        <v>203</v>
      </c>
      <c r="B123" s="2">
        <v>45774</v>
      </c>
      <c r="C123" s="3" t="s">
        <v>73</v>
      </c>
      <c r="D123" s="3" t="s">
        <v>56</v>
      </c>
      <c r="E123" s="3" t="s">
        <v>57</v>
      </c>
      <c r="F123" s="3" t="s">
        <v>18</v>
      </c>
      <c r="G123" s="3" t="s">
        <v>26</v>
      </c>
      <c r="H123" s="3" t="s">
        <v>27</v>
      </c>
      <c r="I123" s="5">
        <v>8766.27</v>
      </c>
      <c r="J123" s="4">
        <v>9</v>
      </c>
      <c r="K123" s="1">
        <v>30</v>
      </c>
      <c r="L123" s="4">
        <v>769.54</v>
      </c>
      <c r="M123" s="3" t="s">
        <v>51</v>
      </c>
      <c r="N123" s="3" t="s">
        <v>40</v>
      </c>
      <c r="O123" s="2" t="str">
        <f t="shared" si="5"/>
        <v>04-2025</v>
      </c>
      <c r="P123" t="str">
        <f t="shared" si="6"/>
        <v>2025</v>
      </c>
      <c r="Q123" s="6">
        <f t="shared" si="7"/>
        <v>8.7784200121602457E-2</v>
      </c>
      <c r="R123" t="str">
        <f t="shared" si="8"/>
        <v>Profit</v>
      </c>
      <c r="S123" t="str">
        <f t="shared" si="9"/>
        <v>High (&gt;20%)</v>
      </c>
    </row>
    <row r="124" spans="1:19" x14ac:dyDescent="0.3">
      <c r="A124" s="3" t="s">
        <v>204</v>
      </c>
      <c r="B124" s="2">
        <v>45475</v>
      </c>
      <c r="C124" s="3" t="s">
        <v>101</v>
      </c>
      <c r="D124" s="3" t="s">
        <v>89</v>
      </c>
      <c r="E124" s="3" t="s">
        <v>140</v>
      </c>
      <c r="F124" s="3" t="s">
        <v>18</v>
      </c>
      <c r="G124" s="3" t="s">
        <v>94</v>
      </c>
      <c r="H124" s="3" t="s">
        <v>95</v>
      </c>
      <c r="I124" s="5">
        <v>1486.48</v>
      </c>
      <c r="J124" s="4">
        <v>8</v>
      </c>
      <c r="K124" s="1">
        <v>9</v>
      </c>
      <c r="L124" s="4">
        <v>111.09</v>
      </c>
      <c r="M124" s="3" t="s">
        <v>28</v>
      </c>
      <c r="N124" s="3" t="s">
        <v>40</v>
      </c>
      <c r="O124" s="2" t="str">
        <f t="shared" si="5"/>
        <v>07-2024</v>
      </c>
      <c r="P124" t="str">
        <f t="shared" si="6"/>
        <v>2024</v>
      </c>
      <c r="Q124" s="6">
        <f t="shared" si="7"/>
        <v>7.4733598837522203E-2</v>
      </c>
      <c r="R124" t="str">
        <f t="shared" si="8"/>
        <v>Profit</v>
      </c>
      <c r="S124" t="str">
        <f t="shared" si="9"/>
        <v>Low (1-10%)</v>
      </c>
    </row>
    <row r="125" spans="1:19" x14ac:dyDescent="0.3">
      <c r="A125" s="3" t="s">
        <v>205</v>
      </c>
      <c r="B125" s="2">
        <v>45546</v>
      </c>
      <c r="C125" s="3" t="s">
        <v>99</v>
      </c>
      <c r="D125" s="3" t="s">
        <v>89</v>
      </c>
      <c r="E125" s="3" t="s">
        <v>97</v>
      </c>
      <c r="F125" s="3" t="s">
        <v>32</v>
      </c>
      <c r="G125" s="3" t="s">
        <v>58</v>
      </c>
      <c r="H125" s="3" t="s">
        <v>59</v>
      </c>
      <c r="I125" s="5">
        <v>6517.32</v>
      </c>
      <c r="J125" s="4">
        <v>4</v>
      </c>
      <c r="K125" s="1">
        <v>4</v>
      </c>
      <c r="L125" s="4">
        <v>1083.0999999999999</v>
      </c>
      <c r="M125" s="3" t="s">
        <v>21</v>
      </c>
      <c r="N125" s="3" t="s">
        <v>35</v>
      </c>
      <c r="O125" s="2" t="str">
        <f t="shared" si="5"/>
        <v>09-2024</v>
      </c>
      <c r="P125" t="str">
        <f t="shared" si="6"/>
        <v>2024</v>
      </c>
      <c r="Q125" s="6">
        <f t="shared" si="7"/>
        <v>0.1661879422830243</v>
      </c>
      <c r="R125" t="str">
        <f t="shared" si="8"/>
        <v>Profit</v>
      </c>
      <c r="S125" t="str">
        <f t="shared" si="9"/>
        <v>Low (1-10%)</v>
      </c>
    </row>
    <row r="126" spans="1:19" x14ac:dyDescent="0.3">
      <c r="A126" s="3" t="s">
        <v>206</v>
      </c>
      <c r="B126" s="2">
        <v>45633</v>
      </c>
      <c r="C126" s="3" t="s">
        <v>66</v>
      </c>
      <c r="D126" s="3" t="s">
        <v>16</v>
      </c>
      <c r="E126" s="3" t="s">
        <v>17</v>
      </c>
      <c r="F126" s="3" t="s">
        <v>32</v>
      </c>
      <c r="G126" s="3" t="s">
        <v>33</v>
      </c>
      <c r="H126" s="3" t="s">
        <v>34</v>
      </c>
      <c r="I126" s="5">
        <v>2619.36</v>
      </c>
      <c r="J126" s="4">
        <v>8</v>
      </c>
      <c r="K126" s="1">
        <v>26</v>
      </c>
      <c r="L126" s="4">
        <v>423.72</v>
      </c>
      <c r="M126" s="3" t="s">
        <v>28</v>
      </c>
      <c r="N126" s="3" t="s">
        <v>22</v>
      </c>
      <c r="O126" s="2" t="str">
        <f t="shared" si="5"/>
        <v>12-2024</v>
      </c>
      <c r="P126" t="str">
        <f t="shared" si="6"/>
        <v>2024</v>
      </c>
      <c r="Q126" s="6">
        <f t="shared" si="7"/>
        <v>0.16176470588235295</v>
      </c>
      <c r="R126" t="str">
        <f t="shared" si="8"/>
        <v>Profit</v>
      </c>
      <c r="S126" t="str">
        <f t="shared" si="9"/>
        <v>High (&gt;20%)</v>
      </c>
    </row>
    <row r="127" spans="1:19" x14ac:dyDescent="0.3">
      <c r="A127" s="3" t="s">
        <v>207</v>
      </c>
      <c r="B127" s="2">
        <v>45455</v>
      </c>
      <c r="C127" s="3" t="s">
        <v>86</v>
      </c>
      <c r="D127" s="3" t="s">
        <v>38</v>
      </c>
      <c r="E127" s="3" t="s">
        <v>71</v>
      </c>
      <c r="F127" s="3" t="s">
        <v>32</v>
      </c>
      <c r="G127" s="3" t="s">
        <v>33</v>
      </c>
      <c r="H127" s="3" t="s">
        <v>34</v>
      </c>
      <c r="I127" s="5">
        <v>1695.55</v>
      </c>
      <c r="J127" s="4">
        <v>1</v>
      </c>
      <c r="K127" s="1">
        <v>26</v>
      </c>
      <c r="L127" s="4">
        <v>114.02</v>
      </c>
      <c r="M127" s="3" t="s">
        <v>51</v>
      </c>
      <c r="N127" s="3" t="s">
        <v>35</v>
      </c>
      <c r="O127" s="2" t="str">
        <f t="shared" si="5"/>
        <v>06-2024</v>
      </c>
      <c r="P127" t="str">
        <f t="shared" si="6"/>
        <v>2024</v>
      </c>
      <c r="Q127" s="6">
        <f t="shared" si="7"/>
        <v>6.7246616142254731E-2</v>
      </c>
      <c r="R127" t="str">
        <f t="shared" si="8"/>
        <v>Profit</v>
      </c>
      <c r="S127" t="str">
        <f t="shared" si="9"/>
        <v>High (&gt;20%)</v>
      </c>
    </row>
    <row r="128" spans="1:19" x14ac:dyDescent="0.3">
      <c r="A128" s="3" t="s">
        <v>208</v>
      </c>
      <c r="B128" s="2">
        <v>45714</v>
      </c>
      <c r="C128" s="3" t="s">
        <v>42</v>
      </c>
      <c r="D128" s="3" t="s">
        <v>89</v>
      </c>
      <c r="E128" s="3" t="s">
        <v>90</v>
      </c>
      <c r="F128" s="3" t="s">
        <v>32</v>
      </c>
      <c r="G128" s="3" t="s">
        <v>47</v>
      </c>
      <c r="H128" s="3" t="s">
        <v>48</v>
      </c>
      <c r="I128" s="5">
        <v>6987.68</v>
      </c>
      <c r="J128" s="4">
        <v>4</v>
      </c>
      <c r="K128" s="1">
        <v>25</v>
      </c>
      <c r="L128" s="4">
        <v>854.53</v>
      </c>
      <c r="M128" s="3" t="s">
        <v>28</v>
      </c>
      <c r="N128" s="3" t="s">
        <v>22</v>
      </c>
      <c r="O128" s="2" t="str">
        <f t="shared" si="5"/>
        <v>02-2025</v>
      </c>
      <c r="P128" t="str">
        <f t="shared" si="6"/>
        <v>2025</v>
      </c>
      <c r="Q128" s="6">
        <f t="shared" si="7"/>
        <v>0.12229094635129255</v>
      </c>
      <c r="R128" t="str">
        <f t="shared" si="8"/>
        <v>Profit</v>
      </c>
      <c r="S128" t="str">
        <f t="shared" si="9"/>
        <v>High (&gt;20%)</v>
      </c>
    </row>
    <row r="129" spans="1:19" x14ac:dyDescent="0.3">
      <c r="A129" s="3" t="s">
        <v>209</v>
      </c>
      <c r="B129" s="2">
        <v>45495</v>
      </c>
      <c r="C129" s="3" t="s">
        <v>24</v>
      </c>
      <c r="D129" s="3" t="s">
        <v>56</v>
      </c>
      <c r="E129" s="3" t="s">
        <v>61</v>
      </c>
      <c r="F129" s="3" t="s">
        <v>32</v>
      </c>
      <c r="G129" s="3" t="s">
        <v>112</v>
      </c>
      <c r="H129" s="3" t="s">
        <v>113</v>
      </c>
      <c r="I129" s="5">
        <v>17292.7</v>
      </c>
      <c r="J129" s="4">
        <v>10</v>
      </c>
      <c r="K129" s="1">
        <v>14</v>
      </c>
      <c r="L129" s="4">
        <v>2378.5100000000002</v>
      </c>
      <c r="M129" s="3" t="s">
        <v>28</v>
      </c>
      <c r="N129" s="3" t="s">
        <v>22</v>
      </c>
      <c r="O129" s="2" t="str">
        <f t="shared" si="5"/>
        <v>07-2024</v>
      </c>
      <c r="P129" t="str">
        <f t="shared" si="6"/>
        <v>2024</v>
      </c>
      <c r="Q129" s="6">
        <f t="shared" si="7"/>
        <v>0.13754416603537908</v>
      </c>
      <c r="R129" t="str">
        <f t="shared" si="8"/>
        <v>Profit</v>
      </c>
      <c r="S129" t="str">
        <f t="shared" si="9"/>
        <v>Mid (11-20%)</v>
      </c>
    </row>
    <row r="130" spans="1:19" x14ac:dyDescent="0.3">
      <c r="A130" s="3" t="s">
        <v>210</v>
      </c>
      <c r="B130" s="2">
        <v>45666</v>
      </c>
      <c r="C130" s="3" t="s">
        <v>101</v>
      </c>
      <c r="D130" s="3" t="s">
        <v>38</v>
      </c>
      <c r="E130" s="3" t="s">
        <v>39</v>
      </c>
      <c r="F130" s="3" t="s">
        <v>32</v>
      </c>
      <c r="G130" s="3" t="s">
        <v>33</v>
      </c>
      <c r="H130" s="3" t="s">
        <v>34</v>
      </c>
      <c r="I130" s="5">
        <v>10338.780000000001</v>
      </c>
      <c r="J130" s="4">
        <v>6</v>
      </c>
      <c r="K130" s="1">
        <v>21</v>
      </c>
      <c r="L130" s="4">
        <v>758.29</v>
      </c>
      <c r="M130" s="3" t="s">
        <v>21</v>
      </c>
      <c r="N130" s="3" t="s">
        <v>44</v>
      </c>
      <c r="O130" s="2" t="str">
        <f t="shared" ref="O130:O193" si="10" xml:space="preserve"> TEXT(B130,"MM-YYYY")</f>
        <v>01-2025</v>
      </c>
      <c r="P130" t="str">
        <f t="shared" ref="P130:P193" si="11">TEXT(B130,"YYYY")</f>
        <v>2025</v>
      </c>
      <c r="Q130" s="6">
        <f t="shared" ref="Q130:Q193" si="12">IFERROR(L130/I130,0)</f>
        <v>7.3344243711540427E-2</v>
      </c>
      <c r="R130" t="str">
        <f t="shared" ref="R130:R193" si="13">IF(L130&gt;0,"Profit","Loss")</f>
        <v>Profit</v>
      </c>
      <c r="S130" t="str">
        <f t="shared" ref="S130:S193" si="14">IF(K130=0,"No Discount",IF(K130&lt;=10,"Low (1-10%)",IF(K130&lt;=20,"Mid (11-20%)","High (&gt;20%)")))</f>
        <v>High (&gt;20%)</v>
      </c>
    </row>
    <row r="131" spans="1:19" x14ac:dyDescent="0.3">
      <c r="A131" s="3" t="s">
        <v>211</v>
      </c>
      <c r="B131" s="2">
        <v>45648</v>
      </c>
      <c r="C131" s="3" t="s">
        <v>84</v>
      </c>
      <c r="D131" s="3" t="s">
        <v>16</v>
      </c>
      <c r="E131" s="3" t="s">
        <v>31</v>
      </c>
      <c r="F131" s="3" t="s">
        <v>18</v>
      </c>
      <c r="G131" s="3" t="s">
        <v>19</v>
      </c>
      <c r="H131" s="3" t="s">
        <v>20</v>
      </c>
      <c r="I131" s="5">
        <v>14036.8</v>
      </c>
      <c r="J131" s="4">
        <v>8</v>
      </c>
      <c r="K131" s="1">
        <v>12</v>
      </c>
      <c r="L131" s="4">
        <v>2716.89</v>
      </c>
      <c r="M131" s="3" t="s">
        <v>21</v>
      </c>
      <c r="N131" s="3" t="s">
        <v>35</v>
      </c>
      <c r="O131" s="2" t="str">
        <f t="shared" si="10"/>
        <v>12-2024</v>
      </c>
      <c r="P131" t="str">
        <f t="shared" si="11"/>
        <v>2024</v>
      </c>
      <c r="Q131" s="6">
        <f t="shared" si="12"/>
        <v>0.19355479881454463</v>
      </c>
      <c r="R131" t="str">
        <f t="shared" si="13"/>
        <v>Profit</v>
      </c>
      <c r="S131" t="str">
        <f t="shared" si="14"/>
        <v>Mid (11-20%)</v>
      </c>
    </row>
    <row r="132" spans="1:19" x14ac:dyDescent="0.3">
      <c r="A132" s="3" t="s">
        <v>212</v>
      </c>
      <c r="B132" s="2">
        <v>45634</v>
      </c>
      <c r="C132" s="3" t="s">
        <v>86</v>
      </c>
      <c r="D132" s="3" t="s">
        <v>38</v>
      </c>
      <c r="E132" s="3" t="s">
        <v>53</v>
      </c>
      <c r="F132" s="3" t="s">
        <v>32</v>
      </c>
      <c r="G132" s="3" t="s">
        <v>112</v>
      </c>
      <c r="H132" s="3" t="s">
        <v>113</v>
      </c>
      <c r="I132" s="5">
        <v>2229.44</v>
      </c>
      <c r="J132" s="4">
        <v>2</v>
      </c>
      <c r="K132" s="1">
        <v>25</v>
      </c>
      <c r="L132" s="4">
        <v>365.63</v>
      </c>
      <c r="M132" s="3" t="s">
        <v>51</v>
      </c>
      <c r="N132" s="3" t="s">
        <v>40</v>
      </c>
      <c r="O132" s="2" t="str">
        <f t="shared" si="10"/>
        <v>12-2024</v>
      </c>
      <c r="P132" t="str">
        <f t="shared" si="11"/>
        <v>2024</v>
      </c>
      <c r="Q132" s="6">
        <f t="shared" si="12"/>
        <v>0.16400082531936269</v>
      </c>
      <c r="R132" t="str">
        <f t="shared" si="13"/>
        <v>Profit</v>
      </c>
      <c r="S132" t="str">
        <f t="shared" si="14"/>
        <v>High (&gt;20%)</v>
      </c>
    </row>
    <row r="133" spans="1:19" x14ac:dyDescent="0.3">
      <c r="A133" s="3" t="s">
        <v>213</v>
      </c>
      <c r="B133" s="2">
        <v>45564</v>
      </c>
      <c r="C133" s="3" t="s">
        <v>37</v>
      </c>
      <c r="D133" s="3" t="s">
        <v>89</v>
      </c>
      <c r="E133" s="3" t="s">
        <v>140</v>
      </c>
      <c r="F133" s="3" t="s">
        <v>62</v>
      </c>
      <c r="G133" s="3" t="s">
        <v>67</v>
      </c>
      <c r="H133" s="3" t="s">
        <v>68</v>
      </c>
      <c r="I133" s="5">
        <v>19121.8</v>
      </c>
      <c r="J133" s="4">
        <v>10</v>
      </c>
      <c r="K133" s="1">
        <v>24</v>
      </c>
      <c r="L133" s="4">
        <v>1486.94</v>
      </c>
      <c r="M133" s="3" t="s">
        <v>28</v>
      </c>
      <c r="N133" s="3" t="s">
        <v>35</v>
      </c>
      <c r="O133" s="2" t="str">
        <f t="shared" si="10"/>
        <v>09-2024</v>
      </c>
      <c r="P133" t="str">
        <f t="shared" si="11"/>
        <v>2024</v>
      </c>
      <c r="Q133" s="6">
        <f t="shared" si="12"/>
        <v>7.776150780784237E-2</v>
      </c>
      <c r="R133" t="str">
        <f t="shared" si="13"/>
        <v>Profit</v>
      </c>
      <c r="S133" t="str">
        <f t="shared" si="14"/>
        <v>High (&gt;20%)</v>
      </c>
    </row>
    <row r="134" spans="1:19" x14ac:dyDescent="0.3">
      <c r="A134" s="3" t="s">
        <v>214</v>
      </c>
      <c r="B134" s="2">
        <v>45751</v>
      </c>
      <c r="C134" s="3" t="s">
        <v>133</v>
      </c>
      <c r="D134" s="3" t="s">
        <v>89</v>
      </c>
      <c r="E134" s="3" t="s">
        <v>102</v>
      </c>
      <c r="F134" s="3" t="s">
        <v>62</v>
      </c>
      <c r="G134" s="3" t="s">
        <v>67</v>
      </c>
      <c r="H134" s="3" t="s">
        <v>68</v>
      </c>
      <c r="I134" s="5">
        <v>10600.5</v>
      </c>
      <c r="J134" s="4">
        <v>6</v>
      </c>
      <c r="K134" s="1">
        <v>6</v>
      </c>
      <c r="L134" s="4">
        <v>1499.91</v>
      </c>
      <c r="M134" s="3" t="s">
        <v>28</v>
      </c>
      <c r="N134" s="3" t="s">
        <v>35</v>
      </c>
      <c r="O134" s="2" t="str">
        <f t="shared" si="10"/>
        <v>04-2025</v>
      </c>
      <c r="P134" t="str">
        <f t="shared" si="11"/>
        <v>2025</v>
      </c>
      <c r="Q134" s="6">
        <f t="shared" si="12"/>
        <v>0.1414942691382482</v>
      </c>
      <c r="R134" t="str">
        <f t="shared" si="13"/>
        <v>Profit</v>
      </c>
      <c r="S134" t="str">
        <f t="shared" si="14"/>
        <v>Low (1-10%)</v>
      </c>
    </row>
    <row r="135" spans="1:19" x14ac:dyDescent="0.3">
      <c r="A135" s="3" t="s">
        <v>215</v>
      </c>
      <c r="B135" s="2">
        <v>45551</v>
      </c>
      <c r="C135" s="3" t="s">
        <v>37</v>
      </c>
      <c r="D135" s="3" t="s">
        <v>89</v>
      </c>
      <c r="E135" s="3" t="s">
        <v>116</v>
      </c>
      <c r="F135" s="3" t="s">
        <v>18</v>
      </c>
      <c r="G135" s="3" t="s">
        <v>26</v>
      </c>
      <c r="H135" s="3" t="s">
        <v>27</v>
      </c>
      <c r="I135" s="5">
        <v>10089.73</v>
      </c>
      <c r="J135" s="4">
        <v>7</v>
      </c>
      <c r="K135" s="1">
        <v>5</v>
      </c>
      <c r="L135" s="4">
        <v>961.58</v>
      </c>
      <c r="M135" s="3" t="s">
        <v>51</v>
      </c>
      <c r="N135" s="3" t="s">
        <v>40</v>
      </c>
      <c r="O135" s="2" t="str">
        <f t="shared" si="10"/>
        <v>09-2024</v>
      </c>
      <c r="P135" t="str">
        <f t="shared" si="11"/>
        <v>2024</v>
      </c>
      <c r="Q135" s="6">
        <f t="shared" si="12"/>
        <v>9.5302847548943345E-2</v>
      </c>
      <c r="R135" t="str">
        <f t="shared" si="13"/>
        <v>Profit</v>
      </c>
      <c r="S135" t="str">
        <f t="shared" si="14"/>
        <v>Low (1-10%)</v>
      </c>
    </row>
    <row r="136" spans="1:19" x14ac:dyDescent="0.3">
      <c r="A136" s="3" t="s">
        <v>216</v>
      </c>
      <c r="B136" s="2">
        <v>45514</v>
      </c>
      <c r="C136" s="3" t="s">
        <v>66</v>
      </c>
      <c r="D136" s="3" t="s">
        <v>89</v>
      </c>
      <c r="E136" s="3" t="s">
        <v>102</v>
      </c>
      <c r="F136" s="3" t="s">
        <v>18</v>
      </c>
      <c r="G136" s="3" t="s">
        <v>19</v>
      </c>
      <c r="H136" s="3" t="s">
        <v>20</v>
      </c>
      <c r="I136" s="5">
        <v>1979.31</v>
      </c>
      <c r="J136" s="4">
        <v>3</v>
      </c>
      <c r="K136" s="1">
        <v>2</v>
      </c>
      <c r="L136" s="4">
        <v>261.05</v>
      </c>
      <c r="M136" s="3" t="s">
        <v>28</v>
      </c>
      <c r="N136" s="3" t="s">
        <v>44</v>
      </c>
      <c r="O136" s="2" t="str">
        <f t="shared" si="10"/>
        <v>08-2024</v>
      </c>
      <c r="P136" t="str">
        <f t="shared" si="11"/>
        <v>2024</v>
      </c>
      <c r="Q136" s="6">
        <f t="shared" si="12"/>
        <v>0.13188939579954631</v>
      </c>
      <c r="R136" t="str">
        <f t="shared" si="13"/>
        <v>Profit</v>
      </c>
      <c r="S136" t="str">
        <f t="shared" si="14"/>
        <v>Low (1-10%)</v>
      </c>
    </row>
    <row r="137" spans="1:19" x14ac:dyDescent="0.3">
      <c r="A137" s="3" t="s">
        <v>217</v>
      </c>
      <c r="B137" s="2">
        <v>45536</v>
      </c>
      <c r="C137" s="3" t="s">
        <v>15</v>
      </c>
      <c r="D137" s="3" t="s">
        <v>16</v>
      </c>
      <c r="E137" s="3" t="s">
        <v>17</v>
      </c>
      <c r="F137" s="3" t="s">
        <v>18</v>
      </c>
      <c r="G137" s="3" t="s">
        <v>94</v>
      </c>
      <c r="H137" s="3" t="s">
        <v>95</v>
      </c>
      <c r="I137" s="5">
        <v>1115.3399999999999</v>
      </c>
      <c r="J137" s="4">
        <v>3</v>
      </c>
      <c r="K137" s="1">
        <v>20</v>
      </c>
      <c r="L137" s="4">
        <v>198.33</v>
      </c>
      <c r="M137" s="3" t="s">
        <v>21</v>
      </c>
      <c r="N137" s="3" t="s">
        <v>40</v>
      </c>
      <c r="O137" s="2" t="str">
        <f t="shared" si="10"/>
        <v>09-2024</v>
      </c>
      <c r="P137" t="str">
        <f t="shared" si="11"/>
        <v>2024</v>
      </c>
      <c r="Q137" s="6">
        <f t="shared" si="12"/>
        <v>0.17782021625692615</v>
      </c>
      <c r="R137" t="str">
        <f t="shared" si="13"/>
        <v>Profit</v>
      </c>
      <c r="S137" t="str">
        <f t="shared" si="14"/>
        <v>Mid (11-20%)</v>
      </c>
    </row>
    <row r="138" spans="1:19" x14ac:dyDescent="0.3">
      <c r="A138" s="3" t="s">
        <v>218</v>
      </c>
      <c r="B138" s="2">
        <v>45646</v>
      </c>
      <c r="C138" s="3" t="s">
        <v>70</v>
      </c>
      <c r="D138" s="3" t="s">
        <v>38</v>
      </c>
      <c r="E138" s="3" t="s">
        <v>71</v>
      </c>
      <c r="F138" s="3" t="s">
        <v>62</v>
      </c>
      <c r="G138" s="3" t="s">
        <v>103</v>
      </c>
      <c r="H138" s="3" t="s">
        <v>104</v>
      </c>
      <c r="I138" s="5">
        <v>4203.96</v>
      </c>
      <c r="J138" s="4">
        <v>6</v>
      </c>
      <c r="K138" s="1">
        <v>8</v>
      </c>
      <c r="L138" s="4">
        <v>435.13</v>
      </c>
      <c r="M138" s="3" t="s">
        <v>51</v>
      </c>
      <c r="N138" s="3" t="s">
        <v>22</v>
      </c>
      <c r="O138" s="2" t="str">
        <f t="shared" si="10"/>
        <v>12-2024</v>
      </c>
      <c r="P138" t="str">
        <f t="shared" si="11"/>
        <v>2024</v>
      </c>
      <c r="Q138" s="6">
        <f t="shared" si="12"/>
        <v>0.1035047907211296</v>
      </c>
      <c r="R138" t="str">
        <f t="shared" si="13"/>
        <v>Profit</v>
      </c>
      <c r="S138" t="str">
        <f t="shared" si="14"/>
        <v>Low (1-10%)</v>
      </c>
    </row>
    <row r="139" spans="1:19" x14ac:dyDescent="0.3">
      <c r="A139" s="3" t="s">
        <v>219</v>
      </c>
      <c r="B139" s="2">
        <v>45580</v>
      </c>
      <c r="C139" s="3" t="s">
        <v>86</v>
      </c>
      <c r="D139" s="3" t="s">
        <v>38</v>
      </c>
      <c r="E139" s="3" t="s">
        <v>53</v>
      </c>
      <c r="F139" s="3" t="s">
        <v>32</v>
      </c>
      <c r="G139" s="3" t="s">
        <v>58</v>
      </c>
      <c r="H139" s="3" t="s">
        <v>59</v>
      </c>
      <c r="I139" s="5">
        <v>6056.12</v>
      </c>
      <c r="J139" s="4">
        <v>4</v>
      </c>
      <c r="K139" s="1">
        <v>30</v>
      </c>
      <c r="L139" s="4">
        <v>548.38</v>
      </c>
      <c r="M139" s="3" t="s">
        <v>21</v>
      </c>
      <c r="N139" s="3" t="s">
        <v>35</v>
      </c>
      <c r="O139" s="2" t="str">
        <f t="shared" si="10"/>
        <v>10-2024</v>
      </c>
      <c r="P139" t="str">
        <f t="shared" si="11"/>
        <v>2024</v>
      </c>
      <c r="Q139" s="6">
        <f t="shared" si="12"/>
        <v>9.0549724906375695E-2</v>
      </c>
      <c r="R139" t="str">
        <f t="shared" si="13"/>
        <v>Profit</v>
      </c>
      <c r="S139" t="str">
        <f t="shared" si="14"/>
        <v>High (&gt;20%)</v>
      </c>
    </row>
    <row r="140" spans="1:19" x14ac:dyDescent="0.3">
      <c r="A140" s="3" t="s">
        <v>220</v>
      </c>
      <c r="B140" s="2">
        <v>45622</v>
      </c>
      <c r="C140" s="3" t="s">
        <v>86</v>
      </c>
      <c r="D140" s="3" t="s">
        <v>16</v>
      </c>
      <c r="E140" s="3" t="s">
        <v>25</v>
      </c>
      <c r="F140" s="3" t="s">
        <v>18</v>
      </c>
      <c r="G140" s="3" t="s">
        <v>19</v>
      </c>
      <c r="H140" s="3" t="s">
        <v>20</v>
      </c>
      <c r="I140" s="5">
        <v>492.6</v>
      </c>
      <c r="J140" s="4">
        <v>3</v>
      </c>
      <c r="K140" s="1">
        <v>29</v>
      </c>
      <c r="L140" s="4">
        <v>26.51</v>
      </c>
      <c r="M140" s="3" t="s">
        <v>28</v>
      </c>
      <c r="N140" s="3" t="s">
        <v>35</v>
      </c>
      <c r="O140" s="2" t="str">
        <f t="shared" si="10"/>
        <v>11-2024</v>
      </c>
      <c r="P140" t="str">
        <f t="shared" si="11"/>
        <v>2024</v>
      </c>
      <c r="Q140" s="6">
        <f t="shared" si="12"/>
        <v>5.3816483962647176E-2</v>
      </c>
      <c r="R140" t="str">
        <f t="shared" si="13"/>
        <v>Profit</v>
      </c>
      <c r="S140" t="str">
        <f t="shared" si="14"/>
        <v>High (&gt;20%)</v>
      </c>
    </row>
    <row r="141" spans="1:19" x14ac:dyDescent="0.3">
      <c r="A141" s="3" t="s">
        <v>221</v>
      </c>
      <c r="B141" s="2">
        <v>45685</v>
      </c>
      <c r="C141" s="3" t="s">
        <v>42</v>
      </c>
      <c r="D141" s="3" t="s">
        <v>89</v>
      </c>
      <c r="E141" s="3" t="s">
        <v>97</v>
      </c>
      <c r="F141" s="3" t="s">
        <v>18</v>
      </c>
      <c r="G141" s="3" t="s">
        <v>76</v>
      </c>
      <c r="H141" s="3" t="s">
        <v>77</v>
      </c>
      <c r="I141" s="5">
        <v>919.57</v>
      </c>
      <c r="J141" s="4">
        <v>1</v>
      </c>
      <c r="K141" s="1">
        <v>28</v>
      </c>
      <c r="L141" s="4">
        <v>124.44</v>
      </c>
      <c r="M141" s="3" t="s">
        <v>28</v>
      </c>
      <c r="N141" s="3" t="s">
        <v>35</v>
      </c>
      <c r="O141" s="2" t="str">
        <f t="shared" si="10"/>
        <v>01-2025</v>
      </c>
      <c r="P141" t="str">
        <f t="shared" si="11"/>
        <v>2025</v>
      </c>
      <c r="Q141" s="6">
        <f t="shared" si="12"/>
        <v>0.13532411888165119</v>
      </c>
      <c r="R141" t="str">
        <f t="shared" si="13"/>
        <v>Profit</v>
      </c>
      <c r="S141" t="str">
        <f t="shared" si="14"/>
        <v>High (&gt;20%)</v>
      </c>
    </row>
    <row r="142" spans="1:19" x14ac:dyDescent="0.3">
      <c r="A142" s="3" t="s">
        <v>222</v>
      </c>
      <c r="B142" s="2">
        <v>45596</v>
      </c>
      <c r="C142" s="3" t="s">
        <v>73</v>
      </c>
      <c r="D142" s="3" t="s">
        <v>56</v>
      </c>
      <c r="E142" s="3" t="s">
        <v>61</v>
      </c>
      <c r="F142" s="3" t="s">
        <v>18</v>
      </c>
      <c r="G142" s="3" t="s">
        <v>26</v>
      </c>
      <c r="H142" s="3" t="s">
        <v>27</v>
      </c>
      <c r="I142" s="5">
        <v>442.16</v>
      </c>
      <c r="J142" s="4">
        <v>2</v>
      </c>
      <c r="K142" s="1">
        <v>30</v>
      </c>
      <c r="L142" s="4">
        <v>64.290000000000006</v>
      </c>
      <c r="M142" s="3" t="s">
        <v>51</v>
      </c>
      <c r="N142" s="3" t="s">
        <v>22</v>
      </c>
      <c r="O142" s="2" t="str">
        <f t="shared" si="10"/>
        <v>10-2024</v>
      </c>
      <c r="P142" t="str">
        <f t="shared" si="11"/>
        <v>2024</v>
      </c>
      <c r="Q142" s="6">
        <f t="shared" si="12"/>
        <v>0.14539985525601593</v>
      </c>
      <c r="R142" t="str">
        <f t="shared" si="13"/>
        <v>Profit</v>
      </c>
      <c r="S142" t="str">
        <f t="shared" si="14"/>
        <v>High (&gt;20%)</v>
      </c>
    </row>
    <row r="143" spans="1:19" x14ac:dyDescent="0.3">
      <c r="A143" s="3" t="s">
        <v>223</v>
      </c>
      <c r="B143" s="2">
        <v>45664</v>
      </c>
      <c r="C143" s="3" t="s">
        <v>133</v>
      </c>
      <c r="D143" s="3" t="s">
        <v>56</v>
      </c>
      <c r="E143" s="3" t="s">
        <v>61</v>
      </c>
      <c r="F143" s="3" t="s">
        <v>32</v>
      </c>
      <c r="G143" s="3" t="s">
        <v>58</v>
      </c>
      <c r="H143" s="3" t="s">
        <v>59</v>
      </c>
      <c r="I143" s="5">
        <v>9037.7999999999993</v>
      </c>
      <c r="J143" s="4">
        <v>9</v>
      </c>
      <c r="K143" s="1">
        <v>22</v>
      </c>
      <c r="L143" s="4">
        <v>508.45</v>
      </c>
      <c r="M143" s="3" t="s">
        <v>21</v>
      </c>
      <c r="N143" s="3" t="s">
        <v>22</v>
      </c>
      <c r="O143" s="2" t="str">
        <f t="shared" si="10"/>
        <v>01-2025</v>
      </c>
      <c r="P143" t="str">
        <f t="shared" si="11"/>
        <v>2025</v>
      </c>
      <c r="Q143" s="6">
        <f t="shared" si="12"/>
        <v>5.6258160171723214E-2</v>
      </c>
      <c r="R143" t="str">
        <f t="shared" si="13"/>
        <v>Profit</v>
      </c>
      <c r="S143" t="str">
        <f t="shared" si="14"/>
        <v>High (&gt;20%)</v>
      </c>
    </row>
    <row r="144" spans="1:19" x14ac:dyDescent="0.3">
      <c r="A144" s="3" t="s">
        <v>224</v>
      </c>
      <c r="B144" s="2">
        <v>45682</v>
      </c>
      <c r="C144" s="3" t="s">
        <v>75</v>
      </c>
      <c r="D144" s="3" t="s">
        <v>56</v>
      </c>
      <c r="E144" s="3" t="s">
        <v>61</v>
      </c>
      <c r="F144" s="3" t="s">
        <v>18</v>
      </c>
      <c r="G144" s="3" t="s">
        <v>94</v>
      </c>
      <c r="H144" s="3" t="s">
        <v>95</v>
      </c>
      <c r="I144" s="5">
        <v>7139.36</v>
      </c>
      <c r="J144" s="4">
        <v>8</v>
      </c>
      <c r="K144" s="1">
        <v>21</v>
      </c>
      <c r="L144" s="4">
        <v>415.54</v>
      </c>
      <c r="M144" s="3" t="s">
        <v>51</v>
      </c>
      <c r="N144" s="3" t="s">
        <v>22</v>
      </c>
      <c r="O144" s="2" t="str">
        <f t="shared" si="10"/>
        <v>01-2025</v>
      </c>
      <c r="P144" t="str">
        <f t="shared" si="11"/>
        <v>2025</v>
      </c>
      <c r="Q144" s="6">
        <f t="shared" si="12"/>
        <v>5.8204096725756937E-2</v>
      </c>
      <c r="R144" t="str">
        <f t="shared" si="13"/>
        <v>Profit</v>
      </c>
      <c r="S144" t="str">
        <f t="shared" si="14"/>
        <v>High (&gt;20%)</v>
      </c>
    </row>
    <row r="145" spans="1:19" x14ac:dyDescent="0.3">
      <c r="A145" s="3" t="s">
        <v>225</v>
      </c>
      <c r="B145" s="2">
        <v>45520</v>
      </c>
      <c r="C145" s="3" t="s">
        <v>75</v>
      </c>
      <c r="D145" s="3" t="s">
        <v>56</v>
      </c>
      <c r="E145" s="3" t="s">
        <v>108</v>
      </c>
      <c r="F145" s="3" t="s">
        <v>18</v>
      </c>
      <c r="G145" s="3" t="s">
        <v>19</v>
      </c>
      <c r="H145" s="3" t="s">
        <v>20</v>
      </c>
      <c r="I145" s="5">
        <v>4531.2299999999996</v>
      </c>
      <c r="J145" s="4">
        <v>3</v>
      </c>
      <c r="K145" s="1">
        <v>9</v>
      </c>
      <c r="L145" s="4">
        <v>427.21</v>
      </c>
      <c r="M145" s="3" t="s">
        <v>28</v>
      </c>
      <c r="N145" s="3" t="s">
        <v>44</v>
      </c>
      <c r="O145" s="2" t="str">
        <f t="shared" si="10"/>
        <v>08-2024</v>
      </c>
      <c r="P145" t="str">
        <f t="shared" si="11"/>
        <v>2024</v>
      </c>
      <c r="Q145" s="6">
        <f t="shared" si="12"/>
        <v>9.4281243724110231E-2</v>
      </c>
      <c r="R145" t="str">
        <f t="shared" si="13"/>
        <v>Profit</v>
      </c>
      <c r="S145" t="str">
        <f t="shared" si="14"/>
        <v>Low (1-10%)</v>
      </c>
    </row>
    <row r="146" spans="1:19" x14ac:dyDescent="0.3">
      <c r="A146" s="3" t="s">
        <v>226</v>
      </c>
      <c r="B146" s="2">
        <v>45597</v>
      </c>
      <c r="C146" s="3" t="s">
        <v>101</v>
      </c>
      <c r="D146" s="3" t="s">
        <v>56</v>
      </c>
      <c r="E146" s="3" t="s">
        <v>61</v>
      </c>
      <c r="F146" s="3" t="s">
        <v>32</v>
      </c>
      <c r="G146" s="3" t="s">
        <v>58</v>
      </c>
      <c r="H146" s="3" t="s">
        <v>59</v>
      </c>
      <c r="I146" s="5">
        <v>3483.96</v>
      </c>
      <c r="J146" s="4">
        <v>4</v>
      </c>
      <c r="K146" s="1">
        <v>8</v>
      </c>
      <c r="L146" s="4">
        <v>712.61</v>
      </c>
      <c r="M146" s="3" t="s">
        <v>28</v>
      </c>
      <c r="N146" s="3" t="s">
        <v>44</v>
      </c>
      <c r="O146" s="2" t="str">
        <f t="shared" si="10"/>
        <v>11-2024</v>
      </c>
      <c r="P146" t="str">
        <f t="shared" si="11"/>
        <v>2024</v>
      </c>
      <c r="Q146" s="6">
        <f t="shared" si="12"/>
        <v>0.20454023582360303</v>
      </c>
      <c r="R146" t="str">
        <f t="shared" si="13"/>
        <v>Profit</v>
      </c>
      <c r="S146" t="str">
        <f t="shared" si="14"/>
        <v>Low (1-10%)</v>
      </c>
    </row>
    <row r="147" spans="1:19" x14ac:dyDescent="0.3">
      <c r="A147" s="3" t="s">
        <v>227</v>
      </c>
      <c r="B147" s="2">
        <v>45690</v>
      </c>
      <c r="C147" s="3" t="s">
        <v>66</v>
      </c>
      <c r="D147" s="3" t="s">
        <v>16</v>
      </c>
      <c r="E147" s="3" t="s">
        <v>17</v>
      </c>
      <c r="F147" s="3" t="s">
        <v>32</v>
      </c>
      <c r="G147" s="3" t="s">
        <v>33</v>
      </c>
      <c r="H147" s="3" t="s">
        <v>34</v>
      </c>
      <c r="I147" s="5">
        <v>6450.84</v>
      </c>
      <c r="J147" s="4">
        <v>6</v>
      </c>
      <c r="K147" s="1">
        <v>18</v>
      </c>
      <c r="L147" s="4">
        <v>1088.03</v>
      </c>
      <c r="M147" s="3" t="s">
        <v>51</v>
      </c>
      <c r="N147" s="3" t="s">
        <v>44</v>
      </c>
      <c r="O147" s="2" t="str">
        <f t="shared" si="10"/>
        <v>02-2025</v>
      </c>
      <c r="P147" t="str">
        <f t="shared" si="11"/>
        <v>2025</v>
      </c>
      <c r="Q147" s="6">
        <f t="shared" si="12"/>
        <v>0.16866485604975476</v>
      </c>
      <c r="R147" t="str">
        <f t="shared" si="13"/>
        <v>Profit</v>
      </c>
      <c r="S147" t="str">
        <f t="shared" si="14"/>
        <v>Mid (11-20%)</v>
      </c>
    </row>
    <row r="148" spans="1:19" x14ac:dyDescent="0.3">
      <c r="A148" s="3" t="s">
        <v>228</v>
      </c>
      <c r="B148" s="2">
        <v>45464</v>
      </c>
      <c r="C148" s="3" t="s">
        <v>70</v>
      </c>
      <c r="D148" s="3" t="s">
        <v>16</v>
      </c>
      <c r="E148" s="3" t="s">
        <v>25</v>
      </c>
      <c r="F148" s="3" t="s">
        <v>32</v>
      </c>
      <c r="G148" s="3" t="s">
        <v>58</v>
      </c>
      <c r="H148" s="3" t="s">
        <v>59</v>
      </c>
      <c r="I148" s="5">
        <v>4442</v>
      </c>
      <c r="J148" s="4">
        <v>8</v>
      </c>
      <c r="K148" s="1">
        <v>4</v>
      </c>
      <c r="L148" s="4">
        <v>426.32</v>
      </c>
      <c r="M148" s="3" t="s">
        <v>51</v>
      </c>
      <c r="N148" s="3" t="s">
        <v>35</v>
      </c>
      <c r="O148" s="2" t="str">
        <f t="shared" si="10"/>
        <v>06-2024</v>
      </c>
      <c r="P148" t="str">
        <f t="shared" si="11"/>
        <v>2024</v>
      </c>
      <c r="Q148" s="6">
        <f t="shared" si="12"/>
        <v>9.59747861323728E-2</v>
      </c>
      <c r="R148" t="str">
        <f t="shared" si="13"/>
        <v>Profit</v>
      </c>
      <c r="S148" t="str">
        <f t="shared" si="14"/>
        <v>Low (1-10%)</v>
      </c>
    </row>
    <row r="149" spans="1:19" x14ac:dyDescent="0.3">
      <c r="A149" s="3" t="s">
        <v>229</v>
      </c>
      <c r="B149" s="2">
        <v>45704</v>
      </c>
      <c r="C149" s="3" t="s">
        <v>30</v>
      </c>
      <c r="D149" s="3" t="s">
        <v>16</v>
      </c>
      <c r="E149" s="3" t="s">
        <v>25</v>
      </c>
      <c r="F149" s="3" t="s">
        <v>18</v>
      </c>
      <c r="G149" s="3" t="s">
        <v>94</v>
      </c>
      <c r="H149" s="3" t="s">
        <v>95</v>
      </c>
      <c r="I149" s="5">
        <v>12996.06</v>
      </c>
      <c r="J149" s="4">
        <v>7</v>
      </c>
      <c r="K149" s="1">
        <v>18</v>
      </c>
      <c r="L149" s="4">
        <v>1717.82</v>
      </c>
      <c r="M149" s="3" t="s">
        <v>28</v>
      </c>
      <c r="N149" s="3" t="s">
        <v>22</v>
      </c>
      <c r="O149" s="2" t="str">
        <f t="shared" si="10"/>
        <v>02-2025</v>
      </c>
      <c r="P149" t="str">
        <f t="shared" si="11"/>
        <v>2025</v>
      </c>
      <c r="Q149" s="6">
        <f t="shared" si="12"/>
        <v>0.13218006072609698</v>
      </c>
      <c r="R149" t="str">
        <f t="shared" si="13"/>
        <v>Profit</v>
      </c>
      <c r="S149" t="str">
        <f t="shared" si="14"/>
        <v>Mid (11-20%)</v>
      </c>
    </row>
    <row r="150" spans="1:19" x14ac:dyDescent="0.3">
      <c r="A150" s="3" t="s">
        <v>230</v>
      </c>
      <c r="B150" s="2">
        <v>45756</v>
      </c>
      <c r="C150" s="3" t="s">
        <v>42</v>
      </c>
      <c r="D150" s="3" t="s">
        <v>38</v>
      </c>
      <c r="E150" s="3" t="s">
        <v>71</v>
      </c>
      <c r="F150" s="3" t="s">
        <v>62</v>
      </c>
      <c r="G150" s="3" t="s">
        <v>80</v>
      </c>
      <c r="H150" s="3" t="s">
        <v>81</v>
      </c>
      <c r="I150" s="5">
        <v>4391.1000000000004</v>
      </c>
      <c r="J150" s="4">
        <v>6</v>
      </c>
      <c r="K150" s="1">
        <v>16</v>
      </c>
      <c r="L150" s="4">
        <v>221.69</v>
      </c>
      <c r="M150" s="3" t="s">
        <v>51</v>
      </c>
      <c r="N150" s="3" t="s">
        <v>40</v>
      </c>
      <c r="O150" s="2" t="str">
        <f t="shared" si="10"/>
        <v>04-2025</v>
      </c>
      <c r="P150" t="str">
        <f t="shared" si="11"/>
        <v>2025</v>
      </c>
      <c r="Q150" s="6">
        <f t="shared" si="12"/>
        <v>5.0486210744460379E-2</v>
      </c>
      <c r="R150" t="str">
        <f t="shared" si="13"/>
        <v>Profit</v>
      </c>
      <c r="S150" t="str">
        <f t="shared" si="14"/>
        <v>Mid (11-20%)</v>
      </c>
    </row>
    <row r="151" spans="1:19" x14ac:dyDescent="0.3">
      <c r="A151" s="3" t="s">
        <v>231</v>
      </c>
      <c r="B151" s="2">
        <v>45602</v>
      </c>
      <c r="C151" s="3" t="s">
        <v>75</v>
      </c>
      <c r="D151" s="3" t="s">
        <v>16</v>
      </c>
      <c r="E151" s="3" t="s">
        <v>17</v>
      </c>
      <c r="F151" s="3" t="s">
        <v>62</v>
      </c>
      <c r="G151" s="3" t="s">
        <v>67</v>
      </c>
      <c r="H151" s="3" t="s">
        <v>68</v>
      </c>
      <c r="I151" s="5">
        <v>3591.69</v>
      </c>
      <c r="J151" s="4">
        <v>3</v>
      </c>
      <c r="K151" s="1">
        <v>25</v>
      </c>
      <c r="L151" s="4">
        <v>486.14</v>
      </c>
      <c r="M151" s="3" t="s">
        <v>51</v>
      </c>
      <c r="N151" s="3" t="s">
        <v>22</v>
      </c>
      <c r="O151" s="2" t="str">
        <f t="shared" si="10"/>
        <v>11-2024</v>
      </c>
      <c r="P151" t="str">
        <f t="shared" si="11"/>
        <v>2024</v>
      </c>
      <c r="Q151" s="6">
        <f t="shared" si="12"/>
        <v>0.13535132486378279</v>
      </c>
      <c r="R151" t="str">
        <f t="shared" si="13"/>
        <v>Profit</v>
      </c>
      <c r="S151" t="str">
        <f t="shared" si="14"/>
        <v>High (&gt;20%)</v>
      </c>
    </row>
    <row r="152" spans="1:19" x14ac:dyDescent="0.3">
      <c r="A152" s="3" t="s">
        <v>232</v>
      </c>
      <c r="B152" s="2">
        <v>45561</v>
      </c>
      <c r="C152" s="3" t="s">
        <v>42</v>
      </c>
      <c r="D152" s="3" t="s">
        <v>89</v>
      </c>
      <c r="E152" s="3" t="s">
        <v>90</v>
      </c>
      <c r="F152" s="3" t="s">
        <v>32</v>
      </c>
      <c r="G152" s="3" t="s">
        <v>112</v>
      </c>
      <c r="H152" s="3" t="s">
        <v>113</v>
      </c>
      <c r="I152" s="5">
        <v>6595.83</v>
      </c>
      <c r="J152" s="4">
        <v>9</v>
      </c>
      <c r="K152" s="1">
        <v>5</v>
      </c>
      <c r="L152" s="4">
        <v>406.17</v>
      </c>
      <c r="M152" s="3" t="s">
        <v>51</v>
      </c>
      <c r="N152" s="3" t="s">
        <v>35</v>
      </c>
      <c r="O152" s="2" t="str">
        <f t="shared" si="10"/>
        <v>09-2024</v>
      </c>
      <c r="P152" t="str">
        <f t="shared" si="11"/>
        <v>2024</v>
      </c>
      <c r="Q152" s="6">
        <f t="shared" si="12"/>
        <v>6.1579816338504782E-2</v>
      </c>
      <c r="R152" t="str">
        <f t="shared" si="13"/>
        <v>Profit</v>
      </c>
      <c r="S152" t="str">
        <f t="shared" si="14"/>
        <v>Low (1-10%)</v>
      </c>
    </row>
    <row r="153" spans="1:19" x14ac:dyDescent="0.3">
      <c r="A153" s="3" t="s">
        <v>233</v>
      </c>
      <c r="B153" s="2">
        <v>45472</v>
      </c>
      <c r="C153" s="3" t="s">
        <v>99</v>
      </c>
      <c r="D153" s="3" t="s">
        <v>38</v>
      </c>
      <c r="E153" s="3" t="s">
        <v>53</v>
      </c>
      <c r="F153" s="3" t="s">
        <v>18</v>
      </c>
      <c r="G153" s="3" t="s">
        <v>94</v>
      </c>
      <c r="H153" s="3" t="s">
        <v>95</v>
      </c>
      <c r="I153" s="5">
        <v>4142.7299999999996</v>
      </c>
      <c r="J153" s="4">
        <v>3</v>
      </c>
      <c r="K153" s="1">
        <v>29</v>
      </c>
      <c r="L153" s="4">
        <v>464.48</v>
      </c>
      <c r="M153" s="3" t="s">
        <v>51</v>
      </c>
      <c r="N153" s="3" t="s">
        <v>44</v>
      </c>
      <c r="O153" s="2" t="str">
        <f t="shared" si="10"/>
        <v>06-2024</v>
      </c>
      <c r="P153" t="str">
        <f t="shared" si="11"/>
        <v>2024</v>
      </c>
      <c r="Q153" s="6">
        <f t="shared" si="12"/>
        <v>0.11211930297171191</v>
      </c>
      <c r="R153" t="str">
        <f t="shared" si="13"/>
        <v>Profit</v>
      </c>
      <c r="S153" t="str">
        <f t="shared" si="14"/>
        <v>High (&gt;20%)</v>
      </c>
    </row>
    <row r="154" spans="1:19" x14ac:dyDescent="0.3">
      <c r="A154" s="3" t="s">
        <v>234</v>
      </c>
      <c r="B154" s="2">
        <v>45733</v>
      </c>
      <c r="C154" s="3" t="s">
        <v>24</v>
      </c>
      <c r="D154" s="3" t="s">
        <v>89</v>
      </c>
      <c r="E154" s="3" t="s">
        <v>116</v>
      </c>
      <c r="F154" s="3" t="s">
        <v>18</v>
      </c>
      <c r="G154" s="3" t="s">
        <v>94</v>
      </c>
      <c r="H154" s="3" t="s">
        <v>95</v>
      </c>
      <c r="I154" s="5">
        <v>3859.52</v>
      </c>
      <c r="J154" s="4">
        <v>7</v>
      </c>
      <c r="K154" s="1">
        <v>9</v>
      </c>
      <c r="L154" s="4">
        <v>479.18</v>
      </c>
      <c r="M154" s="3" t="s">
        <v>28</v>
      </c>
      <c r="N154" s="3" t="s">
        <v>22</v>
      </c>
      <c r="O154" s="2" t="str">
        <f t="shared" si="10"/>
        <v>03-2025</v>
      </c>
      <c r="P154" t="str">
        <f t="shared" si="11"/>
        <v>2025</v>
      </c>
      <c r="Q154" s="6">
        <f t="shared" si="12"/>
        <v>0.12415533537849266</v>
      </c>
      <c r="R154" t="str">
        <f t="shared" si="13"/>
        <v>Profit</v>
      </c>
      <c r="S154" t="str">
        <f t="shared" si="14"/>
        <v>Low (1-10%)</v>
      </c>
    </row>
    <row r="155" spans="1:19" x14ac:dyDescent="0.3">
      <c r="A155" s="3" t="s">
        <v>235</v>
      </c>
      <c r="B155" s="2">
        <v>45670</v>
      </c>
      <c r="C155" s="3" t="s">
        <v>66</v>
      </c>
      <c r="D155" s="3" t="s">
        <v>16</v>
      </c>
      <c r="E155" s="3" t="s">
        <v>31</v>
      </c>
      <c r="F155" s="3" t="s">
        <v>18</v>
      </c>
      <c r="G155" s="3" t="s">
        <v>19</v>
      </c>
      <c r="H155" s="3" t="s">
        <v>20</v>
      </c>
      <c r="I155" s="5">
        <v>10372.24</v>
      </c>
      <c r="J155" s="4">
        <v>8</v>
      </c>
      <c r="K155" s="1">
        <v>2</v>
      </c>
      <c r="L155" s="4">
        <v>2174.37</v>
      </c>
      <c r="M155" s="3" t="s">
        <v>21</v>
      </c>
      <c r="N155" s="3" t="s">
        <v>40</v>
      </c>
      <c r="O155" s="2" t="str">
        <f t="shared" si="10"/>
        <v>01-2025</v>
      </c>
      <c r="P155" t="str">
        <f t="shared" si="11"/>
        <v>2025</v>
      </c>
      <c r="Q155" s="6">
        <f t="shared" si="12"/>
        <v>0.20963359891402436</v>
      </c>
      <c r="R155" t="str">
        <f t="shared" si="13"/>
        <v>Profit</v>
      </c>
      <c r="S155" t="str">
        <f t="shared" si="14"/>
        <v>Low (1-10%)</v>
      </c>
    </row>
    <row r="156" spans="1:19" x14ac:dyDescent="0.3">
      <c r="A156" s="3" t="s">
        <v>236</v>
      </c>
      <c r="B156" s="2">
        <v>45785</v>
      </c>
      <c r="C156" s="3" t="s">
        <v>86</v>
      </c>
      <c r="D156" s="3" t="s">
        <v>56</v>
      </c>
      <c r="E156" s="3" t="s">
        <v>57</v>
      </c>
      <c r="F156" s="3" t="s">
        <v>62</v>
      </c>
      <c r="G156" s="3" t="s">
        <v>67</v>
      </c>
      <c r="H156" s="3" t="s">
        <v>68</v>
      </c>
      <c r="I156" s="5">
        <v>11876.5</v>
      </c>
      <c r="J156" s="4">
        <v>10</v>
      </c>
      <c r="K156" s="1">
        <v>18</v>
      </c>
      <c r="L156" s="4">
        <v>1489.68</v>
      </c>
      <c r="M156" s="3" t="s">
        <v>28</v>
      </c>
      <c r="N156" s="3" t="s">
        <v>35</v>
      </c>
      <c r="O156" s="2" t="str">
        <f t="shared" si="10"/>
        <v>05-2025</v>
      </c>
      <c r="P156" t="str">
        <f t="shared" si="11"/>
        <v>2025</v>
      </c>
      <c r="Q156" s="6">
        <f t="shared" si="12"/>
        <v>0.12543089293983919</v>
      </c>
      <c r="R156" t="str">
        <f t="shared" si="13"/>
        <v>Profit</v>
      </c>
      <c r="S156" t="str">
        <f t="shared" si="14"/>
        <v>Mid (11-20%)</v>
      </c>
    </row>
    <row r="157" spans="1:19" x14ac:dyDescent="0.3">
      <c r="A157" s="3" t="s">
        <v>237</v>
      </c>
      <c r="B157" s="2">
        <v>45613</v>
      </c>
      <c r="C157" s="3" t="s">
        <v>70</v>
      </c>
      <c r="D157" s="3" t="s">
        <v>16</v>
      </c>
      <c r="E157" s="3" t="s">
        <v>31</v>
      </c>
      <c r="F157" s="3" t="s">
        <v>32</v>
      </c>
      <c r="G157" s="3" t="s">
        <v>112</v>
      </c>
      <c r="H157" s="3" t="s">
        <v>113</v>
      </c>
      <c r="I157" s="5">
        <v>14732.55</v>
      </c>
      <c r="J157" s="4">
        <v>9</v>
      </c>
      <c r="K157" s="1">
        <v>24</v>
      </c>
      <c r="L157" s="4">
        <v>911.76</v>
      </c>
      <c r="M157" s="3" t="s">
        <v>28</v>
      </c>
      <c r="N157" s="3" t="s">
        <v>35</v>
      </c>
      <c r="O157" s="2" t="str">
        <f t="shared" si="10"/>
        <v>11-2024</v>
      </c>
      <c r="P157" t="str">
        <f t="shared" si="11"/>
        <v>2024</v>
      </c>
      <c r="Q157" s="6">
        <f t="shared" si="12"/>
        <v>6.1887453292199926E-2</v>
      </c>
      <c r="R157" t="str">
        <f t="shared" si="13"/>
        <v>Profit</v>
      </c>
      <c r="S157" t="str">
        <f t="shared" si="14"/>
        <v>High (&gt;20%)</v>
      </c>
    </row>
    <row r="158" spans="1:19" x14ac:dyDescent="0.3">
      <c r="A158" s="3" t="s">
        <v>238</v>
      </c>
      <c r="B158" s="2">
        <v>45605</v>
      </c>
      <c r="C158" s="3" t="s">
        <v>37</v>
      </c>
      <c r="D158" s="3" t="s">
        <v>56</v>
      </c>
      <c r="E158" s="3" t="s">
        <v>108</v>
      </c>
      <c r="F158" s="3" t="s">
        <v>32</v>
      </c>
      <c r="G158" s="3" t="s">
        <v>33</v>
      </c>
      <c r="H158" s="3" t="s">
        <v>34</v>
      </c>
      <c r="I158" s="5">
        <v>3590.58</v>
      </c>
      <c r="J158" s="4">
        <v>2</v>
      </c>
      <c r="K158" s="1">
        <v>1</v>
      </c>
      <c r="L158" s="4">
        <v>849</v>
      </c>
      <c r="M158" s="3" t="s">
        <v>28</v>
      </c>
      <c r="N158" s="3" t="s">
        <v>40</v>
      </c>
      <c r="O158" s="2" t="str">
        <f t="shared" si="10"/>
        <v>11-2024</v>
      </c>
      <c r="P158" t="str">
        <f t="shared" si="11"/>
        <v>2024</v>
      </c>
      <c r="Q158" s="6">
        <f t="shared" si="12"/>
        <v>0.23645204952960247</v>
      </c>
      <c r="R158" t="str">
        <f t="shared" si="13"/>
        <v>Profit</v>
      </c>
      <c r="S158" t="str">
        <f t="shared" si="14"/>
        <v>Low (1-10%)</v>
      </c>
    </row>
    <row r="159" spans="1:19" x14ac:dyDescent="0.3">
      <c r="A159" s="3" t="s">
        <v>239</v>
      </c>
      <c r="B159" s="2">
        <v>45704</v>
      </c>
      <c r="C159" s="3" t="s">
        <v>15</v>
      </c>
      <c r="D159" s="3" t="s">
        <v>56</v>
      </c>
      <c r="E159" s="3" t="s">
        <v>57</v>
      </c>
      <c r="F159" s="3" t="s">
        <v>18</v>
      </c>
      <c r="G159" s="3" t="s">
        <v>26</v>
      </c>
      <c r="H159" s="3" t="s">
        <v>27</v>
      </c>
      <c r="I159" s="5">
        <v>4343.99</v>
      </c>
      <c r="J159" s="4">
        <v>7</v>
      </c>
      <c r="K159" s="1">
        <v>9</v>
      </c>
      <c r="L159" s="4">
        <v>477.35</v>
      </c>
      <c r="M159" s="3" t="s">
        <v>21</v>
      </c>
      <c r="N159" s="3" t="s">
        <v>22</v>
      </c>
      <c r="O159" s="2" t="str">
        <f t="shared" si="10"/>
        <v>02-2025</v>
      </c>
      <c r="P159" t="str">
        <f t="shared" si="11"/>
        <v>2025</v>
      </c>
      <c r="Q159" s="6">
        <f t="shared" si="12"/>
        <v>0.10988745370039987</v>
      </c>
      <c r="R159" t="str">
        <f t="shared" si="13"/>
        <v>Profit</v>
      </c>
      <c r="S159" t="str">
        <f t="shared" si="14"/>
        <v>Low (1-10%)</v>
      </c>
    </row>
    <row r="160" spans="1:19" x14ac:dyDescent="0.3">
      <c r="A160" s="3" t="s">
        <v>240</v>
      </c>
      <c r="B160" s="2">
        <v>45660</v>
      </c>
      <c r="C160" s="3" t="s">
        <v>84</v>
      </c>
      <c r="D160" s="3" t="s">
        <v>38</v>
      </c>
      <c r="E160" s="3" t="s">
        <v>53</v>
      </c>
      <c r="F160" s="3" t="s">
        <v>32</v>
      </c>
      <c r="G160" s="3" t="s">
        <v>33</v>
      </c>
      <c r="H160" s="3" t="s">
        <v>34</v>
      </c>
      <c r="I160" s="5">
        <v>15587.19</v>
      </c>
      <c r="J160" s="4">
        <v>9</v>
      </c>
      <c r="K160" s="1">
        <v>0</v>
      </c>
      <c r="L160" s="4">
        <v>1698.78</v>
      </c>
      <c r="M160" s="3" t="s">
        <v>51</v>
      </c>
      <c r="N160" s="3" t="s">
        <v>40</v>
      </c>
      <c r="O160" s="2" t="str">
        <f t="shared" si="10"/>
        <v>01-2025</v>
      </c>
      <c r="P160" t="str">
        <f t="shared" si="11"/>
        <v>2025</v>
      </c>
      <c r="Q160" s="6">
        <f t="shared" si="12"/>
        <v>0.10898564783004505</v>
      </c>
      <c r="R160" t="str">
        <f t="shared" si="13"/>
        <v>Profit</v>
      </c>
      <c r="S160" t="str">
        <f t="shared" si="14"/>
        <v>No Discount</v>
      </c>
    </row>
    <row r="161" spans="1:19" x14ac:dyDescent="0.3">
      <c r="A161" s="3" t="s">
        <v>241</v>
      </c>
      <c r="B161" s="2">
        <v>45591</v>
      </c>
      <c r="C161" s="3" t="s">
        <v>133</v>
      </c>
      <c r="D161" s="3" t="s">
        <v>38</v>
      </c>
      <c r="E161" s="3" t="s">
        <v>39</v>
      </c>
      <c r="F161" s="3" t="s">
        <v>18</v>
      </c>
      <c r="G161" s="3" t="s">
        <v>26</v>
      </c>
      <c r="H161" s="3" t="s">
        <v>27</v>
      </c>
      <c r="I161" s="5">
        <v>4379.3999999999996</v>
      </c>
      <c r="J161" s="4">
        <v>10</v>
      </c>
      <c r="K161" s="1">
        <v>1</v>
      </c>
      <c r="L161" s="4">
        <v>393.79</v>
      </c>
      <c r="M161" s="3" t="s">
        <v>28</v>
      </c>
      <c r="N161" s="3" t="s">
        <v>35</v>
      </c>
      <c r="O161" s="2" t="str">
        <f t="shared" si="10"/>
        <v>10-2024</v>
      </c>
      <c r="P161" t="str">
        <f t="shared" si="11"/>
        <v>2024</v>
      </c>
      <c r="Q161" s="6">
        <f t="shared" si="12"/>
        <v>8.9918710325615395E-2</v>
      </c>
      <c r="R161" t="str">
        <f t="shared" si="13"/>
        <v>Profit</v>
      </c>
      <c r="S161" t="str">
        <f t="shared" si="14"/>
        <v>Low (1-10%)</v>
      </c>
    </row>
    <row r="162" spans="1:19" x14ac:dyDescent="0.3">
      <c r="A162" s="3" t="s">
        <v>242</v>
      </c>
      <c r="B162" s="2">
        <v>45788</v>
      </c>
      <c r="C162" s="3" t="s">
        <v>42</v>
      </c>
      <c r="D162" s="3" t="s">
        <v>56</v>
      </c>
      <c r="E162" s="3" t="s">
        <v>61</v>
      </c>
      <c r="F162" s="3" t="s">
        <v>32</v>
      </c>
      <c r="G162" s="3" t="s">
        <v>33</v>
      </c>
      <c r="H162" s="3" t="s">
        <v>34</v>
      </c>
      <c r="I162" s="5">
        <v>2772.1</v>
      </c>
      <c r="J162" s="4">
        <v>10</v>
      </c>
      <c r="K162" s="1">
        <v>28</v>
      </c>
      <c r="L162" s="4">
        <v>183.66</v>
      </c>
      <c r="M162" s="3" t="s">
        <v>51</v>
      </c>
      <c r="N162" s="3" t="s">
        <v>40</v>
      </c>
      <c r="O162" s="2" t="str">
        <f t="shared" si="10"/>
        <v>05-2025</v>
      </c>
      <c r="P162" t="str">
        <f t="shared" si="11"/>
        <v>2025</v>
      </c>
      <c r="Q162" s="6">
        <f t="shared" si="12"/>
        <v>6.6253021175282284E-2</v>
      </c>
      <c r="R162" t="str">
        <f t="shared" si="13"/>
        <v>Profit</v>
      </c>
      <c r="S162" t="str">
        <f t="shared" si="14"/>
        <v>High (&gt;20%)</v>
      </c>
    </row>
    <row r="163" spans="1:19" x14ac:dyDescent="0.3">
      <c r="A163" s="3" t="s">
        <v>243</v>
      </c>
      <c r="B163" s="2">
        <v>45547</v>
      </c>
      <c r="C163" s="3" t="s">
        <v>101</v>
      </c>
      <c r="D163" s="3" t="s">
        <v>16</v>
      </c>
      <c r="E163" s="3" t="s">
        <v>25</v>
      </c>
      <c r="F163" s="3" t="s">
        <v>32</v>
      </c>
      <c r="G163" s="3" t="s">
        <v>58</v>
      </c>
      <c r="H163" s="3" t="s">
        <v>59</v>
      </c>
      <c r="I163" s="5">
        <v>11917.2</v>
      </c>
      <c r="J163" s="4">
        <v>8</v>
      </c>
      <c r="K163" s="1">
        <v>29</v>
      </c>
      <c r="L163" s="4">
        <v>1195.47</v>
      </c>
      <c r="M163" s="3" t="s">
        <v>28</v>
      </c>
      <c r="N163" s="3" t="s">
        <v>40</v>
      </c>
      <c r="O163" s="2" t="str">
        <f t="shared" si="10"/>
        <v>09-2024</v>
      </c>
      <c r="P163" t="str">
        <f t="shared" si="11"/>
        <v>2024</v>
      </c>
      <c r="Q163" s="6">
        <f t="shared" si="12"/>
        <v>0.10031467123149733</v>
      </c>
      <c r="R163" t="str">
        <f t="shared" si="13"/>
        <v>Profit</v>
      </c>
      <c r="S163" t="str">
        <f t="shared" si="14"/>
        <v>High (&gt;20%)</v>
      </c>
    </row>
    <row r="164" spans="1:19" x14ac:dyDescent="0.3">
      <c r="A164" s="3" t="s">
        <v>244</v>
      </c>
      <c r="B164" s="2">
        <v>45591</v>
      </c>
      <c r="C164" s="3" t="s">
        <v>84</v>
      </c>
      <c r="D164" s="3" t="s">
        <v>56</v>
      </c>
      <c r="E164" s="3" t="s">
        <v>57</v>
      </c>
      <c r="F164" s="3" t="s">
        <v>32</v>
      </c>
      <c r="G164" s="3" t="s">
        <v>58</v>
      </c>
      <c r="H164" s="3" t="s">
        <v>59</v>
      </c>
      <c r="I164" s="5">
        <v>9498.6</v>
      </c>
      <c r="J164" s="4">
        <v>6</v>
      </c>
      <c r="K164" s="1">
        <v>15</v>
      </c>
      <c r="L164" s="4">
        <v>433.48</v>
      </c>
      <c r="M164" s="3" t="s">
        <v>21</v>
      </c>
      <c r="N164" s="3" t="s">
        <v>35</v>
      </c>
      <c r="O164" s="2" t="str">
        <f t="shared" si="10"/>
        <v>10-2024</v>
      </c>
      <c r="P164" t="str">
        <f t="shared" si="11"/>
        <v>2024</v>
      </c>
      <c r="Q164" s="6">
        <f t="shared" si="12"/>
        <v>4.5636199018802774E-2</v>
      </c>
      <c r="R164" t="str">
        <f t="shared" si="13"/>
        <v>Profit</v>
      </c>
      <c r="S164" t="str">
        <f t="shared" si="14"/>
        <v>Mid (11-20%)</v>
      </c>
    </row>
    <row r="165" spans="1:19" x14ac:dyDescent="0.3">
      <c r="A165" s="3" t="s">
        <v>245</v>
      </c>
      <c r="B165" s="2">
        <v>45494</v>
      </c>
      <c r="C165" s="3" t="s">
        <v>86</v>
      </c>
      <c r="D165" s="3" t="s">
        <v>56</v>
      </c>
      <c r="E165" s="3" t="s">
        <v>57</v>
      </c>
      <c r="F165" s="3" t="s">
        <v>32</v>
      </c>
      <c r="G165" s="3" t="s">
        <v>47</v>
      </c>
      <c r="H165" s="3" t="s">
        <v>48</v>
      </c>
      <c r="I165" s="5">
        <v>8882.65</v>
      </c>
      <c r="J165" s="4">
        <v>7</v>
      </c>
      <c r="K165" s="1">
        <v>29</v>
      </c>
      <c r="L165" s="4">
        <v>644.29</v>
      </c>
      <c r="M165" s="3" t="s">
        <v>21</v>
      </c>
      <c r="N165" s="3" t="s">
        <v>44</v>
      </c>
      <c r="O165" s="2" t="str">
        <f t="shared" si="10"/>
        <v>07-2024</v>
      </c>
      <c r="P165" t="str">
        <f t="shared" si="11"/>
        <v>2024</v>
      </c>
      <c r="Q165" s="6">
        <f t="shared" si="12"/>
        <v>7.253353447450929E-2</v>
      </c>
      <c r="R165" t="str">
        <f t="shared" si="13"/>
        <v>Profit</v>
      </c>
      <c r="S165" t="str">
        <f t="shared" si="14"/>
        <v>High (&gt;20%)</v>
      </c>
    </row>
    <row r="166" spans="1:19" x14ac:dyDescent="0.3">
      <c r="A166" s="3" t="s">
        <v>246</v>
      </c>
      <c r="B166" s="2">
        <v>45719</v>
      </c>
      <c r="C166" s="3" t="s">
        <v>42</v>
      </c>
      <c r="D166" s="3" t="s">
        <v>89</v>
      </c>
      <c r="E166" s="3" t="s">
        <v>140</v>
      </c>
      <c r="F166" s="3" t="s">
        <v>32</v>
      </c>
      <c r="G166" s="3" t="s">
        <v>58</v>
      </c>
      <c r="H166" s="3" t="s">
        <v>59</v>
      </c>
      <c r="I166" s="5">
        <v>1852.25</v>
      </c>
      <c r="J166" s="4">
        <v>1</v>
      </c>
      <c r="K166" s="1">
        <v>3</v>
      </c>
      <c r="L166" s="4">
        <v>345.86</v>
      </c>
      <c r="M166" s="3" t="s">
        <v>28</v>
      </c>
      <c r="N166" s="3" t="s">
        <v>35</v>
      </c>
      <c r="O166" s="2" t="str">
        <f t="shared" si="10"/>
        <v>03-2025</v>
      </c>
      <c r="P166" t="str">
        <f t="shared" si="11"/>
        <v>2025</v>
      </c>
      <c r="Q166" s="6">
        <f t="shared" si="12"/>
        <v>0.18672425428532866</v>
      </c>
      <c r="R166" t="str">
        <f t="shared" si="13"/>
        <v>Profit</v>
      </c>
      <c r="S166" t="str">
        <f t="shared" si="14"/>
        <v>Low (1-10%)</v>
      </c>
    </row>
    <row r="167" spans="1:19" x14ac:dyDescent="0.3">
      <c r="A167" s="3" t="s">
        <v>247</v>
      </c>
      <c r="B167" s="2">
        <v>45707</v>
      </c>
      <c r="C167" s="3" t="s">
        <v>70</v>
      </c>
      <c r="D167" s="3" t="s">
        <v>38</v>
      </c>
      <c r="E167" s="3" t="s">
        <v>39</v>
      </c>
      <c r="F167" s="3" t="s">
        <v>18</v>
      </c>
      <c r="G167" s="3" t="s">
        <v>19</v>
      </c>
      <c r="H167" s="3" t="s">
        <v>20</v>
      </c>
      <c r="I167" s="5">
        <v>10395.5</v>
      </c>
      <c r="J167" s="4">
        <v>10</v>
      </c>
      <c r="K167" s="1">
        <v>8</v>
      </c>
      <c r="L167" s="4">
        <v>1678.52</v>
      </c>
      <c r="M167" s="3" t="s">
        <v>51</v>
      </c>
      <c r="N167" s="3" t="s">
        <v>40</v>
      </c>
      <c r="O167" s="2" t="str">
        <f t="shared" si="10"/>
        <v>02-2025</v>
      </c>
      <c r="P167" t="str">
        <f t="shared" si="11"/>
        <v>2025</v>
      </c>
      <c r="Q167" s="6">
        <f t="shared" si="12"/>
        <v>0.16146601895050744</v>
      </c>
      <c r="R167" t="str">
        <f t="shared" si="13"/>
        <v>Profit</v>
      </c>
      <c r="S167" t="str">
        <f t="shared" si="14"/>
        <v>Low (1-10%)</v>
      </c>
    </row>
    <row r="168" spans="1:19" x14ac:dyDescent="0.3">
      <c r="A168" s="3" t="s">
        <v>248</v>
      </c>
      <c r="B168" s="2">
        <v>45657</v>
      </c>
      <c r="C168" s="3" t="s">
        <v>99</v>
      </c>
      <c r="D168" s="3" t="s">
        <v>56</v>
      </c>
      <c r="E168" s="3" t="s">
        <v>57</v>
      </c>
      <c r="F168" s="3" t="s">
        <v>18</v>
      </c>
      <c r="G168" s="3" t="s">
        <v>19</v>
      </c>
      <c r="H168" s="3" t="s">
        <v>20</v>
      </c>
      <c r="I168" s="5">
        <v>7116.42</v>
      </c>
      <c r="J168" s="4">
        <v>6</v>
      </c>
      <c r="K168" s="1">
        <v>30</v>
      </c>
      <c r="L168" s="4">
        <v>526</v>
      </c>
      <c r="M168" s="3" t="s">
        <v>28</v>
      </c>
      <c r="N168" s="3" t="s">
        <v>40</v>
      </c>
      <c r="O168" s="2" t="str">
        <f t="shared" si="10"/>
        <v>12-2024</v>
      </c>
      <c r="P168" t="str">
        <f t="shared" si="11"/>
        <v>2024</v>
      </c>
      <c r="Q168" s="6">
        <f t="shared" si="12"/>
        <v>7.3913568901217183E-2</v>
      </c>
      <c r="R168" t="str">
        <f t="shared" si="13"/>
        <v>Profit</v>
      </c>
      <c r="S168" t="str">
        <f t="shared" si="14"/>
        <v>High (&gt;20%)</v>
      </c>
    </row>
    <row r="169" spans="1:19" x14ac:dyDescent="0.3">
      <c r="A169" s="3" t="s">
        <v>249</v>
      </c>
      <c r="B169" s="2">
        <v>45482</v>
      </c>
      <c r="C169" s="3" t="s">
        <v>73</v>
      </c>
      <c r="D169" s="3" t="s">
        <v>38</v>
      </c>
      <c r="E169" s="3" t="s">
        <v>53</v>
      </c>
      <c r="F169" s="3" t="s">
        <v>62</v>
      </c>
      <c r="G169" s="3" t="s">
        <v>103</v>
      </c>
      <c r="H169" s="3" t="s">
        <v>104</v>
      </c>
      <c r="I169" s="5">
        <v>3946.5</v>
      </c>
      <c r="J169" s="4">
        <v>3</v>
      </c>
      <c r="K169" s="1">
        <v>2</v>
      </c>
      <c r="L169" s="4">
        <v>748.19</v>
      </c>
      <c r="M169" s="3" t="s">
        <v>51</v>
      </c>
      <c r="N169" s="3" t="s">
        <v>40</v>
      </c>
      <c r="O169" s="2" t="str">
        <f t="shared" si="10"/>
        <v>07-2024</v>
      </c>
      <c r="P169" t="str">
        <f t="shared" si="11"/>
        <v>2024</v>
      </c>
      <c r="Q169" s="6">
        <f t="shared" si="12"/>
        <v>0.18958317496515903</v>
      </c>
      <c r="R169" t="str">
        <f t="shared" si="13"/>
        <v>Profit</v>
      </c>
      <c r="S169" t="str">
        <f t="shared" si="14"/>
        <v>Low (1-10%)</v>
      </c>
    </row>
    <row r="170" spans="1:19" x14ac:dyDescent="0.3">
      <c r="A170" s="3" t="s">
        <v>250</v>
      </c>
      <c r="B170" s="2">
        <v>45674</v>
      </c>
      <c r="C170" s="3" t="s">
        <v>15</v>
      </c>
      <c r="D170" s="3" t="s">
        <v>38</v>
      </c>
      <c r="E170" s="3" t="s">
        <v>71</v>
      </c>
      <c r="F170" s="3" t="s">
        <v>62</v>
      </c>
      <c r="G170" s="3" t="s">
        <v>103</v>
      </c>
      <c r="H170" s="3" t="s">
        <v>104</v>
      </c>
      <c r="I170" s="5">
        <v>2214.9299999999998</v>
      </c>
      <c r="J170" s="4">
        <v>3</v>
      </c>
      <c r="K170" s="1">
        <v>13</v>
      </c>
      <c r="L170" s="4">
        <v>231.26</v>
      </c>
      <c r="M170" s="3" t="s">
        <v>28</v>
      </c>
      <c r="N170" s="3" t="s">
        <v>40</v>
      </c>
      <c r="O170" s="2" t="str">
        <f t="shared" si="10"/>
        <v>01-2025</v>
      </c>
      <c r="P170" t="str">
        <f t="shared" si="11"/>
        <v>2025</v>
      </c>
      <c r="Q170" s="6">
        <f t="shared" si="12"/>
        <v>0.10440962016858321</v>
      </c>
      <c r="R170" t="str">
        <f t="shared" si="13"/>
        <v>Profit</v>
      </c>
      <c r="S170" t="str">
        <f t="shared" si="14"/>
        <v>Mid (11-20%)</v>
      </c>
    </row>
    <row r="171" spans="1:19" x14ac:dyDescent="0.3">
      <c r="A171" s="3" t="s">
        <v>251</v>
      </c>
      <c r="B171" s="2">
        <v>45656</v>
      </c>
      <c r="C171" s="3" t="s">
        <v>101</v>
      </c>
      <c r="D171" s="3" t="s">
        <v>16</v>
      </c>
      <c r="E171" s="3" t="s">
        <v>25</v>
      </c>
      <c r="F171" s="3" t="s">
        <v>62</v>
      </c>
      <c r="G171" s="3" t="s">
        <v>80</v>
      </c>
      <c r="H171" s="3" t="s">
        <v>81</v>
      </c>
      <c r="I171" s="5">
        <v>9732.1</v>
      </c>
      <c r="J171" s="4">
        <v>7</v>
      </c>
      <c r="K171" s="1">
        <v>4</v>
      </c>
      <c r="L171" s="4">
        <v>494.42</v>
      </c>
      <c r="M171" s="3" t="s">
        <v>21</v>
      </c>
      <c r="N171" s="3" t="s">
        <v>44</v>
      </c>
      <c r="O171" s="2" t="str">
        <f t="shared" si="10"/>
        <v>12-2024</v>
      </c>
      <c r="P171" t="str">
        <f t="shared" si="11"/>
        <v>2024</v>
      </c>
      <c r="Q171" s="6">
        <f t="shared" si="12"/>
        <v>5.080301271051469E-2</v>
      </c>
      <c r="R171" t="str">
        <f t="shared" si="13"/>
        <v>Profit</v>
      </c>
      <c r="S171" t="str">
        <f t="shared" si="14"/>
        <v>Low (1-10%)</v>
      </c>
    </row>
    <row r="172" spans="1:19" x14ac:dyDescent="0.3">
      <c r="A172" s="3" t="s">
        <v>252</v>
      </c>
      <c r="B172" s="2">
        <v>45522</v>
      </c>
      <c r="C172" s="3" t="s">
        <v>37</v>
      </c>
      <c r="D172" s="3" t="s">
        <v>16</v>
      </c>
      <c r="E172" s="3" t="s">
        <v>25</v>
      </c>
      <c r="F172" s="3" t="s">
        <v>32</v>
      </c>
      <c r="G172" s="3" t="s">
        <v>33</v>
      </c>
      <c r="H172" s="3" t="s">
        <v>34</v>
      </c>
      <c r="I172" s="5">
        <v>17231.13</v>
      </c>
      <c r="J172" s="4">
        <v>9</v>
      </c>
      <c r="K172" s="1">
        <v>19</v>
      </c>
      <c r="L172" s="4">
        <v>2441.5</v>
      </c>
      <c r="M172" s="3" t="s">
        <v>28</v>
      </c>
      <c r="N172" s="3" t="s">
        <v>44</v>
      </c>
      <c r="O172" s="2" t="str">
        <f t="shared" si="10"/>
        <v>08-2024</v>
      </c>
      <c r="P172" t="str">
        <f t="shared" si="11"/>
        <v>2024</v>
      </c>
      <c r="Q172" s="6">
        <f t="shared" si="12"/>
        <v>0.14169122976844814</v>
      </c>
      <c r="R172" t="str">
        <f t="shared" si="13"/>
        <v>Profit</v>
      </c>
      <c r="S172" t="str">
        <f t="shared" si="14"/>
        <v>Mid (11-20%)</v>
      </c>
    </row>
    <row r="173" spans="1:19" x14ac:dyDescent="0.3">
      <c r="A173" s="3" t="s">
        <v>253</v>
      </c>
      <c r="B173" s="2">
        <v>45717</v>
      </c>
      <c r="C173" s="3" t="s">
        <v>75</v>
      </c>
      <c r="D173" s="3" t="s">
        <v>38</v>
      </c>
      <c r="E173" s="3" t="s">
        <v>39</v>
      </c>
      <c r="F173" s="3" t="s">
        <v>18</v>
      </c>
      <c r="G173" s="3" t="s">
        <v>26</v>
      </c>
      <c r="H173" s="3" t="s">
        <v>27</v>
      </c>
      <c r="I173" s="5">
        <v>9196.14</v>
      </c>
      <c r="J173" s="4">
        <v>6</v>
      </c>
      <c r="K173" s="1">
        <v>11</v>
      </c>
      <c r="L173" s="4">
        <v>1180.01</v>
      </c>
      <c r="M173" s="3" t="s">
        <v>51</v>
      </c>
      <c r="N173" s="3" t="s">
        <v>35</v>
      </c>
      <c r="O173" s="2" t="str">
        <f t="shared" si="10"/>
        <v>03-2025</v>
      </c>
      <c r="P173" t="str">
        <f t="shared" si="11"/>
        <v>2025</v>
      </c>
      <c r="Q173" s="6">
        <f t="shared" si="12"/>
        <v>0.12831579336547727</v>
      </c>
      <c r="R173" t="str">
        <f t="shared" si="13"/>
        <v>Profit</v>
      </c>
      <c r="S173" t="str">
        <f t="shared" si="14"/>
        <v>Mid (11-20%)</v>
      </c>
    </row>
    <row r="174" spans="1:19" x14ac:dyDescent="0.3">
      <c r="A174" s="3" t="s">
        <v>254</v>
      </c>
      <c r="B174" s="2">
        <v>45476</v>
      </c>
      <c r="C174" s="3" t="s">
        <v>133</v>
      </c>
      <c r="D174" s="3" t="s">
        <v>16</v>
      </c>
      <c r="E174" s="3" t="s">
        <v>25</v>
      </c>
      <c r="F174" s="3" t="s">
        <v>62</v>
      </c>
      <c r="G174" s="3" t="s">
        <v>63</v>
      </c>
      <c r="H174" s="3" t="s">
        <v>64</v>
      </c>
      <c r="I174" s="5">
        <v>4732.3</v>
      </c>
      <c r="J174" s="4">
        <v>5</v>
      </c>
      <c r="K174" s="1">
        <v>23</v>
      </c>
      <c r="L174" s="4">
        <v>660.9</v>
      </c>
      <c r="M174" s="3" t="s">
        <v>51</v>
      </c>
      <c r="N174" s="3" t="s">
        <v>22</v>
      </c>
      <c r="O174" s="2" t="str">
        <f t="shared" si="10"/>
        <v>07-2024</v>
      </c>
      <c r="P174" t="str">
        <f t="shared" si="11"/>
        <v>2024</v>
      </c>
      <c r="Q174" s="6">
        <f t="shared" si="12"/>
        <v>0.13965724911776514</v>
      </c>
      <c r="R174" t="str">
        <f t="shared" si="13"/>
        <v>Profit</v>
      </c>
      <c r="S174" t="str">
        <f t="shared" si="14"/>
        <v>High (&gt;20%)</v>
      </c>
    </row>
    <row r="175" spans="1:19" x14ac:dyDescent="0.3">
      <c r="A175" s="3" t="s">
        <v>255</v>
      </c>
      <c r="B175" s="2">
        <v>45742</v>
      </c>
      <c r="C175" s="3" t="s">
        <v>75</v>
      </c>
      <c r="D175" s="3" t="s">
        <v>89</v>
      </c>
      <c r="E175" s="3" t="s">
        <v>140</v>
      </c>
      <c r="F175" s="3" t="s">
        <v>32</v>
      </c>
      <c r="G175" s="3" t="s">
        <v>47</v>
      </c>
      <c r="H175" s="3" t="s">
        <v>48</v>
      </c>
      <c r="I175" s="5">
        <v>6921.88</v>
      </c>
      <c r="J175" s="4">
        <v>7</v>
      </c>
      <c r="K175" s="1">
        <v>14</v>
      </c>
      <c r="L175" s="4">
        <v>975.88</v>
      </c>
      <c r="M175" s="3" t="s">
        <v>51</v>
      </c>
      <c r="N175" s="3" t="s">
        <v>35</v>
      </c>
      <c r="O175" s="2" t="str">
        <f t="shared" si="10"/>
        <v>03-2025</v>
      </c>
      <c r="P175" t="str">
        <f t="shared" si="11"/>
        <v>2025</v>
      </c>
      <c r="Q175" s="6">
        <f t="shared" si="12"/>
        <v>0.14098481915317804</v>
      </c>
      <c r="R175" t="str">
        <f t="shared" si="13"/>
        <v>Profit</v>
      </c>
      <c r="S175" t="str">
        <f t="shared" si="14"/>
        <v>Mid (11-20%)</v>
      </c>
    </row>
    <row r="176" spans="1:19" x14ac:dyDescent="0.3">
      <c r="A176" s="3" t="s">
        <v>256</v>
      </c>
      <c r="B176" s="2">
        <v>45645</v>
      </c>
      <c r="C176" s="3" t="s">
        <v>30</v>
      </c>
      <c r="D176" s="3" t="s">
        <v>89</v>
      </c>
      <c r="E176" s="3" t="s">
        <v>116</v>
      </c>
      <c r="F176" s="3" t="s">
        <v>62</v>
      </c>
      <c r="G176" s="3" t="s">
        <v>67</v>
      </c>
      <c r="H176" s="3" t="s">
        <v>68</v>
      </c>
      <c r="I176" s="5">
        <v>2244.7800000000002</v>
      </c>
      <c r="J176" s="4">
        <v>2</v>
      </c>
      <c r="K176" s="1">
        <v>7.0000000000000009</v>
      </c>
      <c r="L176" s="4">
        <v>282.76</v>
      </c>
      <c r="M176" s="3" t="s">
        <v>51</v>
      </c>
      <c r="N176" s="3" t="s">
        <v>35</v>
      </c>
      <c r="O176" s="2" t="str">
        <f t="shared" si="10"/>
        <v>12-2024</v>
      </c>
      <c r="P176" t="str">
        <f t="shared" si="11"/>
        <v>2024</v>
      </c>
      <c r="Q176" s="6">
        <f t="shared" si="12"/>
        <v>0.12596334607400278</v>
      </c>
      <c r="R176" t="str">
        <f t="shared" si="13"/>
        <v>Profit</v>
      </c>
      <c r="S176" t="str">
        <f t="shared" si="14"/>
        <v>Low (1-10%)</v>
      </c>
    </row>
    <row r="177" spans="1:19" x14ac:dyDescent="0.3">
      <c r="A177" s="3" t="s">
        <v>257</v>
      </c>
      <c r="B177" s="2">
        <v>45464</v>
      </c>
      <c r="C177" s="3" t="s">
        <v>15</v>
      </c>
      <c r="D177" s="3" t="s">
        <v>38</v>
      </c>
      <c r="E177" s="3" t="s">
        <v>43</v>
      </c>
      <c r="F177" s="3" t="s">
        <v>32</v>
      </c>
      <c r="G177" s="3" t="s">
        <v>47</v>
      </c>
      <c r="H177" s="3" t="s">
        <v>48</v>
      </c>
      <c r="I177" s="5">
        <v>8847.27</v>
      </c>
      <c r="J177" s="4">
        <v>9</v>
      </c>
      <c r="K177" s="1">
        <v>5</v>
      </c>
      <c r="L177" s="4">
        <v>581.4</v>
      </c>
      <c r="M177" s="3" t="s">
        <v>28</v>
      </c>
      <c r="N177" s="3" t="s">
        <v>22</v>
      </c>
      <c r="O177" s="2" t="str">
        <f t="shared" si="10"/>
        <v>06-2024</v>
      </c>
      <c r="P177" t="str">
        <f t="shared" si="11"/>
        <v>2024</v>
      </c>
      <c r="Q177" s="6">
        <f t="shared" si="12"/>
        <v>6.5715186718614885E-2</v>
      </c>
      <c r="R177" t="str">
        <f t="shared" si="13"/>
        <v>Profit</v>
      </c>
      <c r="S177" t="str">
        <f t="shared" si="14"/>
        <v>Low (1-10%)</v>
      </c>
    </row>
    <row r="178" spans="1:19" x14ac:dyDescent="0.3">
      <c r="A178" s="3" t="s">
        <v>258</v>
      </c>
      <c r="B178" s="2">
        <v>45665</v>
      </c>
      <c r="C178" s="3" t="s">
        <v>15</v>
      </c>
      <c r="D178" s="3" t="s">
        <v>38</v>
      </c>
      <c r="E178" s="3" t="s">
        <v>71</v>
      </c>
      <c r="F178" s="3" t="s">
        <v>62</v>
      </c>
      <c r="G178" s="3" t="s">
        <v>103</v>
      </c>
      <c r="H178" s="3" t="s">
        <v>104</v>
      </c>
      <c r="I178" s="5">
        <v>2469.96</v>
      </c>
      <c r="J178" s="4">
        <v>3</v>
      </c>
      <c r="K178" s="1">
        <v>10</v>
      </c>
      <c r="L178" s="4">
        <v>531.04</v>
      </c>
      <c r="M178" s="3" t="s">
        <v>28</v>
      </c>
      <c r="N178" s="3" t="s">
        <v>22</v>
      </c>
      <c r="O178" s="2" t="str">
        <f t="shared" si="10"/>
        <v>01-2025</v>
      </c>
      <c r="P178" t="str">
        <f t="shared" si="11"/>
        <v>2025</v>
      </c>
      <c r="Q178" s="6">
        <f t="shared" si="12"/>
        <v>0.21499943318920142</v>
      </c>
      <c r="R178" t="str">
        <f t="shared" si="13"/>
        <v>Profit</v>
      </c>
      <c r="S178" t="str">
        <f t="shared" si="14"/>
        <v>Low (1-10%)</v>
      </c>
    </row>
    <row r="179" spans="1:19" x14ac:dyDescent="0.3">
      <c r="A179" s="3" t="s">
        <v>259</v>
      </c>
      <c r="B179" s="2">
        <v>45573</v>
      </c>
      <c r="C179" s="3" t="s">
        <v>99</v>
      </c>
      <c r="D179" s="3" t="s">
        <v>38</v>
      </c>
      <c r="E179" s="3" t="s">
        <v>71</v>
      </c>
      <c r="F179" s="3" t="s">
        <v>32</v>
      </c>
      <c r="G179" s="3" t="s">
        <v>33</v>
      </c>
      <c r="H179" s="3" t="s">
        <v>34</v>
      </c>
      <c r="I179" s="5">
        <v>10313.73</v>
      </c>
      <c r="J179" s="4">
        <v>7</v>
      </c>
      <c r="K179" s="1">
        <v>3</v>
      </c>
      <c r="L179" s="4">
        <v>597.27</v>
      </c>
      <c r="M179" s="3" t="s">
        <v>21</v>
      </c>
      <c r="N179" s="3" t="s">
        <v>22</v>
      </c>
      <c r="O179" s="2" t="str">
        <f t="shared" si="10"/>
        <v>10-2024</v>
      </c>
      <c r="P179" t="str">
        <f t="shared" si="11"/>
        <v>2024</v>
      </c>
      <c r="Q179" s="6">
        <f t="shared" si="12"/>
        <v>5.7910183803531801E-2</v>
      </c>
      <c r="R179" t="str">
        <f t="shared" si="13"/>
        <v>Profit</v>
      </c>
      <c r="S179" t="str">
        <f t="shared" si="14"/>
        <v>Low (1-10%)</v>
      </c>
    </row>
    <row r="180" spans="1:19" x14ac:dyDescent="0.3">
      <c r="A180" s="3" t="s">
        <v>260</v>
      </c>
      <c r="B180" s="2">
        <v>45453</v>
      </c>
      <c r="C180" s="3" t="s">
        <v>101</v>
      </c>
      <c r="D180" s="3" t="s">
        <v>56</v>
      </c>
      <c r="E180" s="3" t="s">
        <v>57</v>
      </c>
      <c r="F180" s="3" t="s">
        <v>32</v>
      </c>
      <c r="G180" s="3" t="s">
        <v>112</v>
      </c>
      <c r="H180" s="3" t="s">
        <v>113</v>
      </c>
      <c r="I180" s="5">
        <v>101.77</v>
      </c>
      <c r="J180" s="4">
        <v>1</v>
      </c>
      <c r="K180" s="1">
        <v>6</v>
      </c>
      <c r="L180" s="4">
        <v>8.2899999999999991</v>
      </c>
      <c r="M180" s="3" t="s">
        <v>28</v>
      </c>
      <c r="N180" s="3" t="s">
        <v>35</v>
      </c>
      <c r="O180" s="2" t="str">
        <f t="shared" si="10"/>
        <v>06-2024</v>
      </c>
      <c r="P180" t="str">
        <f t="shared" si="11"/>
        <v>2024</v>
      </c>
      <c r="Q180" s="6">
        <f t="shared" si="12"/>
        <v>8.1458190036356487E-2</v>
      </c>
      <c r="R180" t="str">
        <f t="shared" si="13"/>
        <v>Profit</v>
      </c>
      <c r="S180" t="str">
        <f t="shared" si="14"/>
        <v>Low (1-10%)</v>
      </c>
    </row>
    <row r="181" spans="1:19" x14ac:dyDescent="0.3">
      <c r="A181" s="3" t="s">
        <v>261</v>
      </c>
      <c r="B181" s="2">
        <v>45735</v>
      </c>
      <c r="C181" s="3" t="s">
        <v>86</v>
      </c>
      <c r="D181" s="3" t="s">
        <v>16</v>
      </c>
      <c r="E181" s="3" t="s">
        <v>17</v>
      </c>
      <c r="F181" s="3" t="s">
        <v>18</v>
      </c>
      <c r="G181" s="3" t="s">
        <v>26</v>
      </c>
      <c r="H181" s="3" t="s">
        <v>27</v>
      </c>
      <c r="I181" s="5">
        <v>3335.01</v>
      </c>
      <c r="J181" s="4">
        <v>7</v>
      </c>
      <c r="K181" s="1">
        <v>14</v>
      </c>
      <c r="L181" s="4">
        <v>259.43</v>
      </c>
      <c r="M181" s="3" t="s">
        <v>21</v>
      </c>
      <c r="N181" s="3" t="s">
        <v>35</v>
      </c>
      <c r="O181" s="2" t="str">
        <f t="shared" si="10"/>
        <v>03-2025</v>
      </c>
      <c r="P181" t="str">
        <f t="shared" si="11"/>
        <v>2025</v>
      </c>
      <c r="Q181" s="6">
        <f t="shared" si="12"/>
        <v>7.7789871694537646E-2</v>
      </c>
      <c r="R181" t="str">
        <f t="shared" si="13"/>
        <v>Profit</v>
      </c>
      <c r="S181" t="str">
        <f t="shared" si="14"/>
        <v>Mid (11-20%)</v>
      </c>
    </row>
    <row r="182" spans="1:19" x14ac:dyDescent="0.3">
      <c r="A182" s="3" t="s">
        <v>262</v>
      </c>
      <c r="B182" s="2">
        <v>45453</v>
      </c>
      <c r="C182" s="3" t="s">
        <v>70</v>
      </c>
      <c r="D182" s="3" t="s">
        <v>89</v>
      </c>
      <c r="E182" s="3" t="s">
        <v>116</v>
      </c>
      <c r="F182" s="3" t="s">
        <v>18</v>
      </c>
      <c r="G182" s="3" t="s">
        <v>26</v>
      </c>
      <c r="H182" s="3" t="s">
        <v>27</v>
      </c>
      <c r="I182" s="5">
        <v>13470.31</v>
      </c>
      <c r="J182" s="4">
        <v>7</v>
      </c>
      <c r="K182" s="1">
        <v>12</v>
      </c>
      <c r="L182" s="4">
        <v>1078.8900000000001</v>
      </c>
      <c r="M182" s="3" t="s">
        <v>51</v>
      </c>
      <c r="N182" s="3" t="s">
        <v>44</v>
      </c>
      <c r="O182" s="2" t="str">
        <f t="shared" si="10"/>
        <v>06-2024</v>
      </c>
      <c r="P182" t="str">
        <f t="shared" si="11"/>
        <v>2024</v>
      </c>
      <c r="Q182" s="6">
        <f t="shared" si="12"/>
        <v>8.0093925084129478E-2</v>
      </c>
      <c r="R182" t="str">
        <f t="shared" si="13"/>
        <v>Profit</v>
      </c>
      <c r="S182" t="str">
        <f t="shared" si="14"/>
        <v>Mid (11-20%)</v>
      </c>
    </row>
    <row r="183" spans="1:19" x14ac:dyDescent="0.3">
      <c r="A183" s="3" t="s">
        <v>263</v>
      </c>
      <c r="B183" s="2">
        <v>45517</v>
      </c>
      <c r="C183" s="3" t="s">
        <v>75</v>
      </c>
      <c r="D183" s="3" t="s">
        <v>16</v>
      </c>
      <c r="E183" s="3" t="s">
        <v>17</v>
      </c>
      <c r="F183" s="3" t="s">
        <v>32</v>
      </c>
      <c r="G183" s="3" t="s">
        <v>112</v>
      </c>
      <c r="H183" s="3" t="s">
        <v>113</v>
      </c>
      <c r="I183" s="5">
        <v>2413.6799999999998</v>
      </c>
      <c r="J183" s="4">
        <v>2</v>
      </c>
      <c r="K183" s="1">
        <v>16</v>
      </c>
      <c r="L183" s="4">
        <v>223.22</v>
      </c>
      <c r="M183" s="3" t="s">
        <v>28</v>
      </c>
      <c r="N183" s="3" t="s">
        <v>44</v>
      </c>
      <c r="O183" s="2" t="str">
        <f t="shared" si="10"/>
        <v>08-2024</v>
      </c>
      <c r="P183" t="str">
        <f t="shared" si="11"/>
        <v>2024</v>
      </c>
      <c r="Q183" s="6">
        <f t="shared" si="12"/>
        <v>9.2481190547214223E-2</v>
      </c>
      <c r="R183" t="str">
        <f t="shared" si="13"/>
        <v>Profit</v>
      </c>
      <c r="S183" t="str">
        <f t="shared" si="14"/>
        <v>Mid (11-20%)</v>
      </c>
    </row>
    <row r="184" spans="1:19" x14ac:dyDescent="0.3">
      <c r="A184" s="3" t="s">
        <v>264</v>
      </c>
      <c r="B184" s="2">
        <v>45748</v>
      </c>
      <c r="C184" s="3" t="s">
        <v>24</v>
      </c>
      <c r="D184" s="3" t="s">
        <v>89</v>
      </c>
      <c r="E184" s="3" t="s">
        <v>102</v>
      </c>
      <c r="F184" s="3" t="s">
        <v>32</v>
      </c>
      <c r="G184" s="3" t="s">
        <v>58</v>
      </c>
      <c r="H184" s="3" t="s">
        <v>59</v>
      </c>
      <c r="I184" s="5">
        <v>7224.75</v>
      </c>
      <c r="J184" s="4">
        <v>5</v>
      </c>
      <c r="K184" s="1">
        <v>7.0000000000000009</v>
      </c>
      <c r="L184" s="4">
        <v>896.59</v>
      </c>
      <c r="M184" s="3" t="s">
        <v>51</v>
      </c>
      <c r="N184" s="3" t="s">
        <v>40</v>
      </c>
      <c r="O184" s="2" t="str">
        <f t="shared" si="10"/>
        <v>04-2025</v>
      </c>
      <c r="P184" t="str">
        <f t="shared" si="11"/>
        <v>2025</v>
      </c>
      <c r="Q184" s="6">
        <f t="shared" si="12"/>
        <v>0.12409979584068653</v>
      </c>
      <c r="R184" t="str">
        <f t="shared" si="13"/>
        <v>Profit</v>
      </c>
      <c r="S184" t="str">
        <f t="shared" si="14"/>
        <v>Low (1-10%)</v>
      </c>
    </row>
    <row r="185" spans="1:19" x14ac:dyDescent="0.3">
      <c r="A185" s="3" t="s">
        <v>265</v>
      </c>
      <c r="B185" s="2">
        <v>45475</v>
      </c>
      <c r="C185" s="3" t="s">
        <v>24</v>
      </c>
      <c r="D185" s="3" t="s">
        <v>56</v>
      </c>
      <c r="E185" s="3" t="s">
        <v>61</v>
      </c>
      <c r="F185" s="3" t="s">
        <v>18</v>
      </c>
      <c r="G185" s="3" t="s">
        <v>26</v>
      </c>
      <c r="H185" s="3" t="s">
        <v>27</v>
      </c>
      <c r="I185" s="5">
        <v>2271.2800000000002</v>
      </c>
      <c r="J185" s="4">
        <v>2</v>
      </c>
      <c r="K185" s="1">
        <v>13</v>
      </c>
      <c r="L185" s="4">
        <v>376.88</v>
      </c>
      <c r="M185" s="3" t="s">
        <v>21</v>
      </c>
      <c r="N185" s="3" t="s">
        <v>35</v>
      </c>
      <c r="O185" s="2" t="str">
        <f t="shared" si="10"/>
        <v>07-2024</v>
      </c>
      <c r="P185" t="str">
        <f t="shared" si="11"/>
        <v>2024</v>
      </c>
      <c r="Q185" s="6">
        <f t="shared" si="12"/>
        <v>0.16593286604910004</v>
      </c>
      <c r="R185" t="str">
        <f t="shared" si="13"/>
        <v>Profit</v>
      </c>
      <c r="S185" t="str">
        <f t="shared" si="14"/>
        <v>Mid (11-20%)</v>
      </c>
    </row>
    <row r="186" spans="1:19" x14ac:dyDescent="0.3">
      <c r="A186" s="3" t="s">
        <v>266</v>
      </c>
      <c r="B186" s="2">
        <v>45570</v>
      </c>
      <c r="C186" s="3" t="s">
        <v>37</v>
      </c>
      <c r="D186" s="3" t="s">
        <v>89</v>
      </c>
      <c r="E186" s="3" t="s">
        <v>102</v>
      </c>
      <c r="F186" s="3" t="s">
        <v>62</v>
      </c>
      <c r="G186" s="3" t="s">
        <v>67</v>
      </c>
      <c r="H186" s="3" t="s">
        <v>68</v>
      </c>
      <c r="I186" s="5">
        <v>3736.77</v>
      </c>
      <c r="J186" s="4">
        <v>3</v>
      </c>
      <c r="K186" s="1">
        <v>3</v>
      </c>
      <c r="L186" s="4">
        <v>520.99</v>
      </c>
      <c r="M186" s="3" t="s">
        <v>21</v>
      </c>
      <c r="N186" s="3" t="s">
        <v>44</v>
      </c>
      <c r="O186" s="2" t="str">
        <f t="shared" si="10"/>
        <v>10-2024</v>
      </c>
      <c r="P186" t="str">
        <f t="shared" si="11"/>
        <v>2024</v>
      </c>
      <c r="Q186" s="6">
        <f t="shared" si="12"/>
        <v>0.13942254942102406</v>
      </c>
      <c r="R186" t="str">
        <f t="shared" si="13"/>
        <v>Profit</v>
      </c>
      <c r="S186" t="str">
        <f t="shared" si="14"/>
        <v>Low (1-10%)</v>
      </c>
    </row>
    <row r="187" spans="1:19" x14ac:dyDescent="0.3">
      <c r="A187" s="3" t="s">
        <v>267</v>
      </c>
      <c r="B187" s="2">
        <v>45644</v>
      </c>
      <c r="C187" s="3" t="s">
        <v>66</v>
      </c>
      <c r="D187" s="3" t="s">
        <v>16</v>
      </c>
      <c r="E187" s="3" t="s">
        <v>25</v>
      </c>
      <c r="F187" s="3" t="s">
        <v>62</v>
      </c>
      <c r="G187" s="3" t="s">
        <v>103</v>
      </c>
      <c r="H187" s="3" t="s">
        <v>104</v>
      </c>
      <c r="I187" s="5">
        <v>1517</v>
      </c>
      <c r="J187" s="4">
        <v>5</v>
      </c>
      <c r="K187" s="1">
        <v>19</v>
      </c>
      <c r="L187" s="4">
        <v>124.92</v>
      </c>
      <c r="M187" s="3" t="s">
        <v>51</v>
      </c>
      <c r="N187" s="3" t="s">
        <v>35</v>
      </c>
      <c r="O187" s="2" t="str">
        <f t="shared" si="10"/>
        <v>12-2024</v>
      </c>
      <c r="P187" t="str">
        <f t="shared" si="11"/>
        <v>2024</v>
      </c>
      <c r="Q187" s="6">
        <f t="shared" si="12"/>
        <v>8.2346736980883323E-2</v>
      </c>
      <c r="R187" t="str">
        <f t="shared" si="13"/>
        <v>Profit</v>
      </c>
      <c r="S187" t="str">
        <f t="shared" si="14"/>
        <v>Mid (11-20%)</v>
      </c>
    </row>
    <row r="188" spans="1:19" x14ac:dyDescent="0.3">
      <c r="A188" s="3" t="s">
        <v>268</v>
      </c>
      <c r="B188" s="2">
        <v>45494</v>
      </c>
      <c r="C188" s="3" t="s">
        <v>73</v>
      </c>
      <c r="D188" s="3" t="s">
        <v>16</v>
      </c>
      <c r="E188" s="3" t="s">
        <v>17</v>
      </c>
      <c r="F188" s="3" t="s">
        <v>32</v>
      </c>
      <c r="G188" s="3" t="s">
        <v>58</v>
      </c>
      <c r="H188" s="3" t="s">
        <v>59</v>
      </c>
      <c r="I188" s="5">
        <v>17223.3</v>
      </c>
      <c r="J188" s="4">
        <v>9</v>
      </c>
      <c r="K188" s="1">
        <v>6</v>
      </c>
      <c r="L188" s="4">
        <v>2658.31</v>
      </c>
      <c r="M188" s="3" t="s">
        <v>28</v>
      </c>
      <c r="N188" s="3" t="s">
        <v>35</v>
      </c>
      <c r="O188" s="2" t="str">
        <f t="shared" si="10"/>
        <v>07-2024</v>
      </c>
      <c r="P188" t="str">
        <f t="shared" si="11"/>
        <v>2024</v>
      </c>
      <c r="Q188" s="6">
        <f t="shared" si="12"/>
        <v>0.15434382493482665</v>
      </c>
      <c r="R188" t="str">
        <f t="shared" si="13"/>
        <v>Profit</v>
      </c>
      <c r="S188" t="str">
        <f t="shared" si="14"/>
        <v>Low (1-10%)</v>
      </c>
    </row>
    <row r="189" spans="1:19" x14ac:dyDescent="0.3">
      <c r="A189" s="3" t="s">
        <v>269</v>
      </c>
      <c r="B189" s="2">
        <v>45540</v>
      </c>
      <c r="C189" s="3" t="s">
        <v>73</v>
      </c>
      <c r="D189" s="3" t="s">
        <v>16</v>
      </c>
      <c r="E189" s="3" t="s">
        <v>25</v>
      </c>
      <c r="F189" s="3" t="s">
        <v>62</v>
      </c>
      <c r="G189" s="3" t="s">
        <v>63</v>
      </c>
      <c r="H189" s="3" t="s">
        <v>64</v>
      </c>
      <c r="I189" s="5">
        <v>10844.9</v>
      </c>
      <c r="J189" s="4">
        <v>10</v>
      </c>
      <c r="K189" s="1">
        <v>2</v>
      </c>
      <c r="L189" s="4">
        <v>2260.62</v>
      </c>
      <c r="M189" s="3" t="s">
        <v>21</v>
      </c>
      <c r="N189" s="3" t="s">
        <v>35</v>
      </c>
      <c r="O189" s="2" t="str">
        <f t="shared" si="10"/>
        <v>09-2024</v>
      </c>
      <c r="P189" t="str">
        <f t="shared" si="11"/>
        <v>2024</v>
      </c>
      <c r="Q189" s="6">
        <f t="shared" si="12"/>
        <v>0.20845005486449852</v>
      </c>
      <c r="R189" t="str">
        <f t="shared" si="13"/>
        <v>Profit</v>
      </c>
      <c r="S189" t="str">
        <f t="shared" si="14"/>
        <v>Low (1-10%)</v>
      </c>
    </row>
    <row r="190" spans="1:19" x14ac:dyDescent="0.3">
      <c r="A190" s="3" t="s">
        <v>270</v>
      </c>
      <c r="B190" s="2">
        <v>45645</v>
      </c>
      <c r="C190" s="3" t="s">
        <v>101</v>
      </c>
      <c r="D190" s="3" t="s">
        <v>38</v>
      </c>
      <c r="E190" s="3" t="s">
        <v>53</v>
      </c>
      <c r="F190" s="3" t="s">
        <v>62</v>
      </c>
      <c r="G190" s="3" t="s">
        <v>103</v>
      </c>
      <c r="H190" s="3" t="s">
        <v>104</v>
      </c>
      <c r="I190" s="5">
        <v>9623.16</v>
      </c>
      <c r="J190" s="4">
        <v>9</v>
      </c>
      <c r="K190" s="1">
        <v>12</v>
      </c>
      <c r="L190" s="4">
        <v>1197.52</v>
      </c>
      <c r="M190" s="3" t="s">
        <v>51</v>
      </c>
      <c r="N190" s="3" t="s">
        <v>40</v>
      </c>
      <c r="O190" s="2" t="str">
        <f t="shared" si="10"/>
        <v>12-2024</v>
      </c>
      <c r="P190" t="str">
        <f t="shared" si="11"/>
        <v>2024</v>
      </c>
      <c r="Q190" s="6">
        <f t="shared" si="12"/>
        <v>0.124441451664526</v>
      </c>
      <c r="R190" t="str">
        <f t="shared" si="13"/>
        <v>Profit</v>
      </c>
      <c r="S190" t="str">
        <f t="shared" si="14"/>
        <v>Mid (11-20%)</v>
      </c>
    </row>
    <row r="191" spans="1:19" x14ac:dyDescent="0.3">
      <c r="A191" s="3" t="s">
        <v>271</v>
      </c>
      <c r="B191" s="2">
        <v>45738</v>
      </c>
      <c r="C191" s="3" t="s">
        <v>99</v>
      </c>
      <c r="D191" s="3" t="s">
        <v>56</v>
      </c>
      <c r="E191" s="3" t="s">
        <v>108</v>
      </c>
      <c r="F191" s="3" t="s">
        <v>32</v>
      </c>
      <c r="G191" s="3" t="s">
        <v>58</v>
      </c>
      <c r="H191" s="3" t="s">
        <v>59</v>
      </c>
      <c r="I191" s="5">
        <v>3266.86</v>
      </c>
      <c r="J191" s="4">
        <v>2</v>
      </c>
      <c r="K191" s="1">
        <v>3</v>
      </c>
      <c r="L191" s="4">
        <v>415.14</v>
      </c>
      <c r="M191" s="3" t="s">
        <v>21</v>
      </c>
      <c r="N191" s="3" t="s">
        <v>22</v>
      </c>
      <c r="O191" s="2" t="str">
        <f t="shared" si="10"/>
        <v>03-2025</v>
      </c>
      <c r="P191" t="str">
        <f t="shared" si="11"/>
        <v>2025</v>
      </c>
      <c r="Q191" s="6">
        <f t="shared" si="12"/>
        <v>0.12707615263586439</v>
      </c>
      <c r="R191" t="str">
        <f t="shared" si="13"/>
        <v>Profit</v>
      </c>
      <c r="S191" t="str">
        <f t="shared" si="14"/>
        <v>Low (1-10%)</v>
      </c>
    </row>
    <row r="192" spans="1:19" x14ac:dyDescent="0.3">
      <c r="A192" s="3" t="s">
        <v>272</v>
      </c>
      <c r="B192" s="2">
        <v>45738</v>
      </c>
      <c r="C192" s="3" t="s">
        <v>75</v>
      </c>
      <c r="D192" s="3" t="s">
        <v>16</v>
      </c>
      <c r="E192" s="3" t="s">
        <v>31</v>
      </c>
      <c r="F192" s="3" t="s">
        <v>32</v>
      </c>
      <c r="G192" s="3" t="s">
        <v>58</v>
      </c>
      <c r="H192" s="3" t="s">
        <v>59</v>
      </c>
      <c r="I192" s="5">
        <v>4641.6499999999996</v>
      </c>
      <c r="J192" s="4">
        <v>5</v>
      </c>
      <c r="K192" s="1">
        <v>3</v>
      </c>
      <c r="L192" s="4">
        <v>662.36</v>
      </c>
      <c r="M192" s="3" t="s">
        <v>21</v>
      </c>
      <c r="N192" s="3" t="s">
        <v>22</v>
      </c>
      <c r="O192" s="2" t="str">
        <f t="shared" si="10"/>
        <v>03-2025</v>
      </c>
      <c r="P192" t="str">
        <f t="shared" si="11"/>
        <v>2025</v>
      </c>
      <c r="Q192" s="6">
        <f t="shared" si="12"/>
        <v>0.14269925565262354</v>
      </c>
      <c r="R192" t="str">
        <f t="shared" si="13"/>
        <v>Profit</v>
      </c>
      <c r="S192" t="str">
        <f t="shared" si="14"/>
        <v>Low (1-10%)</v>
      </c>
    </row>
    <row r="193" spans="1:19" x14ac:dyDescent="0.3">
      <c r="A193" s="3" t="s">
        <v>273</v>
      </c>
      <c r="B193" s="2">
        <v>45595</v>
      </c>
      <c r="C193" s="3" t="s">
        <v>101</v>
      </c>
      <c r="D193" s="3" t="s">
        <v>38</v>
      </c>
      <c r="E193" s="3" t="s">
        <v>53</v>
      </c>
      <c r="F193" s="3" t="s">
        <v>32</v>
      </c>
      <c r="G193" s="3" t="s">
        <v>47</v>
      </c>
      <c r="H193" s="3" t="s">
        <v>48</v>
      </c>
      <c r="I193" s="5">
        <v>11174.49</v>
      </c>
      <c r="J193" s="4">
        <v>9</v>
      </c>
      <c r="K193" s="1">
        <v>23</v>
      </c>
      <c r="L193" s="4">
        <v>2088.23</v>
      </c>
      <c r="M193" s="3" t="s">
        <v>51</v>
      </c>
      <c r="N193" s="3" t="s">
        <v>44</v>
      </c>
      <c r="O193" s="2" t="str">
        <f t="shared" si="10"/>
        <v>10-2024</v>
      </c>
      <c r="P193" t="str">
        <f t="shared" si="11"/>
        <v>2024</v>
      </c>
      <c r="Q193" s="6">
        <f t="shared" si="12"/>
        <v>0.18687474775135152</v>
      </c>
      <c r="R193" t="str">
        <f t="shared" si="13"/>
        <v>Profit</v>
      </c>
      <c r="S193" t="str">
        <f t="shared" si="14"/>
        <v>High (&gt;20%)</v>
      </c>
    </row>
    <row r="194" spans="1:19" x14ac:dyDescent="0.3">
      <c r="A194" s="3" t="s">
        <v>274</v>
      </c>
      <c r="B194" s="2">
        <v>45450</v>
      </c>
      <c r="C194" s="3" t="s">
        <v>86</v>
      </c>
      <c r="D194" s="3" t="s">
        <v>56</v>
      </c>
      <c r="E194" s="3" t="s">
        <v>57</v>
      </c>
      <c r="F194" s="3" t="s">
        <v>32</v>
      </c>
      <c r="G194" s="3" t="s">
        <v>58</v>
      </c>
      <c r="H194" s="3" t="s">
        <v>59</v>
      </c>
      <c r="I194" s="5">
        <v>2500.3200000000002</v>
      </c>
      <c r="J194" s="4">
        <v>8</v>
      </c>
      <c r="K194" s="1">
        <v>14</v>
      </c>
      <c r="L194" s="4">
        <v>273.24</v>
      </c>
      <c r="M194" s="3" t="s">
        <v>28</v>
      </c>
      <c r="N194" s="3" t="s">
        <v>35</v>
      </c>
      <c r="O194" s="2" t="str">
        <f t="shared" ref="O194:O257" si="15" xml:space="preserve"> TEXT(B194,"MM-YYYY")</f>
        <v>06-2024</v>
      </c>
      <c r="P194" t="str">
        <f t="shared" ref="P194:P257" si="16">TEXT(B194,"YYYY")</f>
        <v>2024</v>
      </c>
      <c r="Q194" s="6">
        <f t="shared" ref="Q194:Q257" si="17">IFERROR(L194/I194,0)</f>
        <v>0.10928201190247648</v>
      </c>
      <c r="R194" t="str">
        <f t="shared" ref="R194:R257" si="18">IF(L194&gt;0,"Profit","Loss")</f>
        <v>Profit</v>
      </c>
      <c r="S194" t="str">
        <f t="shared" ref="S194:S257" si="19">IF(K194=0,"No Discount",IF(K194&lt;=10,"Low (1-10%)",IF(K194&lt;=20,"Mid (11-20%)","High (&gt;20%)")))</f>
        <v>Mid (11-20%)</v>
      </c>
    </row>
    <row r="195" spans="1:19" x14ac:dyDescent="0.3">
      <c r="A195" s="3" t="s">
        <v>275</v>
      </c>
      <c r="B195" s="2">
        <v>45677</v>
      </c>
      <c r="C195" s="3" t="s">
        <v>84</v>
      </c>
      <c r="D195" s="3" t="s">
        <v>89</v>
      </c>
      <c r="E195" s="3" t="s">
        <v>90</v>
      </c>
      <c r="F195" s="3" t="s">
        <v>18</v>
      </c>
      <c r="G195" s="3" t="s">
        <v>19</v>
      </c>
      <c r="H195" s="3" t="s">
        <v>20</v>
      </c>
      <c r="I195" s="5">
        <v>2427.1999999999998</v>
      </c>
      <c r="J195" s="4">
        <v>4</v>
      </c>
      <c r="K195" s="1">
        <v>9</v>
      </c>
      <c r="L195" s="4">
        <v>335.5</v>
      </c>
      <c r="M195" s="3" t="s">
        <v>51</v>
      </c>
      <c r="N195" s="3" t="s">
        <v>44</v>
      </c>
      <c r="O195" s="2" t="str">
        <f t="shared" si="15"/>
        <v>01-2025</v>
      </c>
      <c r="P195" t="str">
        <f t="shared" si="16"/>
        <v>2025</v>
      </c>
      <c r="Q195" s="6">
        <f t="shared" si="17"/>
        <v>0.13822511535926171</v>
      </c>
      <c r="R195" t="str">
        <f t="shared" si="18"/>
        <v>Profit</v>
      </c>
      <c r="S195" t="str">
        <f t="shared" si="19"/>
        <v>Low (1-10%)</v>
      </c>
    </row>
    <row r="196" spans="1:19" x14ac:dyDescent="0.3">
      <c r="A196" s="3" t="s">
        <v>276</v>
      </c>
      <c r="B196" s="2">
        <v>45574</v>
      </c>
      <c r="C196" s="3" t="s">
        <v>30</v>
      </c>
      <c r="D196" s="3" t="s">
        <v>89</v>
      </c>
      <c r="E196" s="3" t="s">
        <v>90</v>
      </c>
      <c r="F196" s="3" t="s">
        <v>62</v>
      </c>
      <c r="G196" s="3" t="s">
        <v>63</v>
      </c>
      <c r="H196" s="3" t="s">
        <v>64</v>
      </c>
      <c r="I196" s="5">
        <v>19110</v>
      </c>
      <c r="J196" s="4">
        <v>10</v>
      </c>
      <c r="K196" s="1">
        <v>22</v>
      </c>
      <c r="L196" s="4">
        <v>1844.09</v>
      </c>
      <c r="M196" s="3" t="s">
        <v>21</v>
      </c>
      <c r="N196" s="3" t="s">
        <v>22</v>
      </c>
      <c r="O196" s="2" t="str">
        <f t="shared" si="15"/>
        <v>10-2024</v>
      </c>
      <c r="P196" t="str">
        <f t="shared" si="16"/>
        <v>2024</v>
      </c>
      <c r="Q196" s="6">
        <f t="shared" si="17"/>
        <v>9.6498691784406065E-2</v>
      </c>
      <c r="R196" t="str">
        <f t="shared" si="18"/>
        <v>Profit</v>
      </c>
      <c r="S196" t="str">
        <f t="shared" si="19"/>
        <v>High (&gt;20%)</v>
      </c>
    </row>
    <row r="197" spans="1:19" x14ac:dyDescent="0.3">
      <c r="A197" s="3" t="s">
        <v>277</v>
      </c>
      <c r="B197" s="2">
        <v>45473</v>
      </c>
      <c r="C197" s="3" t="s">
        <v>84</v>
      </c>
      <c r="D197" s="3" t="s">
        <v>56</v>
      </c>
      <c r="E197" s="3" t="s">
        <v>108</v>
      </c>
      <c r="F197" s="3" t="s">
        <v>18</v>
      </c>
      <c r="G197" s="3" t="s">
        <v>26</v>
      </c>
      <c r="H197" s="3" t="s">
        <v>27</v>
      </c>
      <c r="I197" s="5">
        <v>3605.9</v>
      </c>
      <c r="J197" s="4">
        <v>2</v>
      </c>
      <c r="K197" s="1">
        <v>1</v>
      </c>
      <c r="L197" s="4">
        <v>544.07000000000005</v>
      </c>
      <c r="M197" s="3" t="s">
        <v>21</v>
      </c>
      <c r="N197" s="3" t="s">
        <v>35</v>
      </c>
      <c r="O197" s="2" t="str">
        <f t="shared" si="15"/>
        <v>06-2024</v>
      </c>
      <c r="P197" t="str">
        <f t="shared" si="16"/>
        <v>2024</v>
      </c>
      <c r="Q197" s="6">
        <f t="shared" si="17"/>
        <v>0.15088327463323997</v>
      </c>
      <c r="R197" t="str">
        <f t="shared" si="18"/>
        <v>Profit</v>
      </c>
      <c r="S197" t="str">
        <f t="shared" si="19"/>
        <v>Low (1-10%)</v>
      </c>
    </row>
    <row r="198" spans="1:19" x14ac:dyDescent="0.3">
      <c r="A198" s="3" t="s">
        <v>278</v>
      </c>
      <c r="B198" s="2">
        <v>45504</v>
      </c>
      <c r="C198" s="3" t="s">
        <v>66</v>
      </c>
      <c r="D198" s="3" t="s">
        <v>89</v>
      </c>
      <c r="E198" s="3" t="s">
        <v>140</v>
      </c>
      <c r="F198" s="3" t="s">
        <v>32</v>
      </c>
      <c r="G198" s="3" t="s">
        <v>58</v>
      </c>
      <c r="H198" s="3" t="s">
        <v>59</v>
      </c>
      <c r="I198" s="5">
        <v>12837.7</v>
      </c>
      <c r="J198" s="4">
        <v>10</v>
      </c>
      <c r="K198" s="1">
        <v>3</v>
      </c>
      <c r="L198" s="4">
        <v>2477.79</v>
      </c>
      <c r="M198" s="3" t="s">
        <v>51</v>
      </c>
      <c r="N198" s="3" t="s">
        <v>44</v>
      </c>
      <c r="O198" s="2" t="str">
        <f t="shared" si="15"/>
        <v>07-2024</v>
      </c>
      <c r="P198" t="str">
        <f t="shared" si="16"/>
        <v>2024</v>
      </c>
      <c r="Q198" s="6">
        <f t="shared" si="17"/>
        <v>0.19300887230578684</v>
      </c>
      <c r="R198" t="str">
        <f t="shared" si="18"/>
        <v>Profit</v>
      </c>
      <c r="S198" t="str">
        <f t="shared" si="19"/>
        <v>Low (1-10%)</v>
      </c>
    </row>
    <row r="199" spans="1:19" x14ac:dyDescent="0.3">
      <c r="A199" s="3" t="s">
        <v>279</v>
      </c>
      <c r="B199" s="2">
        <v>45770</v>
      </c>
      <c r="C199" s="3" t="s">
        <v>133</v>
      </c>
      <c r="D199" s="3" t="s">
        <v>16</v>
      </c>
      <c r="E199" s="3" t="s">
        <v>25</v>
      </c>
      <c r="F199" s="3" t="s">
        <v>18</v>
      </c>
      <c r="G199" s="3" t="s">
        <v>26</v>
      </c>
      <c r="H199" s="3" t="s">
        <v>27</v>
      </c>
      <c r="I199" s="5">
        <v>4183.8999999999996</v>
      </c>
      <c r="J199" s="4">
        <v>7</v>
      </c>
      <c r="K199" s="1">
        <v>16</v>
      </c>
      <c r="L199" s="4">
        <v>700.63</v>
      </c>
      <c r="M199" s="3" t="s">
        <v>28</v>
      </c>
      <c r="N199" s="3" t="s">
        <v>44</v>
      </c>
      <c r="O199" s="2" t="str">
        <f t="shared" si="15"/>
        <v>04-2025</v>
      </c>
      <c r="P199" t="str">
        <f t="shared" si="16"/>
        <v>2025</v>
      </c>
      <c r="Q199" s="6">
        <f t="shared" si="17"/>
        <v>0.16745859126652168</v>
      </c>
      <c r="R199" t="str">
        <f t="shared" si="18"/>
        <v>Profit</v>
      </c>
      <c r="S199" t="str">
        <f t="shared" si="19"/>
        <v>Mid (11-20%)</v>
      </c>
    </row>
    <row r="200" spans="1:19" x14ac:dyDescent="0.3">
      <c r="A200" s="3" t="s">
        <v>280</v>
      </c>
      <c r="B200" s="2">
        <v>45602</v>
      </c>
      <c r="C200" s="3" t="s">
        <v>73</v>
      </c>
      <c r="D200" s="3" t="s">
        <v>56</v>
      </c>
      <c r="E200" s="3" t="s">
        <v>108</v>
      </c>
      <c r="F200" s="3" t="s">
        <v>32</v>
      </c>
      <c r="G200" s="3" t="s">
        <v>33</v>
      </c>
      <c r="H200" s="3" t="s">
        <v>34</v>
      </c>
      <c r="I200" s="5">
        <v>6681.15</v>
      </c>
      <c r="J200" s="4">
        <v>9</v>
      </c>
      <c r="K200" s="1">
        <v>21</v>
      </c>
      <c r="L200" s="4">
        <v>1222.27</v>
      </c>
      <c r="M200" s="3" t="s">
        <v>21</v>
      </c>
      <c r="N200" s="3" t="s">
        <v>35</v>
      </c>
      <c r="O200" s="2" t="str">
        <f t="shared" si="15"/>
        <v>11-2024</v>
      </c>
      <c r="P200" t="str">
        <f t="shared" si="16"/>
        <v>2024</v>
      </c>
      <c r="Q200" s="6">
        <f t="shared" si="17"/>
        <v>0.18294305621038295</v>
      </c>
      <c r="R200" t="str">
        <f t="shared" si="18"/>
        <v>Profit</v>
      </c>
      <c r="S200" t="str">
        <f t="shared" si="19"/>
        <v>High (&gt;20%)</v>
      </c>
    </row>
    <row r="201" spans="1:19" x14ac:dyDescent="0.3">
      <c r="A201" s="3" t="s">
        <v>281</v>
      </c>
      <c r="B201" s="2">
        <v>45705</v>
      </c>
      <c r="C201" s="3" t="s">
        <v>50</v>
      </c>
      <c r="D201" s="3" t="s">
        <v>56</v>
      </c>
      <c r="E201" s="3" t="s">
        <v>61</v>
      </c>
      <c r="F201" s="3" t="s">
        <v>32</v>
      </c>
      <c r="G201" s="3" t="s">
        <v>47</v>
      </c>
      <c r="H201" s="3" t="s">
        <v>48</v>
      </c>
      <c r="I201" s="5">
        <v>2800.82</v>
      </c>
      <c r="J201" s="4">
        <v>2</v>
      </c>
      <c r="K201" s="1">
        <v>2</v>
      </c>
      <c r="L201" s="4">
        <v>675.93</v>
      </c>
      <c r="M201" s="3" t="s">
        <v>21</v>
      </c>
      <c r="N201" s="3" t="s">
        <v>35</v>
      </c>
      <c r="O201" s="2" t="str">
        <f t="shared" si="15"/>
        <v>02-2025</v>
      </c>
      <c r="P201" t="str">
        <f t="shared" si="16"/>
        <v>2025</v>
      </c>
      <c r="Q201" s="6">
        <f t="shared" si="17"/>
        <v>0.24133289536635696</v>
      </c>
      <c r="R201" t="str">
        <f t="shared" si="18"/>
        <v>Profit</v>
      </c>
      <c r="S201" t="str">
        <f t="shared" si="19"/>
        <v>Low (1-10%)</v>
      </c>
    </row>
    <row r="202" spans="1:19" x14ac:dyDescent="0.3">
      <c r="A202" s="3" t="s">
        <v>282</v>
      </c>
      <c r="B202" s="2">
        <v>45499</v>
      </c>
      <c r="C202" s="3" t="s">
        <v>42</v>
      </c>
      <c r="D202" s="3" t="s">
        <v>38</v>
      </c>
      <c r="E202" s="3" t="s">
        <v>71</v>
      </c>
      <c r="F202" s="3" t="s">
        <v>62</v>
      </c>
      <c r="G202" s="3" t="s">
        <v>103</v>
      </c>
      <c r="H202" s="3" t="s">
        <v>104</v>
      </c>
      <c r="I202" s="5">
        <v>7698.16</v>
      </c>
      <c r="J202" s="4">
        <v>4</v>
      </c>
      <c r="K202" s="1">
        <v>8</v>
      </c>
      <c r="L202" s="4">
        <v>570.99</v>
      </c>
      <c r="M202" s="3" t="s">
        <v>21</v>
      </c>
      <c r="N202" s="3" t="s">
        <v>22</v>
      </c>
      <c r="O202" s="2" t="str">
        <f t="shared" si="15"/>
        <v>07-2024</v>
      </c>
      <c r="P202" t="str">
        <f t="shared" si="16"/>
        <v>2024</v>
      </c>
      <c r="Q202" s="6">
        <f t="shared" si="17"/>
        <v>7.4172269737183952E-2</v>
      </c>
      <c r="R202" t="str">
        <f t="shared" si="18"/>
        <v>Profit</v>
      </c>
      <c r="S202" t="str">
        <f t="shared" si="19"/>
        <v>Low (1-10%)</v>
      </c>
    </row>
    <row r="203" spans="1:19" x14ac:dyDescent="0.3">
      <c r="A203" s="3" t="s">
        <v>283</v>
      </c>
      <c r="B203" s="2">
        <v>45584</v>
      </c>
      <c r="C203" s="3" t="s">
        <v>75</v>
      </c>
      <c r="D203" s="3" t="s">
        <v>16</v>
      </c>
      <c r="E203" s="3" t="s">
        <v>17</v>
      </c>
      <c r="F203" s="3" t="s">
        <v>32</v>
      </c>
      <c r="G203" s="3" t="s">
        <v>33</v>
      </c>
      <c r="H203" s="3" t="s">
        <v>34</v>
      </c>
      <c r="I203" s="5">
        <v>10236.299999999999</v>
      </c>
      <c r="J203" s="4">
        <v>10</v>
      </c>
      <c r="K203" s="1">
        <v>11</v>
      </c>
      <c r="L203" s="4">
        <v>1226.0899999999999</v>
      </c>
      <c r="M203" s="3" t="s">
        <v>21</v>
      </c>
      <c r="N203" s="3" t="s">
        <v>35</v>
      </c>
      <c r="O203" s="2" t="str">
        <f t="shared" si="15"/>
        <v>10-2024</v>
      </c>
      <c r="P203" t="str">
        <f t="shared" si="16"/>
        <v>2024</v>
      </c>
      <c r="Q203" s="6">
        <f t="shared" si="17"/>
        <v>0.11977863095063646</v>
      </c>
      <c r="R203" t="str">
        <f t="shared" si="18"/>
        <v>Profit</v>
      </c>
      <c r="S203" t="str">
        <f t="shared" si="19"/>
        <v>Mid (11-20%)</v>
      </c>
    </row>
    <row r="204" spans="1:19" x14ac:dyDescent="0.3">
      <c r="A204" s="3" t="s">
        <v>284</v>
      </c>
      <c r="B204" s="2">
        <v>45698</v>
      </c>
      <c r="C204" s="3" t="s">
        <v>30</v>
      </c>
      <c r="D204" s="3" t="s">
        <v>89</v>
      </c>
      <c r="E204" s="3" t="s">
        <v>97</v>
      </c>
      <c r="F204" s="3" t="s">
        <v>32</v>
      </c>
      <c r="G204" s="3" t="s">
        <v>58</v>
      </c>
      <c r="H204" s="3" t="s">
        <v>59</v>
      </c>
      <c r="I204" s="5">
        <v>11839.1</v>
      </c>
      <c r="J204" s="4">
        <v>7</v>
      </c>
      <c r="K204" s="1">
        <v>19</v>
      </c>
      <c r="L204" s="4">
        <v>1919.48</v>
      </c>
      <c r="M204" s="3" t="s">
        <v>51</v>
      </c>
      <c r="N204" s="3" t="s">
        <v>40</v>
      </c>
      <c r="O204" s="2" t="str">
        <f t="shared" si="15"/>
        <v>02-2025</v>
      </c>
      <c r="P204" t="str">
        <f t="shared" si="16"/>
        <v>2025</v>
      </c>
      <c r="Q204" s="6">
        <f t="shared" si="17"/>
        <v>0.16213056735731601</v>
      </c>
      <c r="R204" t="str">
        <f t="shared" si="18"/>
        <v>Profit</v>
      </c>
      <c r="S204" t="str">
        <f t="shared" si="19"/>
        <v>Mid (11-20%)</v>
      </c>
    </row>
    <row r="205" spans="1:19" x14ac:dyDescent="0.3">
      <c r="A205" s="3" t="s">
        <v>285</v>
      </c>
      <c r="B205" s="2">
        <v>45688</v>
      </c>
      <c r="C205" s="3" t="s">
        <v>99</v>
      </c>
      <c r="D205" s="3" t="s">
        <v>56</v>
      </c>
      <c r="E205" s="3" t="s">
        <v>57</v>
      </c>
      <c r="F205" s="3" t="s">
        <v>18</v>
      </c>
      <c r="G205" s="3" t="s">
        <v>94</v>
      </c>
      <c r="H205" s="3" t="s">
        <v>95</v>
      </c>
      <c r="I205" s="5">
        <v>5352.92</v>
      </c>
      <c r="J205" s="4">
        <v>4</v>
      </c>
      <c r="K205" s="1">
        <v>7.0000000000000009</v>
      </c>
      <c r="L205" s="4">
        <v>839.31</v>
      </c>
      <c r="M205" s="3" t="s">
        <v>28</v>
      </c>
      <c r="N205" s="3" t="s">
        <v>44</v>
      </c>
      <c r="O205" s="2" t="str">
        <f t="shared" si="15"/>
        <v>01-2025</v>
      </c>
      <c r="P205" t="str">
        <f t="shared" si="16"/>
        <v>2025</v>
      </c>
      <c r="Q205" s="6">
        <f t="shared" si="17"/>
        <v>0.1567947961112813</v>
      </c>
      <c r="R205" t="str">
        <f t="shared" si="18"/>
        <v>Profit</v>
      </c>
      <c r="S205" t="str">
        <f t="shared" si="19"/>
        <v>Low (1-10%)</v>
      </c>
    </row>
    <row r="206" spans="1:19" x14ac:dyDescent="0.3">
      <c r="A206" s="3" t="s">
        <v>286</v>
      </c>
      <c r="B206" s="2">
        <v>45706</v>
      </c>
      <c r="C206" s="3" t="s">
        <v>15</v>
      </c>
      <c r="D206" s="3" t="s">
        <v>16</v>
      </c>
      <c r="E206" s="3" t="s">
        <v>17</v>
      </c>
      <c r="F206" s="3" t="s">
        <v>18</v>
      </c>
      <c r="G206" s="3" t="s">
        <v>26</v>
      </c>
      <c r="H206" s="3" t="s">
        <v>27</v>
      </c>
      <c r="I206" s="5">
        <v>18896.599999999999</v>
      </c>
      <c r="J206" s="4">
        <v>10</v>
      </c>
      <c r="K206" s="1">
        <v>7.0000000000000009</v>
      </c>
      <c r="L206" s="4">
        <v>1483.08</v>
      </c>
      <c r="M206" s="3" t="s">
        <v>28</v>
      </c>
      <c r="N206" s="3" t="s">
        <v>22</v>
      </c>
      <c r="O206" s="2" t="str">
        <f t="shared" si="15"/>
        <v>02-2025</v>
      </c>
      <c r="P206" t="str">
        <f t="shared" si="16"/>
        <v>2025</v>
      </c>
      <c r="Q206" s="6">
        <f t="shared" si="17"/>
        <v>7.8483960077474255E-2</v>
      </c>
      <c r="R206" t="str">
        <f t="shared" si="18"/>
        <v>Profit</v>
      </c>
      <c r="S206" t="str">
        <f t="shared" si="19"/>
        <v>Low (1-10%)</v>
      </c>
    </row>
    <row r="207" spans="1:19" x14ac:dyDescent="0.3">
      <c r="A207" s="3" t="s">
        <v>287</v>
      </c>
      <c r="B207" s="2">
        <v>45452</v>
      </c>
      <c r="C207" s="3" t="s">
        <v>66</v>
      </c>
      <c r="D207" s="3" t="s">
        <v>89</v>
      </c>
      <c r="E207" s="3" t="s">
        <v>97</v>
      </c>
      <c r="F207" s="3" t="s">
        <v>62</v>
      </c>
      <c r="G207" s="3" t="s">
        <v>103</v>
      </c>
      <c r="H207" s="3" t="s">
        <v>104</v>
      </c>
      <c r="I207" s="5">
        <v>1281.1500000000001</v>
      </c>
      <c r="J207" s="4">
        <v>1</v>
      </c>
      <c r="K207" s="1">
        <v>13</v>
      </c>
      <c r="L207" s="4">
        <v>269.27</v>
      </c>
      <c r="M207" s="3" t="s">
        <v>21</v>
      </c>
      <c r="N207" s="3" t="s">
        <v>35</v>
      </c>
      <c r="O207" s="2" t="str">
        <f t="shared" si="15"/>
        <v>06-2024</v>
      </c>
      <c r="P207" t="str">
        <f t="shared" si="16"/>
        <v>2024</v>
      </c>
      <c r="Q207" s="6">
        <f t="shared" si="17"/>
        <v>0.21017835538383481</v>
      </c>
      <c r="R207" t="str">
        <f t="shared" si="18"/>
        <v>Profit</v>
      </c>
      <c r="S207" t="str">
        <f t="shared" si="19"/>
        <v>Mid (11-20%)</v>
      </c>
    </row>
    <row r="208" spans="1:19" x14ac:dyDescent="0.3">
      <c r="A208" s="3" t="s">
        <v>288</v>
      </c>
      <c r="B208" s="2">
        <v>45661</v>
      </c>
      <c r="C208" s="3" t="s">
        <v>75</v>
      </c>
      <c r="D208" s="3" t="s">
        <v>38</v>
      </c>
      <c r="E208" s="3" t="s">
        <v>39</v>
      </c>
      <c r="F208" s="3" t="s">
        <v>32</v>
      </c>
      <c r="G208" s="3" t="s">
        <v>58</v>
      </c>
      <c r="H208" s="3" t="s">
        <v>59</v>
      </c>
      <c r="I208" s="5">
        <v>1060.56</v>
      </c>
      <c r="J208" s="4">
        <v>8</v>
      </c>
      <c r="K208" s="1">
        <v>23</v>
      </c>
      <c r="L208" s="4">
        <v>46.17</v>
      </c>
      <c r="M208" s="3" t="s">
        <v>51</v>
      </c>
      <c r="N208" s="3" t="s">
        <v>40</v>
      </c>
      <c r="O208" s="2" t="str">
        <f t="shared" si="15"/>
        <v>01-2025</v>
      </c>
      <c r="P208" t="str">
        <f t="shared" si="16"/>
        <v>2025</v>
      </c>
      <c r="Q208" s="6">
        <f t="shared" si="17"/>
        <v>4.3533604887983711E-2</v>
      </c>
      <c r="R208" t="str">
        <f t="shared" si="18"/>
        <v>Profit</v>
      </c>
      <c r="S208" t="str">
        <f t="shared" si="19"/>
        <v>High (&gt;20%)</v>
      </c>
    </row>
    <row r="209" spans="1:19" x14ac:dyDescent="0.3">
      <c r="A209" s="3" t="s">
        <v>289</v>
      </c>
      <c r="B209" s="2">
        <v>45523</v>
      </c>
      <c r="C209" s="3" t="s">
        <v>101</v>
      </c>
      <c r="D209" s="3" t="s">
        <v>16</v>
      </c>
      <c r="E209" s="3" t="s">
        <v>17</v>
      </c>
      <c r="F209" s="3" t="s">
        <v>32</v>
      </c>
      <c r="G209" s="3" t="s">
        <v>58</v>
      </c>
      <c r="H209" s="3" t="s">
        <v>59</v>
      </c>
      <c r="I209" s="5">
        <v>17271.36</v>
      </c>
      <c r="J209" s="4">
        <v>9</v>
      </c>
      <c r="K209" s="1">
        <v>19</v>
      </c>
      <c r="L209" s="4">
        <v>1929.15</v>
      </c>
      <c r="M209" s="3" t="s">
        <v>28</v>
      </c>
      <c r="N209" s="3" t="s">
        <v>22</v>
      </c>
      <c r="O209" s="2" t="str">
        <f t="shared" si="15"/>
        <v>08-2024</v>
      </c>
      <c r="P209" t="str">
        <f t="shared" si="16"/>
        <v>2024</v>
      </c>
      <c r="Q209" s="6">
        <f t="shared" si="17"/>
        <v>0.11169647323661831</v>
      </c>
      <c r="R209" t="str">
        <f t="shared" si="18"/>
        <v>Profit</v>
      </c>
      <c r="S209" t="str">
        <f t="shared" si="19"/>
        <v>Mid (11-20%)</v>
      </c>
    </row>
    <row r="210" spans="1:19" x14ac:dyDescent="0.3">
      <c r="A210" s="3" t="s">
        <v>290</v>
      </c>
      <c r="B210" s="2">
        <v>45758</v>
      </c>
      <c r="C210" s="3" t="s">
        <v>50</v>
      </c>
      <c r="D210" s="3" t="s">
        <v>56</v>
      </c>
      <c r="E210" s="3" t="s">
        <v>108</v>
      </c>
      <c r="F210" s="3" t="s">
        <v>62</v>
      </c>
      <c r="G210" s="3" t="s">
        <v>80</v>
      </c>
      <c r="H210" s="3" t="s">
        <v>81</v>
      </c>
      <c r="I210" s="5">
        <v>4685.04</v>
      </c>
      <c r="J210" s="4">
        <v>8</v>
      </c>
      <c r="K210" s="1">
        <v>7.0000000000000009</v>
      </c>
      <c r="L210" s="4">
        <v>271.33</v>
      </c>
      <c r="M210" s="3" t="s">
        <v>28</v>
      </c>
      <c r="N210" s="3" t="s">
        <v>35</v>
      </c>
      <c r="O210" s="2" t="str">
        <f t="shared" si="15"/>
        <v>04-2025</v>
      </c>
      <c r="P210" t="str">
        <f t="shared" si="16"/>
        <v>2025</v>
      </c>
      <c r="Q210" s="6">
        <f t="shared" si="17"/>
        <v>5.7914126667008174E-2</v>
      </c>
      <c r="R210" t="str">
        <f t="shared" si="18"/>
        <v>Profit</v>
      </c>
      <c r="S210" t="str">
        <f t="shared" si="19"/>
        <v>Low (1-10%)</v>
      </c>
    </row>
    <row r="211" spans="1:19" x14ac:dyDescent="0.3">
      <c r="A211" s="3" t="s">
        <v>291</v>
      </c>
      <c r="B211" s="2">
        <v>45547</v>
      </c>
      <c r="C211" s="3" t="s">
        <v>24</v>
      </c>
      <c r="D211" s="3" t="s">
        <v>16</v>
      </c>
      <c r="E211" s="3" t="s">
        <v>25</v>
      </c>
      <c r="F211" s="3" t="s">
        <v>62</v>
      </c>
      <c r="G211" s="3" t="s">
        <v>103</v>
      </c>
      <c r="H211" s="3" t="s">
        <v>104</v>
      </c>
      <c r="I211" s="5">
        <v>6836.25</v>
      </c>
      <c r="J211" s="4">
        <v>5</v>
      </c>
      <c r="K211" s="1">
        <v>23</v>
      </c>
      <c r="L211" s="4">
        <v>577.97</v>
      </c>
      <c r="M211" s="3" t="s">
        <v>21</v>
      </c>
      <c r="N211" s="3" t="s">
        <v>22</v>
      </c>
      <c r="O211" s="2" t="str">
        <f t="shared" si="15"/>
        <v>09-2024</v>
      </c>
      <c r="P211" t="str">
        <f t="shared" si="16"/>
        <v>2024</v>
      </c>
      <c r="Q211" s="6">
        <f t="shared" si="17"/>
        <v>8.4544889376485646E-2</v>
      </c>
      <c r="R211" t="str">
        <f t="shared" si="18"/>
        <v>Profit</v>
      </c>
      <c r="S211" t="str">
        <f t="shared" si="19"/>
        <v>High (&gt;20%)</v>
      </c>
    </row>
    <row r="212" spans="1:19" x14ac:dyDescent="0.3">
      <c r="A212" s="3" t="s">
        <v>292</v>
      </c>
      <c r="B212" s="2">
        <v>45579</v>
      </c>
      <c r="C212" s="3" t="s">
        <v>24</v>
      </c>
      <c r="D212" s="3" t="s">
        <v>38</v>
      </c>
      <c r="E212" s="3" t="s">
        <v>43</v>
      </c>
      <c r="F212" s="3" t="s">
        <v>18</v>
      </c>
      <c r="G212" s="3" t="s">
        <v>76</v>
      </c>
      <c r="H212" s="3" t="s">
        <v>77</v>
      </c>
      <c r="I212" s="5">
        <v>215.93</v>
      </c>
      <c r="J212" s="4">
        <v>1</v>
      </c>
      <c r="K212" s="1">
        <v>3</v>
      </c>
      <c r="L212" s="4">
        <v>49.7</v>
      </c>
      <c r="M212" s="3" t="s">
        <v>21</v>
      </c>
      <c r="N212" s="3" t="s">
        <v>40</v>
      </c>
      <c r="O212" s="2" t="str">
        <f t="shared" si="15"/>
        <v>10-2024</v>
      </c>
      <c r="P212" t="str">
        <f t="shared" si="16"/>
        <v>2024</v>
      </c>
      <c r="Q212" s="6">
        <f t="shared" si="17"/>
        <v>0.23016718380956791</v>
      </c>
      <c r="R212" t="str">
        <f t="shared" si="18"/>
        <v>Profit</v>
      </c>
      <c r="S212" t="str">
        <f t="shared" si="19"/>
        <v>Low (1-10%)</v>
      </c>
    </row>
    <row r="213" spans="1:19" x14ac:dyDescent="0.3">
      <c r="A213" s="3" t="s">
        <v>293</v>
      </c>
      <c r="B213" s="2">
        <v>45684</v>
      </c>
      <c r="C213" s="3" t="s">
        <v>84</v>
      </c>
      <c r="D213" s="3" t="s">
        <v>89</v>
      </c>
      <c r="E213" s="3" t="s">
        <v>97</v>
      </c>
      <c r="F213" s="3" t="s">
        <v>32</v>
      </c>
      <c r="G213" s="3" t="s">
        <v>47</v>
      </c>
      <c r="H213" s="3" t="s">
        <v>48</v>
      </c>
      <c r="I213" s="5">
        <v>14407.38</v>
      </c>
      <c r="J213" s="4">
        <v>9</v>
      </c>
      <c r="K213" s="1">
        <v>22</v>
      </c>
      <c r="L213" s="4">
        <v>1182.69</v>
      </c>
      <c r="M213" s="3" t="s">
        <v>28</v>
      </c>
      <c r="N213" s="3" t="s">
        <v>22</v>
      </c>
      <c r="O213" s="2" t="str">
        <f t="shared" si="15"/>
        <v>01-2025</v>
      </c>
      <c r="P213" t="str">
        <f t="shared" si="16"/>
        <v>2025</v>
      </c>
      <c r="Q213" s="6">
        <f t="shared" si="17"/>
        <v>8.2089179295611006E-2</v>
      </c>
      <c r="R213" t="str">
        <f t="shared" si="18"/>
        <v>Profit</v>
      </c>
      <c r="S213" t="str">
        <f t="shared" si="19"/>
        <v>High (&gt;20%)</v>
      </c>
    </row>
    <row r="214" spans="1:19" x14ac:dyDescent="0.3">
      <c r="A214" s="3" t="s">
        <v>294</v>
      </c>
      <c r="B214" s="2">
        <v>45625</v>
      </c>
      <c r="C214" s="3" t="s">
        <v>133</v>
      </c>
      <c r="D214" s="3" t="s">
        <v>38</v>
      </c>
      <c r="E214" s="3" t="s">
        <v>71</v>
      </c>
      <c r="F214" s="3" t="s">
        <v>62</v>
      </c>
      <c r="G214" s="3" t="s">
        <v>80</v>
      </c>
      <c r="H214" s="3" t="s">
        <v>81</v>
      </c>
      <c r="I214" s="5">
        <v>10486.8</v>
      </c>
      <c r="J214" s="4">
        <v>6</v>
      </c>
      <c r="K214" s="1">
        <v>23</v>
      </c>
      <c r="L214" s="4">
        <v>1813.34</v>
      </c>
      <c r="M214" s="3" t="s">
        <v>28</v>
      </c>
      <c r="N214" s="3" t="s">
        <v>44</v>
      </c>
      <c r="O214" s="2" t="str">
        <f t="shared" si="15"/>
        <v>11-2024</v>
      </c>
      <c r="P214" t="str">
        <f t="shared" si="16"/>
        <v>2024</v>
      </c>
      <c r="Q214" s="6">
        <f t="shared" si="17"/>
        <v>0.17291642827173209</v>
      </c>
      <c r="R214" t="str">
        <f t="shared" si="18"/>
        <v>Profit</v>
      </c>
      <c r="S214" t="str">
        <f t="shared" si="19"/>
        <v>High (&gt;20%)</v>
      </c>
    </row>
    <row r="215" spans="1:19" x14ac:dyDescent="0.3">
      <c r="A215" s="3" t="s">
        <v>295</v>
      </c>
      <c r="B215" s="2">
        <v>45558</v>
      </c>
      <c r="C215" s="3" t="s">
        <v>37</v>
      </c>
      <c r="D215" s="3" t="s">
        <v>16</v>
      </c>
      <c r="E215" s="3" t="s">
        <v>31</v>
      </c>
      <c r="F215" s="3" t="s">
        <v>18</v>
      </c>
      <c r="G215" s="3" t="s">
        <v>76</v>
      </c>
      <c r="H215" s="3" t="s">
        <v>77</v>
      </c>
      <c r="I215" s="5">
        <v>4445.3500000000004</v>
      </c>
      <c r="J215" s="4">
        <v>7</v>
      </c>
      <c r="K215" s="1">
        <v>16</v>
      </c>
      <c r="L215" s="4">
        <v>877.73</v>
      </c>
      <c r="M215" s="3" t="s">
        <v>51</v>
      </c>
      <c r="N215" s="3" t="s">
        <v>44</v>
      </c>
      <c r="O215" s="2" t="str">
        <f t="shared" si="15"/>
        <v>09-2024</v>
      </c>
      <c r="P215" t="str">
        <f t="shared" si="16"/>
        <v>2024</v>
      </c>
      <c r="Q215" s="6">
        <f t="shared" si="17"/>
        <v>0.19744901976222343</v>
      </c>
      <c r="R215" t="str">
        <f t="shared" si="18"/>
        <v>Profit</v>
      </c>
      <c r="S215" t="str">
        <f t="shared" si="19"/>
        <v>Mid (11-20%)</v>
      </c>
    </row>
    <row r="216" spans="1:19" x14ac:dyDescent="0.3">
      <c r="A216" s="3" t="s">
        <v>296</v>
      </c>
      <c r="B216" s="2">
        <v>45623</v>
      </c>
      <c r="C216" s="3" t="s">
        <v>50</v>
      </c>
      <c r="D216" s="3" t="s">
        <v>38</v>
      </c>
      <c r="E216" s="3" t="s">
        <v>53</v>
      </c>
      <c r="F216" s="3" t="s">
        <v>62</v>
      </c>
      <c r="G216" s="3" t="s">
        <v>67</v>
      </c>
      <c r="H216" s="3" t="s">
        <v>68</v>
      </c>
      <c r="I216" s="5">
        <v>7692.25</v>
      </c>
      <c r="J216" s="4">
        <v>5</v>
      </c>
      <c r="K216" s="1">
        <v>16</v>
      </c>
      <c r="L216" s="4">
        <v>1235.53</v>
      </c>
      <c r="M216" s="3" t="s">
        <v>28</v>
      </c>
      <c r="N216" s="3" t="s">
        <v>35</v>
      </c>
      <c r="O216" s="2" t="str">
        <f t="shared" si="15"/>
        <v>11-2024</v>
      </c>
      <c r="P216" t="str">
        <f t="shared" si="16"/>
        <v>2024</v>
      </c>
      <c r="Q216" s="6">
        <f t="shared" si="17"/>
        <v>0.16062010465078488</v>
      </c>
      <c r="R216" t="str">
        <f t="shared" si="18"/>
        <v>Profit</v>
      </c>
      <c r="S216" t="str">
        <f t="shared" si="19"/>
        <v>Mid (11-20%)</v>
      </c>
    </row>
    <row r="217" spans="1:19" x14ac:dyDescent="0.3">
      <c r="A217" s="3" t="s">
        <v>297</v>
      </c>
      <c r="B217" s="2">
        <v>45549</v>
      </c>
      <c r="C217" s="3" t="s">
        <v>99</v>
      </c>
      <c r="D217" s="3" t="s">
        <v>56</v>
      </c>
      <c r="E217" s="3" t="s">
        <v>57</v>
      </c>
      <c r="F217" s="3" t="s">
        <v>18</v>
      </c>
      <c r="G217" s="3" t="s">
        <v>19</v>
      </c>
      <c r="H217" s="3" t="s">
        <v>20</v>
      </c>
      <c r="I217" s="5">
        <v>3414.66</v>
      </c>
      <c r="J217" s="4">
        <v>2</v>
      </c>
      <c r="K217" s="1">
        <v>18</v>
      </c>
      <c r="L217" s="4">
        <v>328.18</v>
      </c>
      <c r="M217" s="3" t="s">
        <v>51</v>
      </c>
      <c r="N217" s="3" t="s">
        <v>40</v>
      </c>
      <c r="O217" s="2" t="str">
        <f t="shared" si="15"/>
        <v>09-2024</v>
      </c>
      <c r="P217" t="str">
        <f t="shared" si="16"/>
        <v>2024</v>
      </c>
      <c r="Q217" s="6">
        <f t="shared" si="17"/>
        <v>9.6109129459448384E-2</v>
      </c>
      <c r="R217" t="str">
        <f t="shared" si="18"/>
        <v>Profit</v>
      </c>
      <c r="S217" t="str">
        <f t="shared" si="19"/>
        <v>Mid (11-20%)</v>
      </c>
    </row>
    <row r="218" spans="1:19" x14ac:dyDescent="0.3">
      <c r="A218" s="3" t="s">
        <v>298</v>
      </c>
      <c r="B218" s="2">
        <v>45629</v>
      </c>
      <c r="C218" s="3" t="s">
        <v>30</v>
      </c>
      <c r="D218" s="3" t="s">
        <v>16</v>
      </c>
      <c r="E218" s="3" t="s">
        <v>31</v>
      </c>
      <c r="F218" s="3" t="s">
        <v>18</v>
      </c>
      <c r="G218" s="3" t="s">
        <v>76</v>
      </c>
      <c r="H218" s="3" t="s">
        <v>77</v>
      </c>
      <c r="I218" s="5">
        <v>2605.9499999999998</v>
      </c>
      <c r="J218" s="4">
        <v>3</v>
      </c>
      <c r="K218" s="1">
        <v>18</v>
      </c>
      <c r="L218" s="4">
        <v>301.38</v>
      </c>
      <c r="M218" s="3" t="s">
        <v>28</v>
      </c>
      <c r="N218" s="3" t="s">
        <v>40</v>
      </c>
      <c r="O218" s="2" t="str">
        <f t="shared" si="15"/>
        <v>12-2024</v>
      </c>
      <c r="P218" t="str">
        <f t="shared" si="16"/>
        <v>2024</v>
      </c>
      <c r="Q218" s="6">
        <f t="shared" si="17"/>
        <v>0.11565072238531054</v>
      </c>
      <c r="R218" t="str">
        <f t="shared" si="18"/>
        <v>Profit</v>
      </c>
      <c r="S218" t="str">
        <f t="shared" si="19"/>
        <v>Mid (11-20%)</v>
      </c>
    </row>
    <row r="219" spans="1:19" x14ac:dyDescent="0.3">
      <c r="A219" s="3" t="s">
        <v>299</v>
      </c>
      <c r="B219" s="2">
        <v>45479</v>
      </c>
      <c r="C219" s="3" t="s">
        <v>86</v>
      </c>
      <c r="D219" s="3" t="s">
        <v>38</v>
      </c>
      <c r="E219" s="3" t="s">
        <v>39</v>
      </c>
      <c r="F219" s="3" t="s">
        <v>62</v>
      </c>
      <c r="G219" s="3" t="s">
        <v>67</v>
      </c>
      <c r="H219" s="3" t="s">
        <v>68</v>
      </c>
      <c r="I219" s="5">
        <v>17874.900000000001</v>
      </c>
      <c r="J219" s="4">
        <v>10</v>
      </c>
      <c r="K219" s="1">
        <v>27</v>
      </c>
      <c r="L219" s="4">
        <v>1396.63</v>
      </c>
      <c r="M219" s="3" t="s">
        <v>21</v>
      </c>
      <c r="N219" s="3" t="s">
        <v>44</v>
      </c>
      <c r="O219" s="2" t="str">
        <f t="shared" si="15"/>
        <v>07-2024</v>
      </c>
      <c r="P219" t="str">
        <f t="shared" si="16"/>
        <v>2024</v>
      </c>
      <c r="Q219" s="6">
        <f t="shared" si="17"/>
        <v>7.8133583964106093E-2</v>
      </c>
      <c r="R219" t="str">
        <f t="shared" si="18"/>
        <v>Profit</v>
      </c>
      <c r="S219" t="str">
        <f t="shared" si="19"/>
        <v>High (&gt;20%)</v>
      </c>
    </row>
    <row r="220" spans="1:19" x14ac:dyDescent="0.3">
      <c r="A220" s="3" t="s">
        <v>300</v>
      </c>
      <c r="B220" s="2">
        <v>45463</v>
      </c>
      <c r="C220" s="3" t="s">
        <v>50</v>
      </c>
      <c r="D220" s="3" t="s">
        <v>16</v>
      </c>
      <c r="E220" s="3" t="s">
        <v>25</v>
      </c>
      <c r="F220" s="3" t="s">
        <v>32</v>
      </c>
      <c r="G220" s="3" t="s">
        <v>112</v>
      </c>
      <c r="H220" s="3" t="s">
        <v>113</v>
      </c>
      <c r="I220" s="5">
        <v>5003.25</v>
      </c>
      <c r="J220" s="4">
        <v>3</v>
      </c>
      <c r="K220" s="1">
        <v>27</v>
      </c>
      <c r="L220" s="4">
        <v>750.73</v>
      </c>
      <c r="M220" s="3" t="s">
        <v>51</v>
      </c>
      <c r="N220" s="3" t="s">
        <v>44</v>
      </c>
      <c r="O220" s="2" t="str">
        <f t="shared" si="15"/>
        <v>06-2024</v>
      </c>
      <c r="P220" t="str">
        <f t="shared" si="16"/>
        <v>2024</v>
      </c>
      <c r="Q220" s="6">
        <f t="shared" si="17"/>
        <v>0.15004846849547795</v>
      </c>
      <c r="R220" t="str">
        <f t="shared" si="18"/>
        <v>Profit</v>
      </c>
      <c r="S220" t="str">
        <f t="shared" si="19"/>
        <v>High (&gt;20%)</v>
      </c>
    </row>
    <row r="221" spans="1:19" x14ac:dyDescent="0.3">
      <c r="A221" s="3" t="s">
        <v>301</v>
      </c>
      <c r="B221" s="2">
        <v>45608</v>
      </c>
      <c r="C221" s="3" t="s">
        <v>42</v>
      </c>
      <c r="D221" s="3" t="s">
        <v>16</v>
      </c>
      <c r="E221" s="3" t="s">
        <v>17</v>
      </c>
      <c r="F221" s="3" t="s">
        <v>32</v>
      </c>
      <c r="G221" s="3" t="s">
        <v>47</v>
      </c>
      <c r="H221" s="3" t="s">
        <v>48</v>
      </c>
      <c r="I221" s="5">
        <v>8370.8799999999992</v>
      </c>
      <c r="J221" s="4">
        <v>8</v>
      </c>
      <c r="K221" s="1">
        <v>23</v>
      </c>
      <c r="L221" s="4">
        <v>1136.53</v>
      </c>
      <c r="M221" s="3" t="s">
        <v>28</v>
      </c>
      <c r="N221" s="3" t="s">
        <v>35</v>
      </c>
      <c r="O221" s="2" t="str">
        <f t="shared" si="15"/>
        <v>11-2024</v>
      </c>
      <c r="P221" t="str">
        <f t="shared" si="16"/>
        <v>2024</v>
      </c>
      <c r="Q221" s="6">
        <f t="shared" si="17"/>
        <v>0.13577186627929203</v>
      </c>
      <c r="R221" t="str">
        <f t="shared" si="18"/>
        <v>Profit</v>
      </c>
      <c r="S221" t="str">
        <f t="shared" si="19"/>
        <v>High (&gt;20%)</v>
      </c>
    </row>
    <row r="222" spans="1:19" x14ac:dyDescent="0.3">
      <c r="A222" s="3" t="s">
        <v>302</v>
      </c>
      <c r="B222" s="2">
        <v>45432</v>
      </c>
      <c r="C222" s="3" t="s">
        <v>15</v>
      </c>
      <c r="D222" s="3" t="s">
        <v>89</v>
      </c>
      <c r="E222" s="3" t="s">
        <v>97</v>
      </c>
      <c r="F222" s="3" t="s">
        <v>32</v>
      </c>
      <c r="G222" s="3" t="s">
        <v>112</v>
      </c>
      <c r="H222" s="3" t="s">
        <v>113</v>
      </c>
      <c r="I222" s="5">
        <v>9669.65</v>
      </c>
      <c r="J222" s="4">
        <v>5</v>
      </c>
      <c r="K222" s="1">
        <v>3</v>
      </c>
      <c r="L222" s="4">
        <v>1033.82</v>
      </c>
      <c r="M222" s="3" t="s">
        <v>28</v>
      </c>
      <c r="N222" s="3" t="s">
        <v>22</v>
      </c>
      <c r="O222" s="2" t="str">
        <f t="shared" si="15"/>
        <v>05-2024</v>
      </c>
      <c r="P222" t="str">
        <f t="shared" si="16"/>
        <v>2024</v>
      </c>
      <c r="Q222" s="6">
        <f t="shared" si="17"/>
        <v>0.10691390070995331</v>
      </c>
      <c r="R222" t="str">
        <f t="shared" si="18"/>
        <v>Profit</v>
      </c>
      <c r="S222" t="str">
        <f t="shared" si="19"/>
        <v>Low (1-10%)</v>
      </c>
    </row>
    <row r="223" spans="1:19" x14ac:dyDescent="0.3">
      <c r="A223" s="3" t="s">
        <v>303</v>
      </c>
      <c r="B223" s="2">
        <v>45664</v>
      </c>
      <c r="C223" s="3" t="s">
        <v>15</v>
      </c>
      <c r="D223" s="3" t="s">
        <v>89</v>
      </c>
      <c r="E223" s="3" t="s">
        <v>90</v>
      </c>
      <c r="F223" s="3" t="s">
        <v>32</v>
      </c>
      <c r="G223" s="3" t="s">
        <v>112</v>
      </c>
      <c r="H223" s="3" t="s">
        <v>113</v>
      </c>
      <c r="I223" s="5">
        <v>9181.92</v>
      </c>
      <c r="J223" s="4">
        <v>8</v>
      </c>
      <c r="K223" s="1">
        <v>10</v>
      </c>
      <c r="L223" s="4">
        <v>979.43</v>
      </c>
      <c r="M223" s="3" t="s">
        <v>28</v>
      </c>
      <c r="N223" s="3" t="s">
        <v>40</v>
      </c>
      <c r="O223" s="2" t="str">
        <f t="shared" si="15"/>
        <v>01-2025</v>
      </c>
      <c r="P223" t="str">
        <f t="shared" si="16"/>
        <v>2025</v>
      </c>
      <c r="Q223" s="6">
        <f t="shared" si="17"/>
        <v>0.10666941119068778</v>
      </c>
      <c r="R223" t="str">
        <f t="shared" si="18"/>
        <v>Profit</v>
      </c>
      <c r="S223" t="str">
        <f t="shared" si="19"/>
        <v>Low (1-10%)</v>
      </c>
    </row>
    <row r="224" spans="1:19" x14ac:dyDescent="0.3">
      <c r="A224" s="3" t="s">
        <v>304</v>
      </c>
      <c r="B224" s="2">
        <v>45677</v>
      </c>
      <c r="C224" s="3" t="s">
        <v>70</v>
      </c>
      <c r="D224" s="3" t="s">
        <v>89</v>
      </c>
      <c r="E224" s="3" t="s">
        <v>116</v>
      </c>
      <c r="F224" s="3" t="s">
        <v>62</v>
      </c>
      <c r="G224" s="3" t="s">
        <v>63</v>
      </c>
      <c r="H224" s="3" t="s">
        <v>64</v>
      </c>
      <c r="I224" s="5">
        <v>3552.7</v>
      </c>
      <c r="J224" s="4">
        <v>10</v>
      </c>
      <c r="K224" s="1">
        <v>18</v>
      </c>
      <c r="L224" s="4">
        <v>249.77</v>
      </c>
      <c r="M224" s="3" t="s">
        <v>21</v>
      </c>
      <c r="N224" s="3" t="s">
        <v>40</v>
      </c>
      <c r="O224" s="2" t="str">
        <f t="shared" si="15"/>
        <v>01-2025</v>
      </c>
      <c r="P224" t="str">
        <f t="shared" si="16"/>
        <v>2025</v>
      </c>
      <c r="Q224" s="6">
        <f t="shared" si="17"/>
        <v>7.0304275621358409E-2</v>
      </c>
      <c r="R224" t="str">
        <f t="shared" si="18"/>
        <v>Profit</v>
      </c>
      <c r="S224" t="str">
        <f t="shared" si="19"/>
        <v>Mid (11-20%)</v>
      </c>
    </row>
    <row r="225" spans="1:19" x14ac:dyDescent="0.3">
      <c r="A225" s="3" t="s">
        <v>305</v>
      </c>
      <c r="B225" s="2">
        <v>45709</v>
      </c>
      <c r="C225" s="3" t="s">
        <v>101</v>
      </c>
      <c r="D225" s="3" t="s">
        <v>38</v>
      </c>
      <c r="E225" s="3" t="s">
        <v>39</v>
      </c>
      <c r="F225" s="3" t="s">
        <v>32</v>
      </c>
      <c r="G225" s="3" t="s">
        <v>33</v>
      </c>
      <c r="H225" s="3" t="s">
        <v>34</v>
      </c>
      <c r="I225" s="5">
        <v>1928.3</v>
      </c>
      <c r="J225" s="4">
        <v>10</v>
      </c>
      <c r="K225" s="1">
        <v>12</v>
      </c>
      <c r="L225" s="4">
        <v>278.29000000000002</v>
      </c>
      <c r="M225" s="3" t="s">
        <v>28</v>
      </c>
      <c r="N225" s="3" t="s">
        <v>22</v>
      </c>
      <c r="O225" s="2" t="str">
        <f t="shared" si="15"/>
        <v>02-2025</v>
      </c>
      <c r="P225" t="str">
        <f t="shared" si="16"/>
        <v>2025</v>
      </c>
      <c r="Q225" s="6">
        <f t="shared" si="17"/>
        <v>0.14431883005756366</v>
      </c>
      <c r="R225" t="str">
        <f t="shared" si="18"/>
        <v>Profit</v>
      </c>
      <c r="S225" t="str">
        <f t="shared" si="19"/>
        <v>Mid (11-20%)</v>
      </c>
    </row>
    <row r="226" spans="1:19" x14ac:dyDescent="0.3">
      <c r="A226" s="3" t="s">
        <v>306</v>
      </c>
      <c r="B226" s="2">
        <v>45732</v>
      </c>
      <c r="C226" s="3" t="s">
        <v>73</v>
      </c>
      <c r="D226" s="3" t="s">
        <v>89</v>
      </c>
      <c r="E226" s="3" t="s">
        <v>102</v>
      </c>
      <c r="F226" s="3" t="s">
        <v>62</v>
      </c>
      <c r="G226" s="3" t="s">
        <v>103</v>
      </c>
      <c r="H226" s="3" t="s">
        <v>104</v>
      </c>
      <c r="I226" s="5">
        <v>343.38</v>
      </c>
      <c r="J226" s="4">
        <v>2</v>
      </c>
      <c r="K226" s="1">
        <v>24</v>
      </c>
      <c r="L226" s="4">
        <v>23.8</v>
      </c>
      <c r="M226" s="3" t="s">
        <v>28</v>
      </c>
      <c r="N226" s="3" t="s">
        <v>35</v>
      </c>
      <c r="O226" s="2" t="str">
        <f t="shared" si="15"/>
        <v>03-2025</v>
      </c>
      <c r="P226" t="str">
        <f t="shared" si="16"/>
        <v>2025</v>
      </c>
      <c r="Q226" s="6">
        <f t="shared" si="17"/>
        <v>6.9310967441318663E-2</v>
      </c>
      <c r="R226" t="str">
        <f t="shared" si="18"/>
        <v>Profit</v>
      </c>
      <c r="S226" t="str">
        <f t="shared" si="19"/>
        <v>High (&gt;20%)</v>
      </c>
    </row>
    <row r="227" spans="1:19" x14ac:dyDescent="0.3">
      <c r="A227" s="3" t="s">
        <v>307</v>
      </c>
      <c r="B227" s="2">
        <v>45681</v>
      </c>
      <c r="C227" s="3" t="s">
        <v>30</v>
      </c>
      <c r="D227" s="3" t="s">
        <v>38</v>
      </c>
      <c r="E227" s="3" t="s">
        <v>43</v>
      </c>
      <c r="F227" s="3" t="s">
        <v>18</v>
      </c>
      <c r="G227" s="3" t="s">
        <v>26</v>
      </c>
      <c r="H227" s="3" t="s">
        <v>27</v>
      </c>
      <c r="I227" s="5">
        <v>9572.48</v>
      </c>
      <c r="J227" s="4">
        <v>8</v>
      </c>
      <c r="K227" s="1">
        <v>23</v>
      </c>
      <c r="L227" s="4">
        <v>1171.74</v>
      </c>
      <c r="M227" s="3" t="s">
        <v>21</v>
      </c>
      <c r="N227" s="3" t="s">
        <v>44</v>
      </c>
      <c r="O227" s="2" t="str">
        <f t="shared" si="15"/>
        <v>01-2025</v>
      </c>
      <c r="P227" t="str">
        <f t="shared" si="16"/>
        <v>2025</v>
      </c>
      <c r="Q227" s="6">
        <f t="shared" si="17"/>
        <v>0.12240715049809454</v>
      </c>
      <c r="R227" t="str">
        <f t="shared" si="18"/>
        <v>Profit</v>
      </c>
      <c r="S227" t="str">
        <f t="shared" si="19"/>
        <v>High (&gt;20%)</v>
      </c>
    </row>
    <row r="228" spans="1:19" x14ac:dyDescent="0.3">
      <c r="A228" s="3" t="s">
        <v>308</v>
      </c>
      <c r="B228" s="2">
        <v>45480</v>
      </c>
      <c r="C228" s="3" t="s">
        <v>99</v>
      </c>
      <c r="D228" s="3" t="s">
        <v>89</v>
      </c>
      <c r="E228" s="3" t="s">
        <v>140</v>
      </c>
      <c r="F228" s="3" t="s">
        <v>32</v>
      </c>
      <c r="G228" s="3" t="s">
        <v>58</v>
      </c>
      <c r="H228" s="3" t="s">
        <v>59</v>
      </c>
      <c r="I228" s="5">
        <v>739.16</v>
      </c>
      <c r="J228" s="4">
        <v>4</v>
      </c>
      <c r="K228" s="1">
        <v>13</v>
      </c>
      <c r="L228" s="4">
        <v>127.81</v>
      </c>
      <c r="M228" s="3" t="s">
        <v>21</v>
      </c>
      <c r="N228" s="3" t="s">
        <v>40</v>
      </c>
      <c r="O228" s="2" t="str">
        <f t="shared" si="15"/>
        <v>07-2024</v>
      </c>
      <c r="P228" t="str">
        <f t="shared" si="16"/>
        <v>2024</v>
      </c>
      <c r="Q228" s="6">
        <f t="shared" si="17"/>
        <v>0.1729124952648953</v>
      </c>
      <c r="R228" t="str">
        <f t="shared" si="18"/>
        <v>Profit</v>
      </c>
      <c r="S228" t="str">
        <f t="shared" si="19"/>
        <v>Mid (11-20%)</v>
      </c>
    </row>
    <row r="229" spans="1:19" x14ac:dyDescent="0.3">
      <c r="A229" s="3" t="s">
        <v>309</v>
      </c>
      <c r="B229" s="2">
        <v>45526</v>
      </c>
      <c r="C229" s="3" t="s">
        <v>75</v>
      </c>
      <c r="D229" s="3" t="s">
        <v>56</v>
      </c>
      <c r="E229" s="3" t="s">
        <v>57</v>
      </c>
      <c r="F229" s="3" t="s">
        <v>18</v>
      </c>
      <c r="G229" s="3" t="s">
        <v>94</v>
      </c>
      <c r="H229" s="3" t="s">
        <v>95</v>
      </c>
      <c r="I229" s="5">
        <v>2875.23</v>
      </c>
      <c r="J229" s="4">
        <v>3</v>
      </c>
      <c r="K229" s="1">
        <v>30</v>
      </c>
      <c r="L229" s="4">
        <v>360.89</v>
      </c>
      <c r="M229" s="3" t="s">
        <v>51</v>
      </c>
      <c r="N229" s="3" t="s">
        <v>40</v>
      </c>
      <c r="O229" s="2" t="str">
        <f t="shared" si="15"/>
        <v>08-2024</v>
      </c>
      <c r="P229" t="str">
        <f t="shared" si="16"/>
        <v>2024</v>
      </c>
      <c r="Q229" s="6">
        <f t="shared" si="17"/>
        <v>0.12551691516852564</v>
      </c>
      <c r="R229" t="str">
        <f t="shared" si="18"/>
        <v>Profit</v>
      </c>
      <c r="S229" t="str">
        <f t="shared" si="19"/>
        <v>High (&gt;20%)</v>
      </c>
    </row>
    <row r="230" spans="1:19" x14ac:dyDescent="0.3">
      <c r="A230" s="3" t="s">
        <v>310</v>
      </c>
      <c r="B230" s="2">
        <v>45549</v>
      </c>
      <c r="C230" s="3" t="s">
        <v>37</v>
      </c>
      <c r="D230" s="3" t="s">
        <v>89</v>
      </c>
      <c r="E230" s="3" t="s">
        <v>102</v>
      </c>
      <c r="F230" s="3" t="s">
        <v>32</v>
      </c>
      <c r="G230" s="3" t="s">
        <v>58</v>
      </c>
      <c r="H230" s="3" t="s">
        <v>59</v>
      </c>
      <c r="I230" s="5">
        <v>7136.99</v>
      </c>
      <c r="J230" s="4">
        <v>7</v>
      </c>
      <c r="K230" s="1">
        <v>20</v>
      </c>
      <c r="L230" s="4">
        <v>641.97</v>
      </c>
      <c r="M230" s="3" t="s">
        <v>51</v>
      </c>
      <c r="N230" s="3" t="s">
        <v>35</v>
      </c>
      <c r="O230" s="2" t="str">
        <f t="shared" si="15"/>
        <v>09-2024</v>
      </c>
      <c r="P230" t="str">
        <f t="shared" si="16"/>
        <v>2024</v>
      </c>
      <c r="Q230" s="6">
        <f t="shared" si="17"/>
        <v>8.9949684670988753E-2</v>
      </c>
      <c r="R230" t="str">
        <f t="shared" si="18"/>
        <v>Profit</v>
      </c>
      <c r="S230" t="str">
        <f t="shared" si="19"/>
        <v>Mid (11-20%)</v>
      </c>
    </row>
    <row r="231" spans="1:19" x14ac:dyDescent="0.3">
      <c r="A231" s="3" t="s">
        <v>311</v>
      </c>
      <c r="B231" s="2">
        <v>45741</v>
      </c>
      <c r="C231" s="3" t="s">
        <v>75</v>
      </c>
      <c r="D231" s="3" t="s">
        <v>56</v>
      </c>
      <c r="E231" s="3" t="s">
        <v>61</v>
      </c>
      <c r="F231" s="3" t="s">
        <v>62</v>
      </c>
      <c r="G231" s="3" t="s">
        <v>80</v>
      </c>
      <c r="H231" s="3" t="s">
        <v>81</v>
      </c>
      <c r="I231" s="5">
        <v>1971.63</v>
      </c>
      <c r="J231" s="4">
        <v>9</v>
      </c>
      <c r="K231" s="1">
        <v>20</v>
      </c>
      <c r="L231" s="4">
        <v>288.76</v>
      </c>
      <c r="M231" s="3" t="s">
        <v>21</v>
      </c>
      <c r="N231" s="3" t="s">
        <v>22</v>
      </c>
      <c r="O231" s="2" t="str">
        <f t="shared" si="15"/>
        <v>03-2025</v>
      </c>
      <c r="P231" t="str">
        <f t="shared" si="16"/>
        <v>2025</v>
      </c>
      <c r="Q231" s="6">
        <f t="shared" si="17"/>
        <v>0.14645749963228394</v>
      </c>
      <c r="R231" t="str">
        <f t="shared" si="18"/>
        <v>Profit</v>
      </c>
      <c r="S231" t="str">
        <f t="shared" si="19"/>
        <v>Mid (11-20%)</v>
      </c>
    </row>
    <row r="232" spans="1:19" x14ac:dyDescent="0.3">
      <c r="A232" s="3" t="s">
        <v>312</v>
      </c>
      <c r="B232" s="2">
        <v>45697</v>
      </c>
      <c r="C232" s="3" t="s">
        <v>50</v>
      </c>
      <c r="D232" s="3" t="s">
        <v>16</v>
      </c>
      <c r="E232" s="3" t="s">
        <v>17</v>
      </c>
      <c r="F232" s="3" t="s">
        <v>62</v>
      </c>
      <c r="G232" s="3" t="s">
        <v>63</v>
      </c>
      <c r="H232" s="3" t="s">
        <v>64</v>
      </c>
      <c r="I232" s="5">
        <v>5002.2</v>
      </c>
      <c r="J232" s="4">
        <v>4</v>
      </c>
      <c r="K232" s="1">
        <v>25</v>
      </c>
      <c r="L232" s="4">
        <v>718.97</v>
      </c>
      <c r="M232" s="3" t="s">
        <v>51</v>
      </c>
      <c r="N232" s="3" t="s">
        <v>22</v>
      </c>
      <c r="O232" s="2" t="str">
        <f t="shared" si="15"/>
        <v>02-2025</v>
      </c>
      <c r="P232" t="str">
        <f t="shared" si="16"/>
        <v>2025</v>
      </c>
      <c r="Q232" s="6">
        <f t="shared" si="17"/>
        <v>0.14373075846627484</v>
      </c>
      <c r="R232" t="str">
        <f t="shared" si="18"/>
        <v>Profit</v>
      </c>
      <c r="S232" t="str">
        <f t="shared" si="19"/>
        <v>High (&gt;20%)</v>
      </c>
    </row>
    <row r="233" spans="1:19" x14ac:dyDescent="0.3">
      <c r="A233" s="3" t="s">
        <v>313</v>
      </c>
      <c r="B233" s="2">
        <v>45657</v>
      </c>
      <c r="C233" s="3" t="s">
        <v>133</v>
      </c>
      <c r="D233" s="3" t="s">
        <v>38</v>
      </c>
      <c r="E233" s="3" t="s">
        <v>43</v>
      </c>
      <c r="F233" s="3" t="s">
        <v>18</v>
      </c>
      <c r="G233" s="3" t="s">
        <v>19</v>
      </c>
      <c r="H233" s="3" t="s">
        <v>20</v>
      </c>
      <c r="I233" s="5">
        <v>2988.94</v>
      </c>
      <c r="J233" s="4">
        <v>2</v>
      </c>
      <c r="K233" s="1">
        <v>20</v>
      </c>
      <c r="L233" s="4">
        <v>492.27</v>
      </c>
      <c r="M233" s="3" t="s">
        <v>21</v>
      </c>
      <c r="N233" s="3" t="s">
        <v>35</v>
      </c>
      <c r="O233" s="2" t="str">
        <f t="shared" si="15"/>
        <v>12-2024</v>
      </c>
      <c r="P233" t="str">
        <f t="shared" si="16"/>
        <v>2024</v>
      </c>
      <c r="Q233" s="6">
        <f t="shared" si="17"/>
        <v>0.16469718361693442</v>
      </c>
      <c r="R233" t="str">
        <f t="shared" si="18"/>
        <v>Profit</v>
      </c>
      <c r="S233" t="str">
        <f t="shared" si="19"/>
        <v>Mid (11-20%)</v>
      </c>
    </row>
    <row r="234" spans="1:19" x14ac:dyDescent="0.3">
      <c r="A234" s="3" t="s">
        <v>314</v>
      </c>
      <c r="B234" s="2">
        <v>45699</v>
      </c>
      <c r="C234" s="3" t="s">
        <v>15</v>
      </c>
      <c r="D234" s="3" t="s">
        <v>38</v>
      </c>
      <c r="E234" s="3" t="s">
        <v>43</v>
      </c>
      <c r="F234" s="3" t="s">
        <v>18</v>
      </c>
      <c r="G234" s="3" t="s">
        <v>76</v>
      </c>
      <c r="H234" s="3" t="s">
        <v>77</v>
      </c>
      <c r="I234" s="5">
        <v>6342.48</v>
      </c>
      <c r="J234" s="4">
        <v>8</v>
      </c>
      <c r="K234" s="1">
        <v>27</v>
      </c>
      <c r="L234" s="4">
        <v>249.15</v>
      </c>
      <c r="M234" s="3" t="s">
        <v>51</v>
      </c>
      <c r="N234" s="3" t="s">
        <v>44</v>
      </c>
      <c r="O234" s="2" t="str">
        <f t="shared" si="15"/>
        <v>02-2025</v>
      </c>
      <c r="P234" t="str">
        <f t="shared" si="16"/>
        <v>2025</v>
      </c>
      <c r="Q234" s="6">
        <f t="shared" si="17"/>
        <v>3.9282741135959441E-2</v>
      </c>
      <c r="R234" t="str">
        <f t="shared" si="18"/>
        <v>Profit</v>
      </c>
      <c r="S234" t="str">
        <f t="shared" si="19"/>
        <v>High (&gt;20%)</v>
      </c>
    </row>
    <row r="235" spans="1:19" x14ac:dyDescent="0.3">
      <c r="A235" s="3" t="s">
        <v>315</v>
      </c>
      <c r="B235" s="2">
        <v>45438</v>
      </c>
      <c r="C235" s="3" t="s">
        <v>84</v>
      </c>
      <c r="D235" s="3" t="s">
        <v>56</v>
      </c>
      <c r="E235" s="3" t="s">
        <v>108</v>
      </c>
      <c r="F235" s="3" t="s">
        <v>18</v>
      </c>
      <c r="G235" s="3" t="s">
        <v>19</v>
      </c>
      <c r="H235" s="3" t="s">
        <v>20</v>
      </c>
      <c r="I235" s="5">
        <v>5731.28</v>
      </c>
      <c r="J235" s="4">
        <v>8</v>
      </c>
      <c r="K235" s="1">
        <v>2</v>
      </c>
      <c r="L235" s="4">
        <v>651.47</v>
      </c>
      <c r="M235" s="3" t="s">
        <v>21</v>
      </c>
      <c r="N235" s="3" t="s">
        <v>40</v>
      </c>
      <c r="O235" s="2" t="str">
        <f t="shared" si="15"/>
        <v>05-2024</v>
      </c>
      <c r="P235" t="str">
        <f t="shared" si="16"/>
        <v>2024</v>
      </c>
      <c r="Q235" s="6">
        <f t="shared" si="17"/>
        <v>0.11366919780572578</v>
      </c>
      <c r="R235" t="str">
        <f t="shared" si="18"/>
        <v>Profit</v>
      </c>
      <c r="S235" t="str">
        <f t="shared" si="19"/>
        <v>Low (1-10%)</v>
      </c>
    </row>
    <row r="236" spans="1:19" x14ac:dyDescent="0.3">
      <c r="A236" s="3" t="s">
        <v>316</v>
      </c>
      <c r="B236" s="2">
        <v>45574</v>
      </c>
      <c r="C236" s="3" t="s">
        <v>99</v>
      </c>
      <c r="D236" s="3" t="s">
        <v>89</v>
      </c>
      <c r="E236" s="3" t="s">
        <v>116</v>
      </c>
      <c r="F236" s="3" t="s">
        <v>62</v>
      </c>
      <c r="G236" s="3" t="s">
        <v>103</v>
      </c>
      <c r="H236" s="3" t="s">
        <v>104</v>
      </c>
      <c r="I236" s="5">
        <v>8702.56</v>
      </c>
      <c r="J236" s="4">
        <v>8</v>
      </c>
      <c r="K236" s="1">
        <v>15</v>
      </c>
      <c r="L236" s="4">
        <v>1031.06</v>
      </c>
      <c r="M236" s="3" t="s">
        <v>51</v>
      </c>
      <c r="N236" s="3" t="s">
        <v>35</v>
      </c>
      <c r="O236" s="2" t="str">
        <f t="shared" si="15"/>
        <v>10-2024</v>
      </c>
      <c r="P236" t="str">
        <f t="shared" si="16"/>
        <v>2024</v>
      </c>
      <c r="Q236" s="6">
        <f t="shared" si="17"/>
        <v>0.11847778125057454</v>
      </c>
      <c r="R236" t="str">
        <f t="shared" si="18"/>
        <v>Profit</v>
      </c>
      <c r="S236" t="str">
        <f t="shared" si="19"/>
        <v>Mid (11-20%)</v>
      </c>
    </row>
    <row r="237" spans="1:19" x14ac:dyDescent="0.3">
      <c r="A237" s="3" t="s">
        <v>317</v>
      </c>
      <c r="B237" s="2">
        <v>45773</v>
      </c>
      <c r="C237" s="3" t="s">
        <v>99</v>
      </c>
      <c r="D237" s="3" t="s">
        <v>56</v>
      </c>
      <c r="E237" s="3" t="s">
        <v>108</v>
      </c>
      <c r="F237" s="3" t="s">
        <v>18</v>
      </c>
      <c r="G237" s="3" t="s">
        <v>94</v>
      </c>
      <c r="H237" s="3" t="s">
        <v>95</v>
      </c>
      <c r="I237" s="5">
        <v>9942.64</v>
      </c>
      <c r="J237" s="4">
        <v>8</v>
      </c>
      <c r="K237" s="1">
        <v>6</v>
      </c>
      <c r="L237" s="4">
        <v>1874.78</v>
      </c>
      <c r="M237" s="3" t="s">
        <v>51</v>
      </c>
      <c r="N237" s="3" t="s">
        <v>35</v>
      </c>
      <c r="O237" s="2" t="str">
        <f t="shared" si="15"/>
        <v>04-2025</v>
      </c>
      <c r="P237" t="str">
        <f t="shared" si="16"/>
        <v>2025</v>
      </c>
      <c r="Q237" s="6">
        <f t="shared" si="17"/>
        <v>0.18855957773790463</v>
      </c>
      <c r="R237" t="str">
        <f t="shared" si="18"/>
        <v>Profit</v>
      </c>
      <c r="S237" t="str">
        <f t="shared" si="19"/>
        <v>Low (1-10%)</v>
      </c>
    </row>
    <row r="238" spans="1:19" x14ac:dyDescent="0.3">
      <c r="A238" s="3" t="s">
        <v>318</v>
      </c>
      <c r="B238" s="2">
        <v>45649</v>
      </c>
      <c r="C238" s="3" t="s">
        <v>70</v>
      </c>
      <c r="D238" s="3" t="s">
        <v>56</v>
      </c>
      <c r="E238" s="3" t="s">
        <v>108</v>
      </c>
      <c r="F238" s="3" t="s">
        <v>32</v>
      </c>
      <c r="G238" s="3" t="s">
        <v>47</v>
      </c>
      <c r="H238" s="3" t="s">
        <v>48</v>
      </c>
      <c r="I238" s="5">
        <v>11650.23</v>
      </c>
      <c r="J238" s="4">
        <v>9</v>
      </c>
      <c r="K238" s="1">
        <v>19</v>
      </c>
      <c r="L238" s="4">
        <v>2249.7600000000002</v>
      </c>
      <c r="M238" s="3" t="s">
        <v>28</v>
      </c>
      <c r="N238" s="3" t="s">
        <v>44</v>
      </c>
      <c r="O238" s="2" t="str">
        <f t="shared" si="15"/>
        <v>12-2024</v>
      </c>
      <c r="P238" t="str">
        <f t="shared" si="16"/>
        <v>2024</v>
      </c>
      <c r="Q238" s="6">
        <f t="shared" si="17"/>
        <v>0.19310863390679844</v>
      </c>
      <c r="R238" t="str">
        <f t="shared" si="18"/>
        <v>Profit</v>
      </c>
      <c r="S238" t="str">
        <f t="shared" si="19"/>
        <v>Mid (11-20%)</v>
      </c>
    </row>
    <row r="239" spans="1:19" x14ac:dyDescent="0.3">
      <c r="A239" s="3" t="s">
        <v>319</v>
      </c>
      <c r="B239" s="2">
        <v>45677</v>
      </c>
      <c r="C239" s="3" t="s">
        <v>99</v>
      </c>
      <c r="D239" s="3" t="s">
        <v>56</v>
      </c>
      <c r="E239" s="3" t="s">
        <v>108</v>
      </c>
      <c r="F239" s="3" t="s">
        <v>18</v>
      </c>
      <c r="G239" s="3" t="s">
        <v>26</v>
      </c>
      <c r="H239" s="3" t="s">
        <v>27</v>
      </c>
      <c r="I239" s="5">
        <v>5543.2</v>
      </c>
      <c r="J239" s="4">
        <v>5</v>
      </c>
      <c r="K239" s="1">
        <v>9</v>
      </c>
      <c r="L239" s="4">
        <v>1054.68</v>
      </c>
      <c r="M239" s="3" t="s">
        <v>21</v>
      </c>
      <c r="N239" s="3" t="s">
        <v>44</v>
      </c>
      <c r="O239" s="2" t="str">
        <f t="shared" si="15"/>
        <v>01-2025</v>
      </c>
      <c r="P239" t="str">
        <f t="shared" si="16"/>
        <v>2025</v>
      </c>
      <c r="Q239" s="6">
        <f t="shared" si="17"/>
        <v>0.19026555058449995</v>
      </c>
      <c r="R239" t="str">
        <f t="shared" si="18"/>
        <v>Profit</v>
      </c>
      <c r="S239" t="str">
        <f t="shared" si="19"/>
        <v>Low (1-10%)</v>
      </c>
    </row>
    <row r="240" spans="1:19" x14ac:dyDescent="0.3">
      <c r="A240" s="3" t="s">
        <v>320</v>
      </c>
      <c r="B240" s="2">
        <v>45630</v>
      </c>
      <c r="C240" s="3" t="s">
        <v>37</v>
      </c>
      <c r="D240" s="3" t="s">
        <v>89</v>
      </c>
      <c r="E240" s="3" t="s">
        <v>97</v>
      </c>
      <c r="F240" s="3" t="s">
        <v>62</v>
      </c>
      <c r="G240" s="3" t="s">
        <v>67</v>
      </c>
      <c r="H240" s="3" t="s">
        <v>68</v>
      </c>
      <c r="I240" s="5">
        <v>5827.16</v>
      </c>
      <c r="J240" s="4">
        <v>4</v>
      </c>
      <c r="K240" s="1">
        <v>30</v>
      </c>
      <c r="L240" s="4">
        <v>549.95000000000005</v>
      </c>
      <c r="M240" s="3" t="s">
        <v>21</v>
      </c>
      <c r="N240" s="3" t="s">
        <v>35</v>
      </c>
      <c r="O240" s="2" t="str">
        <f t="shared" si="15"/>
        <v>12-2024</v>
      </c>
      <c r="P240" t="str">
        <f t="shared" si="16"/>
        <v>2024</v>
      </c>
      <c r="Q240" s="6">
        <f t="shared" si="17"/>
        <v>9.437702070991702E-2</v>
      </c>
      <c r="R240" t="str">
        <f t="shared" si="18"/>
        <v>Profit</v>
      </c>
      <c r="S240" t="str">
        <f t="shared" si="19"/>
        <v>High (&gt;20%)</v>
      </c>
    </row>
    <row r="241" spans="1:19" x14ac:dyDescent="0.3">
      <c r="A241" s="3" t="s">
        <v>321</v>
      </c>
      <c r="B241" s="2">
        <v>45605</v>
      </c>
      <c r="C241" s="3" t="s">
        <v>50</v>
      </c>
      <c r="D241" s="3" t="s">
        <v>16</v>
      </c>
      <c r="E241" s="3" t="s">
        <v>17</v>
      </c>
      <c r="F241" s="3" t="s">
        <v>62</v>
      </c>
      <c r="G241" s="3" t="s">
        <v>103</v>
      </c>
      <c r="H241" s="3" t="s">
        <v>104</v>
      </c>
      <c r="I241" s="5">
        <v>10705.8</v>
      </c>
      <c r="J241" s="4">
        <v>6</v>
      </c>
      <c r="K241" s="1">
        <v>15</v>
      </c>
      <c r="L241" s="4">
        <v>1248.94</v>
      </c>
      <c r="M241" s="3" t="s">
        <v>51</v>
      </c>
      <c r="N241" s="3" t="s">
        <v>22</v>
      </c>
      <c r="O241" s="2" t="str">
        <f t="shared" si="15"/>
        <v>11-2024</v>
      </c>
      <c r="P241" t="str">
        <f t="shared" si="16"/>
        <v>2024</v>
      </c>
      <c r="Q241" s="6">
        <f t="shared" si="17"/>
        <v>0.11666012815483197</v>
      </c>
      <c r="R241" t="str">
        <f t="shared" si="18"/>
        <v>Profit</v>
      </c>
      <c r="S241" t="str">
        <f t="shared" si="19"/>
        <v>Mid (11-20%)</v>
      </c>
    </row>
    <row r="242" spans="1:19" x14ac:dyDescent="0.3">
      <c r="A242" s="3" t="s">
        <v>322</v>
      </c>
      <c r="B242" s="2">
        <v>45736</v>
      </c>
      <c r="C242" s="3" t="s">
        <v>24</v>
      </c>
      <c r="D242" s="3" t="s">
        <v>38</v>
      </c>
      <c r="E242" s="3" t="s">
        <v>43</v>
      </c>
      <c r="F242" s="3" t="s">
        <v>32</v>
      </c>
      <c r="G242" s="3" t="s">
        <v>47</v>
      </c>
      <c r="H242" s="3" t="s">
        <v>48</v>
      </c>
      <c r="I242" s="5">
        <v>7004.7</v>
      </c>
      <c r="J242" s="4">
        <v>9</v>
      </c>
      <c r="K242" s="1">
        <v>7.0000000000000009</v>
      </c>
      <c r="L242" s="4">
        <v>1287.23</v>
      </c>
      <c r="M242" s="3" t="s">
        <v>21</v>
      </c>
      <c r="N242" s="3" t="s">
        <v>35</v>
      </c>
      <c r="O242" s="2" t="str">
        <f t="shared" si="15"/>
        <v>03-2025</v>
      </c>
      <c r="P242" t="str">
        <f t="shared" si="16"/>
        <v>2025</v>
      </c>
      <c r="Q242" s="6">
        <f t="shared" si="17"/>
        <v>0.1837666138449898</v>
      </c>
      <c r="R242" t="str">
        <f t="shared" si="18"/>
        <v>Profit</v>
      </c>
      <c r="S242" t="str">
        <f t="shared" si="19"/>
        <v>Low (1-10%)</v>
      </c>
    </row>
    <row r="243" spans="1:19" x14ac:dyDescent="0.3">
      <c r="A243" s="3" t="s">
        <v>323</v>
      </c>
      <c r="B243" s="2">
        <v>45568</v>
      </c>
      <c r="C243" s="3" t="s">
        <v>86</v>
      </c>
      <c r="D243" s="3" t="s">
        <v>56</v>
      </c>
      <c r="E243" s="3" t="s">
        <v>108</v>
      </c>
      <c r="F243" s="3" t="s">
        <v>32</v>
      </c>
      <c r="G243" s="3" t="s">
        <v>58</v>
      </c>
      <c r="H243" s="3" t="s">
        <v>59</v>
      </c>
      <c r="I243" s="5">
        <v>14542.3</v>
      </c>
      <c r="J243" s="4">
        <v>10</v>
      </c>
      <c r="K243" s="1">
        <v>12</v>
      </c>
      <c r="L243" s="4">
        <v>1404.2</v>
      </c>
      <c r="M243" s="3" t="s">
        <v>28</v>
      </c>
      <c r="N243" s="3" t="s">
        <v>44</v>
      </c>
      <c r="O243" s="2" t="str">
        <f t="shared" si="15"/>
        <v>10-2024</v>
      </c>
      <c r="P243" t="str">
        <f t="shared" si="16"/>
        <v>2024</v>
      </c>
      <c r="Q243" s="6">
        <f t="shared" si="17"/>
        <v>9.6559691383068705E-2</v>
      </c>
      <c r="R243" t="str">
        <f t="shared" si="18"/>
        <v>Profit</v>
      </c>
      <c r="S243" t="str">
        <f t="shared" si="19"/>
        <v>Mid (11-20%)</v>
      </c>
    </row>
    <row r="244" spans="1:19" x14ac:dyDescent="0.3">
      <c r="A244" s="3" t="s">
        <v>324</v>
      </c>
      <c r="B244" s="2">
        <v>45659</v>
      </c>
      <c r="C244" s="3" t="s">
        <v>70</v>
      </c>
      <c r="D244" s="3" t="s">
        <v>16</v>
      </c>
      <c r="E244" s="3" t="s">
        <v>25</v>
      </c>
      <c r="F244" s="3" t="s">
        <v>32</v>
      </c>
      <c r="G244" s="3" t="s">
        <v>47</v>
      </c>
      <c r="H244" s="3" t="s">
        <v>48</v>
      </c>
      <c r="I244" s="5">
        <v>12935.86</v>
      </c>
      <c r="J244" s="4">
        <v>7</v>
      </c>
      <c r="K244" s="1">
        <v>27</v>
      </c>
      <c r="L244" s="4">
        <v>552.78</v>
      </c>
      <c r="M244" s="3" t="s">
        <v>21</v>
      </c>
      <c r="N244" s="3" t="s">
        <v>40</v>
      </c>
      <c r="O244" s="2" t="str">
        <f t="shared" si="15"/>
        <v>01-2025</v>
      </c>
      <c r="P244" t="str">
        <f t="shared" si="16"/>
        <v>2025</v>
      </c>
      <c r="Q244" s="6">
        <f t="shared" si="17"/>
        <v>4.273237341777044E-2</v>
      </c>
      <c r="R244" t="str">
        <f t="shared" si="18"/>
        <v>Profit</v>
      </c>
      <c r="S244" t="str">
        <f t="shared" si="19"/>
        <v>High (&gt;20%)</v>
      </c>
    </row>
    <row r="245" spans="1:19" x14ac:dyDescent="0.3">
      <c r="A245" s="3" t="s">
        <v>325</v>
      </c>
      <c r="B245" s="2">
        <v>45761</v>
      </c>
      <c r="C245" s="3" t="s">
        <v>42</v>
      </c>
      <c r="D245" s="3" t="s">
        <v>56</v>
      </c>
      <c r="E245" s="3" t="s">
        <v>61</v>
      </c>
      <c r="F245" s="3" t="s">
        <v>32</v>
      </c>
      <c r="G245" s="3" t="s">
        <v>47</v>
      </c>
      <c r="H245" s="3" t="s">
        <v>48</v>
      </c>
      <c r="I245" s="5">
        <v>9876.2000000000007</v>
      </c>
      <c r="J245" s="4">
        <v>10</v>
      </c>
      <c r="K245" s="1">
        <v>8</v>
      </c>
      <c r="L245" s="4">
        <v>810.68</v>
      </c>
      <c r="M245" s="3" t="s">
        <v>21</v>
      </c>
      <c r="N245" s="3" t="s">
        <v>40</v>
      </c>
      <c r="O245" s="2" t="str">
        <f t="shared" si="15"/>
        <v>04-2025</v>
      </c>
      <c r="P245" t="str">
        <f t="shared" si="16"/>
        <v>2025</v>
      </c>
      <c r="Q245" s="6">
        <f t="shared" si="17"/>
        <v>8.20842024260343E-2</v>
      </c>
      <c r="R245" t="str">
        <f t="shared" si="18"/>
        <v>Profit</v>
      </c>
      <c r="S245" t="str">
        <f t="shared" si="19"/>
        <v>Low (1-10%)</v>
      </c>
    </row>
    <row r="246" spans="1:19" x14ac:dyDescent="0.3">
      <c r="A246" s="3" t="s">
        <v>326</v>
      </c>
      <c r="B246" s="2">
        <v>45778</v>
      </c>
      <c r="C246" s="3" t="s">
        <v>99</v>
      </c>
      <c r="D246" s="3" t="s">
        <v>89</v>
      </c>
      <c r="E246" s="3" t="s">
        <v>116</v>
      </c>
      <c r="F246" s="3" t="s">
        <v>18</v>
      </c>
      <c r="G246" s="3" t="s">
        <v>76</v>
      </c>
      <c r="H246" s="3" t="s">
        <v>77</v>
      </c>
      <c r="I246" s="5">
        <v>469.36</v>
      </c>
      <c r="J246" s="4">
        <v>2</v>
      </c>
      <c r="K246" s="1">
        <v>2</v>
      </c>
      <c r="L246" s="4">
        <v>108.43</v>
      </c>
      <c r="M246" s="3" t="s">
        <v>21</v>
      </c>
      <c r="N246" s="3" t="s">
        <v>35</v>
      </c>
      <c r="O246" s="2" t="str">
        <f t="shared" si="15"/>
        <v>05-2025</v>
      </c>
      <c r="P246" t="str">
        <f t="shared" si="16"/>
        <v>2025</v>
      </c>
      <c r="Q246" s="6">
        <f t="shared" si="17"/>
        <v>0.23101670359638657</v>
      </c>
      <c r="R246" t="str">
        <f t="shared" si="18"/>
        <v>Profit</v>
      </c>
      <c r="S246" t="str">
        <f t="shared" si="19"/>
        <v>Low (1-10%)</v>
      </c>
    </row>
    <row r="247" spans="1:19" x14ac:dyDescent="0.3">
      <c r="A247" s="3" t="s">
        <v>327</v>
      </c>
      <c r="B247" s="2">
        <v>45592</v>
      </c>
      <c r="C247" s="3" t="s">
        <v>24</v>
      </c>
      <c r="D247" s="3" t="s">
        <v>16</v>
      </c>
      <c r="E247" s="3" t="s">
        <v>25</v>
      </c>
      <c r="F247" s="3" t="s">
        <v>32</v>
      </c>
      <c r="G247" s="3" t="s">
        <v>33</v>
      </c>
      <c r="H247" s="3" t="s">
        <v>34</v>
      </c>
      <c r="I247" s="5">
        <v>3696.08</v>
      </c>
      <c r="J247" s="4">
        <v>8</v>
      </c>
      <c r="K247" s="1">
        <v>22</v>
      </c>
      <c r="L247" s="4">
        <v>651.95000000000005</v>
      </c>
      <c r="M247" s="3" t="s">
        <v>28</v>
      </c>
      <c r="N247" s="3" t="s">
        <v>44</v>
      </c>
      <c r="O247" s="2" t="str">
        <f t="shared" si="15"/>
        <v>10-2024</v>
      </c>
      <c r="P247" t="str">
        <f t="shared" si="16"/>
        <v>2024</v>
      </c>
      <c r="Q247" s="6">
        <f t="shared" si="17"/>
        <v>0.17638958031211446</v>
      </c>
      <c r="R247" t="str">
        <f t="shared" si="18"/>
        <v>Profit</v>
      </c>
      <c r="S247" t="str">
        <f t="shared" si="19"/>
        <v>High (&gt;20%)</v>
      </c>
    </row>
    <row r="248" spans="1:19" x14ac:dyDescent="0.3">
      <c r="A248" s="3" t="s">
        <v>328</v>
      </c>
      <c r="B248" s="2">
        <v>45453</v>
      </c>
      <c r="C248" s="3" t="s">
        <v>84</v>
      </c>
      <c r="D248" s="3" t="s">
        <v>16</v>
      </c>
      <c r="E248" s="3" t="s">
        <v>31</v>
      </c>
      <c r="F248" s="3" t="s">
        <v>62</v>
      </c>
      <c r="G248" s="3" t="s">
        <v>80</v>
      </c>
      <c r="H248" s="3" t="s">
        <v>81</v>
      </c>
      <c r="I248" s="5">
        <v>9126.6</v>
      </c>
      <c r="J248" s="4">
        <v>5</v>
      </c>
      <c r="K248" s="1">
        <v>1</v>
      </c>
      <c r="L248" s="4">
        <v>965.89</v>
      </c>
      <c r="M248" s="3" t="s">
        <v>28</v>
      </c>
      <c r="N248" s="3" t="s">
        <v>44</v>
      </c>
      <c r="O248" s="2" t="str">
        <f t="shared" si="15"/>
        <v>06-2024</v>
      </c>
      <c r="P248" t="str">
        <f t="shared" si="16"/>
        <v>2024</v>
      </c>
      <c r="Q248" s="6">
        <f t="shared" si="17"/>
        <v>0.10583240198978809</v>
      </c>
      <c r="R248" t="str">
        <f t="shared" si="18"/>
        <v>Profit</v>
      </c>
      <c r="S248" t="str">
        <f t="shared" si="19"/>
        <v>Low (1-10%)</v>
      </c>
    </row>
    <row r="249" spans="1:19" x14ac:dyDescent="0.3">
      <c r="A249" s="3" t="s">
        <v>329</v>
      </c>
      <c r="B249" s="2">
        <v>45682</v>
      </c>
      <c r="C249" s="3" t="s">
        <v>42</v>
      </c>
      <c r="D249" s="3" t="s">
        <v>38</v>
      </c>
      <c r="E249" s="3" t="s">
        <v>53</v>
      </c>
      <c r="F249" s="3" t="s">
        <v>32</v>
      </c>
      <c r="G249" s="3" t="s">
        <v>47</v>
      </c>
      <c r="H249" s="3" t="s">
        <v>48</v>
      </c>
      <c r="I249" s="5">
        <v>2047.2</v>
      </c>
      <c r="J249" s="4">
        <v>3</v>
      </c>
      <c r="K249" s="1">
        <v>21</v>
      </c>
      <c r="L249" s="4">
        <v>397.8</v>
      </c>
      <c r="M249" s="3" t="s">
        <v>28</v>
      </c>
      <c r="N249" s="3" t="s">
        <v>40</v>
      </c>
      <c r="O249" s="2" t="str">
        <f t="shared" si="15"/>
        <v>01-2025</v>
      </c>
      <c r="P249" t="str">
        <f t="shared" si="16"/>
        <v>2025</v>
      </c>
      <c r="Q249" s="6">
        <f t="shared" si="17"/>
        <v>0.19431418522860491</v>
      </c>
      <c r="R249" t="str">
        <f t="shared" si="18"/>
        <v>Profit</v>
      </c>
      <c r="S249" t="str">
        <f t="shared" si="19"/>
        <v>High (&gt;20%)</v>
      </c>
    </row>
    <row r="250" spans="1:19" x14ac:dyDescent="0.3">
      <c r="A250" s="3" t="s">
        <v>330</v>
      </c>
      <c r="B250" s="2">
        <v>45776</v>
      </c>
      <c r="C250" s="3" t="s">
        <v>101</v>
      </c>
      <c r="D250" s="3" t="s">
        <v>89</v>
      </c>
      <c r="E250" s="3" t="s">
        <v>97</v>
      </c>
      <c r="F250" s="3" t="s">
        <v>62</v>
      </c>
      <c r="G250" s="3" t="s">
        <v>67</v>
      </c>
      <c r="H250" s="3" t="s">
        <v>68</v>
      </c>
      <c r="I250" s="5">
        <v>10615.38</v>
      </c>
      <c r="J250" s="4">
        <v>6</v>
      </c>
      <c r="K250" s="1">
        <v>28</v>
      </c>
      <c r="L250" s="4">
        <v>781.74</v>
      </c>
      <c r="M250" s="3" t="s">
        <v>21</v>
      </c>
      <c r="N250" s="3" t="s">
        <v>40</v>
      </c>
      <c r="O250" s="2" t="str">
        <f t="shared" si="15"/>
        <v>04-2025</v>
      </c>
      <c r="P250" t="str">
        <f t="shared" si="16"/>
        <v>2025</v>
      </c>
      <c r="Q250" s="6">
        <f t="shared" si="17"/>
        <v>7.3642205931393895E-2</v>
      </c>
      <c r="R250" t="str">
        <f t="shared" si="18"/>
        <v>Profit</v>
      </c>
      <c r="S250" t="str">
        <f t="shared" si="19"/>
        <v>High (&gt;20%)</v>
      </c>
    </row>
    <row r="251" spans="1:19" x14ac:dyDescent="0.3">
      <c r="A251" s="3" t="s">
        <v>331</v>
      </c>
      <c r="B251" s="2">
        <v>45449</v>
      </c>
      <c r="C251" s="3" t="s">
        <v>86</v>
      </c>
      <c r="D251" s="3" t="s">
        <v>56</v>
      </c>
      <c r="E251" s="3" t="s">
        <v>108</v>
      </c>
      <c r="F251" s="3" t="s">
        <v>62</v>
      </c>
      <c r="G251" s="3" t="s">
        <v>63</v>
      </c>
      <c r="H251" s="3" t="s">
        <v>64</v>
      </c>
      <c r="I251" s="5">
        <v>18725.2</v>
      </c>
      <c r="J251" s="4">
        <v>10</v>
      </c>
      <c r="K251" s="1">
        <v>15</v>
      </c>
      <c r="L251" s="4">
        <v>2590.7800000000002</v>
      </c>
      <c r="M251" s="3" t="s">
        <v>51</v>
      </c>
      <c r="N251" s="3" t="s">
        <v>40</v>
      </c>
      <c r="O251" s="2" t="str">
        <f t="shared" si="15"/>
        <v>06-2024</v>
      </c>
      <c r="P251" t="str">
        <f t="shared" si="16"/>
        <v>2024</v>
      </c>
      <c r="Q251" s="6">
        <f t="shared" si="17"/>
        <v>0.13835793476171149</v>
      </c>
      <c r="R251" t="str">
        <f t="shared" si="18"/>
        <v>Profit</v>
      </c>
      <c r="S251" t="str">
        <f t="shared" si="19"/>
        <v>Mid (11-20%)</v>
      </c>
    </row>
    <row r="252" spans="1:19" x14ac:dyDescent="0.3">
      <c r="A252" s="3" t="s">
        <v>332</v>
      </c>
      <c r="B252" s="2">
        <v>45658</v>
      </c>
      <c r="C252" s="3" t="s">
        <v>99</v>
      </c>
      <c r="D252" s="3" t="s">
        <v>56</v>
      </c>
      <c r="E252" s="3" t="s">
        <v>108</v>
      </c>
      <c r="F252" s="3" t="s">
        <v>18</v>
      </c>
      <c r="G252" s="3" t="s">
        <v>94</v>
      </c>
      <c r="H252" s="3" t="s">
        <v>95</v>
      </c>
      <c r="I252" s="5">
        <v>8717.0499999999993</v>
      </c>
      <c r="J252" s="4">
        <v>5</v>
      </c>
      <c r="K252" s="1">
        <v>19</v>
      </c>
      <c r="L252" s="4">
        <v>1195.8499999999999</v>
      </c>
      <c r="M252" s="3" t="s">
        <v>28</v>
      </c>
      <c r="N252" s="3" t="s">
        <v>40</v>
      </c>
      <c r="O252" s="2" t="str">
        <f t="shared" si="15"/>
        <v>01-2025</v>
      </c>
      <c r="P252" t="str">
        <f t="shared" si="16"/>
        <v>2025</v>
      </c>
      <c r="Q252" s="6">
        <f t="shared" si="17"/>
        <v>0.13718517158901233</v>
      </c>
      <c r="R252" t="str">
        <f t="shared" si="18"/>
        <v>Profit</v>
      </c>
      <c r="S252" t="str">
        <f t="shared" si="19"/>
        <v>Mid (11-20%)</v>
      </c>
    </row>
    <row r="253" spans="1:19" x14ac:dyDescent="0.3">
      <c r="A253" s="3" t="s">
        <v>333</v>
      </c>
      <c r="B253" s="2">
        <v>45430</v>
      </c>
      <c r="C253" s="3" t="s">
        <v>84</v>
      </c>
      <c r="D253" s="3" t="s">
        <v>38</v>
      </c>
      <c r="E253" s="3" t="s">
        <v>71</v>
      </c>
      <c r="F253" s="3" t="s">
        <v>32</v>
      </c>
      <c r="G253" s="3" t="s">
        <v>58</v>
      </c>
      <c r="H253" s="3" t="s">
        <v>59</v>
      </c>
      <c r="I253" s="5">
        <v>10953.44</v>
      </c>
      <c r="J253" s="4">
        <v>8</v>
      </c>
      <c r="K253" s="1">
        <v>28</v>
      </c>
      <c r="L253" s="4">
        <v>572.64</v>
      </c>
      <c r="M253" s="3" t="s">
        <v>21</v>
      </c>
      <c r="N253" s="3" t="s">
        <v>44</v>
      </c>
      <c r="O253" s="2" t="str">
        <f t="shared" si="15"/>
        <v>05-2024</v>
      </c>
      <c r="P253" t="str">
        <f t="shared" si="16"/>
        <v>2024</v>
      </c>
      <c r="Q253" s="6">
        <f t="shared" si="17"/>
        <v>5.2279466542017844E-2</v>
      </c>
      <c r="R253" t="str">
        <f t="shared" si="18"/>
        <v>Profit</v>
      </c>
      <c r="S253" t="str">
        <f t="shared" si="19"/>
        <v>High (&gt;20%)</v>
      </c>
    </row>
    <row r="254" spans="1:19" x14ac:dyDescent="0.3">
      <c r="A254" s="3" t="s">
        <v>334</v>
      </c>
      <c r="B254" s="2">
        <v>45511</v>
      </c>
      <c r="C254" s="3" t="s">
        <v>37</v>
      </c>
      <c r="D254" s="3" t="s">
        <v>89</v>
      </c>
      <c r="E254" s="3" t="s">
        <v>90</v>
      </c>
      <c r="F254" s="3" t="s">
        <v>62</v>
      </c>
      <c r="G254" s="3" t="s">
        <v>80</v>
      </c>
      <c r="H254" s="3" t="s">
        <v>81</v>
      </c>
      <c r="I254" s="5">
        <v>5761.32</v>
      </c>
      <c r="J254" s="4">
        <v>6</v>
      </c>
      <c r="K254" s="1">
        <v>1</v>
      </c>
      <c r="L254" s="4">
        <v>1180.47</v>
      </c>
      <c r="M254" s="3" t="s">
        <v>28</v>
      </c>
      <c r="N254" s="3" t="s">
        <v>40</v>
      </c>
      <c r="O254" s="2" t="str">
        <f t="shared" si="15"/>
        <v>08-2024</v>
      </c>
      <c r="P254" t="str">
        <f t="shared" si="16"/>
        <v>2024</v>
      </c>
      <c r="Q254" s="6">
        <f t="shared" si="17"/>
        <v>0.20489575305659122</v>
      </c>
      <c r="R254" t="str">
        <f t="shared" si="18"/>
        <v>Profit</v>
      </c>
      <c r="S254" t="str">
        <f t="shared" si="19"/>
        <v>Low (1-10%)</v>
      </c>
    </row>
    <row r="255" spans="1:19" x14ac:dyDescent="0.3">
      <c r="A255" s="3" t="s">
        <v>335</v>
      </c>
      <c r="B255" s="2">
        <v>45536</v>
      </c>
      <c r="C255" s="3" t="s">
        <v>84</v>
      </c>
      <c r="D255" s="3" t="s">
        <v>56</v>
      </c>
      <c r="E255" s="3" t="s">
        <v>108</v>
      </c>
      <c r="F255" s="3" t="s">
        <v>32</v>
      </c>
      <c r="G255" s="3" t="s">
        <v>112</v>
      </c>
      <c r="H255" s="3" t="s">
        <v>113</v>
      </c>
      <c r="I255" s="5">
        <v>2648.88</v>
      </c>
      <c r="J255" s="4">
        <v>3</v>
      </c>
      <c r="K255" s="1">
        <v>14</v>
      </c>
      <c r="L255" s="4">
        <v>439.61</v>
      </c>
      <c r="M255" s="3" t="s">
        <v>21</v>
      </c>
      <c r="N255" s="3" t="s">
        <v>40</v>
      </c>
      <c r="O255" s="2" t="str">
        <f t="shared" si="15"/>
        <v>09-2024</v>
      </c>
      <c r="P255" t="str">
        <f t="shared" si="16"/>
        <v>2024</v>
      </c>
      <c r="Q255" s="6">
        <f t="shared" si="17"/>
        <v>0.16596070792183867</v>
      </c>
      <c r="R255" t="str">
        <f t="shared" si="18"/>
        <v>Profit</v>
      </c>
      <c r="S255" t="str">
        <f t="shared" si="19"/>
        <v>Mid (11-20%)</v>
      </c>
    </row>
    <row r="256" spans="1:19" x14ac:dyDescent="0.3">
      <c r="A256" s="3" t="s">
        <v>336</v>
      </c>
      <c r="B256" s="2">
        <v>45722</v>
      </c>
      <c r="C256" s="3" t="s">
        <v>73</v>
      </c>
      <c r="D256" s="3" t="s">
        <v>56</v>
      </c>
      <c r="E256" s="3" t="s">
        <v>61</v>
      </c>
      <c r="F256" s="3" t="s">
        <v>32</v>
      </c>
      <c r="G256" s="3" t="s">
        <v>112</v>
      </c>
      <c r="H256" s="3" t="s">
        <v>113</v>
      </c>
      <c r="I256" s="5">
        <v>13710.6</v>
      </c>
      <c r="J256" s="4">
        <v>9</v>
      </c>
      <c r="K256" s="1">
        <v>6</v>
      </c>
      <c r="L256" s="4">
        <v>1371.34</v>
      </c>
      <c r="M256" s="3" t="s">
        <v>28</v>
      </c>
      <c r="N256" s="3" t="s">
        <v>40</v>
      </c>
      <c r="O256" s="2" t="str">
        <f t="shared" si="15"/>
        <v>03-2025</v>
      </c>
      <c r="P256" t="str">
        <f t="shared" si="16"/>
        <v>2025</v>
      </c>
      <c r="Q256" s="6">
        <f t="shared" si="17"/>
        <v>0.10002042215512084</v>
      </c>
      <c r="R256" t="str">
        <f t="shared" si="18"/>
        <v>Profit</v>
      </c>
      <c r="S256" t="str">
        <f t="shared" si="19"/>
        <v>Low (1-10%)</v>
      </c>
    </row>
    <row r="257" spans="1:19" x14ac:dyDescent="0.3">
      <c r="A257" s="3" t="s">
        <v>337</v>
      </c>
      <c r="B257" s="2">
        <v>45573</v>
      </c>
      <c r="C257" s="3" t="s">
        <v>70</v>
      </c>
      <c r="D257" s="3" t="s">
        <v>56</v>
      </c>
      <c r="E257" s="3" t="s">
        <v>57</v>
      </c>
      <c r="F257" s="3" t="s">
        <v>32</v>
      </c>
      <c r="G257" s="3" t="s">
        <v>58</v>
      </c>
      <c r="H257" s="3" t="s">
        <v>59</v>
      </c>
      <c r="I257" s="5">
        <v>1834.04</v>
      </c>
      <c r="J257" s="4">
        <v>2</v>
      </c>
      <c r="K257" s="1">
        <v>24</v>
      </c>
      <c r="L257" s="4">
        <v>189.55</v>
      </c>
      <c r="M257" s="3" t="s">
        <v>21</v>
      </c>
      <c r="N257" s="3" t="s">
        <v>44</v>
      </c>
      <c r="O257" s="2" t="str">
        <f t="shared" si="15"/>
        <v>10-2024</v>
      </c>
      <c r="P257" t="str">
        <f t="shared" si="16"/>
        <v>2024</v>
      </c>
      <c r="Q257" s="6">
        <f t="shared" si="17"/>
        <v>0.1033510719504482</v>
      </c>
      <c r="R257" t="str">
        <f t="shared" si="18"/>
        <v>Profit</v>
      </c>
      <c r="S257" t="str">
        <f t="shared" si="19"/>
        <v>High (&gt;20%)</v>
      </c>
    </row>
    <row r="258" spans="1:19" x14ac:dyDescent="0.3">
      <c r="A258" s="3" t="s">
        <v>338</v>
      </c>
      <c r="B258" s="2">
        <v>45778</v>
      </c>
      <c r="C258" s="3" t="s">
        <v>73</v>
      </c>
      <c r="D258" s="3" t="s">
        <v>56</v>
      </c>
      <c r="E258" s="3" t="s">
        <v>61</v>
      </c>
      <c r="F258" s="3" t="s">
        <v>32</v>
      </c>
      <c r="G258" s="3" t="s">
        <v>58</v>
      </c>
      <c r="H258" s="3" t="s">
        <v>59</v>
      </c>
      <c r="I258" s="5">
        <v>3243.4</v>
      </c>
      <c r="J258" s="4">
        <v>10</v>
      </c>
      <c r="K258" s="1">
        <v>2</v>
      </c>
      <c r="L258" s="4">
        <v>344.83</v>
      </c>
      <c r="M258" s="3" t="s">
        <v>21</v>
      </c>
      <c r="N258" s="3" t="s">
        <v>40</v>
      </c>
      <c r="O258" s="2" t="str">
        <f t="shared" ref="O258:O321" si="20" xml:space="preserve"> TEXT(B258,"MM-YYYY")</f>
        <v>05-2025</v>
      </c>
      <c r="P258" t="str">
        <f t="shared" ref="P258:P321" si="21">TEXT(B258,"YYYY")</f>
        <v>2025</v>
      </c>
      <c r="Q258" s="6">
        <f t="shared" ref="Q258:Q321" si="22">IFERROR(L258/I258,0)</f>
        <v>0.10631744465684158</v>
      </c>
      <c r="R258" t="str">
        <f t="shared" ref="R258:R321" si="23">IF(L258&gt;0,"Profit","Loss")</f>
        <v>Profit</v>
      </c>
      <c r="S258" t="str">
        <f t="shared" ref="S258:S321" si="24">IF(K258=0,"No Discount",IF(K258&lt;=10,"Low (1-10%)",IF(K258&lt;=20,"Mid (11-20%)","High (&gt;20%)")))</f>
        <v>Low (1-10%)</v>
      </c>
    </row>
    <row r="259" spans="1:19" x14ac:dyDescent="0.3">
      <c r="A259" s="3" t="s">
        <v>339</v>
      </c>
      <c r="B259" s="2">
        <v>45733</v>
      </c>
      <c r="C259" s="3" t="s">
        <v>24</v>
      </c>
      <c r="D259" s="3" t="s">
        <v>56</v>
      </c>
      <c r="E259" s="3" t="s">
        <v>108</v>
      </c>
      <c r="F259" s="3" t="s">
        <v>62</v>
      </c>
      <c r="G259" s="3" t="s">
        <v>103</v>
      </c>
      <c r="H259" s="3" t="s">
        <v>104</v>
      </c>
      <c r="I259" s="5">
        <v>9303.68</v>
      </c>
      <c r="J259" s="4">
        <v>8</v>
      </c>
      <c r="K259" s="1">
        <v>28</v>
      </c>
      <c r="L259" s="4">
        <v>818.19</v>
      </c>
      <c r="M259" s="3" t="s">
        <v>51</v>
      </c>
      <c r="N259" s="3" t="s">
        <v>40</v>
      </c>
      <c r="O259" s="2" t="str">
        <f t="shared" si="20"/>
        <v>03-2025</v>
      </c>
      <c r="P259" t="str">
        <f t="shared" si="21"/>
        <v>2025</v>
      </c>
      <c r="Q259" s="6">
        <f t="shared" si="22"/>
        <v>8.7942620554447279E-2</v>
      </c>
      <c r="R259" t="str">
        <f t="shared" si="23"/>
        <v>Profit</v>
      </c>
      <c r="S259" t="str">
        <f t="shared" si="24"/>
        <v>High (&gt;20%)</v>
      </c>
    </row>
    <row r="260" spans="1:19" x14ac:dyDescent="0.3">
      <c r="A260" s="3" t="s">
        <v>340</v>
      </c>
      <c r="B260" s="2">
        <v>45470</v>
      </c>
      <c r="C260" s="3" t="s">
        <v>133</v>
      </c>
      <c r="D260" s="3" t="s">
        <v>38</v>
      </c>
      <c r="E260" s="3" t="s">
        <v>53</v>
      </c>
      <c r="F260" s="3" t="s">
        <v>32</v>
      </c>
      <c r="G260" s="3" t="s">
        <v>112</v>
      </c>
      <c r="H260" s="3" t="s">
        <v>113</v>
      </c>
      <c r="I260" s="5">
        <v>961.04</v>
      </c>
      <c r="J260" s="4">
        <v>4</v>
      </c>
      <c r="K260" s="1">
        <v>1</v>
      </c>
      <c r="L260" s="4">
        <v>52.23</v>
      </c>
      <c r="M260" s="3" t="s">
        <v>28</v>
      </c>
      <c r="N260" s="3" t="s">
        <v>22</v>
      </c>
      <c r="O260" s="2" t="str">
        <f t="shared" si="20"/>
        <v>06-2024</v>
      </c>
      <c r="P260" t="str">
        <f t="shared" si="21"/>
        <v>2024</v>
      </c>
      <c r="Q260" s="6">
        <f t="shared" si="22"/>
        <v>5.4347373678514943E-2</v>
      </c>
      <c r="R260" t="str">
        <f t="shared" si="23"/>
        <v>Profit</v>
      </c>
      <c r="S260" t="str">
        <f t="shared" si="24"/>
        <v>Low (1-10%)</v>
      </c>
    </row>
    <row r="261" spans="1:19" x14ac:dyDescent="0.3">
      <c r="A261" s="3" t="s">
        <v>341</v>
      </c>
      <c r="B261" s="2">
        <v>45508</v>
      </c>
      <c r="C261" s="3" t="s">
        <v>24</v>
      </c>
      <c r="D261" s="3" t="s">
        <v>16</v>
      </c>
      <c r="E261" s="3" t="s">
        <v>17</v>
      </c>
      <c r="F261" s="3" t="s">
        <v>18</v>
      </c>
      <c r="G261" s="3" t="s">
        <v>94</v>
      </c>
      <c r="H261" s="3" t="s">
        <v>95</v>
      </c>
      <c r="I261" s="5">
        <v>6185.4</v>
      </c>
      <c r="J261" s="4">
        <v>4</v>
      </c>
      <c r="K261" s="1">
        <v>27</v>
      </c>
      <c r="L261" s="4">
        <v>755.07</v>
      </c>
      <c r="M261" s="3" t="s">
        <v>28</v>
      </c>
      <c r="N261" s="3" t="s">
        <v>22</v>
      </c>
      <c r="O261" s="2" t="str">
        <f t="shared" si="20"/>
        <v>08-2024</v>
      </c>
      <c r="P261" t="str">
        <f t="shared" si="21"/>
        <v>2024</v>
      </c>
      <c r="Q261" s="6">
        <f t="shared" si="22"/>
        <v>0.1220729459695412</v>
      </c>
      <c r="R261" t="str">
        <f t="shared" si="23"/>
        <v>Profit</v>
      </c>
      <c r="S261" t="str">
        <f t="shared" si="24"/>
        <v>High (&gt;20%)</v>
      </c>
    </row>
    <row r="262" spans="1:19" x14ac:dyDescent="0.3">
      <c r="A262" s="3" t="s">
        <v>342</v>
      </c>
      <c r="B262" s="2">
        <v>45714</v>
      </c>
      <c r="C262" s="3" t="s">
        <v>42</v>
      </c>
      <c r="D262" s="3" t="s">
        <v>16</v>
      </c>
      <c r="E262" s="3" t="s">
        <v>31</v>
      </c>
      <c r="F262" s="3" t="s">
        <v>18</v>
      </c>
      <c r="G262" s="3" t="s">
        <v>94</v>
      </c>
      <c r="H262" s="3" t="s">
        <v>95</v>
      </c>
      <c r="I262" s="5">
        <v>890.76</v>
      </c>
      <c r="J262" s="4">
        <v>1</v>
      </c>
      <c r="K262" s="1">
        <v>15</v>
      </c>
      <c r="L262" s="4">
        <v>127.15</v>
      </c>
      <c r="M262" s="3" t="s">
        <v>51</v>
      </c>
      <c r="N262" s="3" t="s">
        <v>22</v>
      </c>
      <c r="O262" s="2" t="str">
        <f t="shared" si="20"/>
        <v>02-2025</v>
      </c>
      <c r="P262" t="str">
        <f t="shared" si="21"/>
        <v>2025</v>
      </c>
      <c r="Q262" s="6">
        <f t="shared" si="22"/>
        <v>0.1427432754052719</v>
      </c>
      <c r="R262" t="str">
        <f t="shared" si="23"/>
        <v>Profit</v>
      </c>
      <c r="S262" t="str">
        <f t="shared" si="24"/>
        <v>Mid (11-20%)</v>
      </c>
    </row>
    <row r="263" spans="1:19" x14ac:dyDescent="0.3">
      <c r="A263" s="3" t="s">
        <v>343</v>
      </c>
      <c r="B263" s="2">
        <v>45510</v>
      </c>
      <c r="C263" s="3" t="s">
        <v>24</v>
      </c>
      <c r="D263" s="3" t="s">
        <v>89</v>
      </c>
      <c r="E263" s="3" t="s">
        <v>102</v>
      </c>
      <c r="F263" s="3" t="s">
        <v>32</v>
      </c>
      <c r="G263" s="3" t="s">
        <v>58</v>
      </c>
      <c r="H263" s="3" t="s">
        <v>59</v>
      </c>
      <c r="I263" s="5">
        <v>17465</v>
      </c>
      <c r="J263" s="4">
        <v>10</v>
      </c>
      <c r="K263" s="1">
        <v>5</v>
      </c>
      <c r="L263" s="4">
        <v>2087.16</v>
      </c>
      <c r="M263" s="3" t="s">
        <v>28</v>
      </c>
      <c r="N263" s="3" t="s">
        <v>22</v>
      </c>
      <c r="O263" s="2" t="str">
        <f t="shared" si="20"/>
        <v>08-2024</v>
      </c>
      <c r="P263" t="str">
        <f t="shared" si="21"/>
        <v>2024</v>
      </c>
      <c r="Q263" s="6">
        <f t="shared" si="22"/>
        <v>0.1195052963068995</v>
      </c>
      <c r="R263" t="str">
        <f t="shared" si="23"/>
        <v>Profit</v>
      </c>
      <c r="S263" t="str">
        <f t="shared" si="24"/>
        <v>Low (1-10%)</v>
      </c>
    </row>
    <row r="264" spans="1:19" x14ac:dyDescent="0.3">
      <c r="A264" s="3" t="s">
        <v>344</v>
      </c>
      <c r="B264" s="2">
        <v>45581</v>
      </c>
      <c r="C264" s="3" t="s">
        <v>84</v>
      </c>
      <c r="D264" s="3" t="s">
        <v>56</v>
      </c>
      <c r="E264" s="3" t="s">
        <v>57</v>
      </c>
      <c r="F264" s="3" t="s">
        <v>32</v>
      </c>
      <c r="G264" s="3" t="s">
        <v>33</v>
      </c>
      <c r="H264" s="3" t="s">
        <v>34</v>
      </c>
      <c r="I264" s="5">
        <v>5031.55</v>
      </c>
      <c r="J264" s="4">
        <v>5</v>
      </c>
      <c r="K264" s="1">
        <v>29</v>
      </c>
      <c r="L264" s="4">
        <v>332.29</v>
      </c>
      <c r="M264" s="3" t="s">
        <v>51</v>
      </c>
      <c r="N264" s="3" t="s">
        <v>35</v>
      </c>
      <c r="O264" s="2" t="str">
        <f t="shared" si="20"/>
        <v>10-2024</v>
      </c>
      <c r="P264" t="str">
        <f t="shared" si="21"/>
        <v>2024</v>
      </c>
      <c r="Q264" s="6">
        <f t="shared" si="22"/>
        <v>6.6041279526189739E-2</v>
      </c>
      <c r="R264" t="str">
        <f t="shared" si="23"/>
        <v>Profit</v>
      </c>
      <c r="S264" t="str">
        <f t="shared" si="24"/>
        <v>High (&gt;20%)</v>
      </c>
    </row>
    <row r="265" spans="1:19" x14ac:dyDescent="0.3">
      <c r="A265" s="3" t="s">
        <v>345</v>
      </c>
      <c r="B265" s="2">
        <v>45497</v>
      </c>
      <c r="C265" s="3" t="s">
        <v>75</v>
      </c>
      <c r="D265" s="3" t="s">
        <v>38</v>
      </c>
      <c r="E265" s="3" t="s">
        <v>53</v>
      </c>
      <c r="F265" s="3" t="s">
        <v>18</v>
      </c>
      <c r="G265" s="3" t="s">
        <v>19</v>
      </c>
      <c r="H265" s="3" t="s">
        <v>20</v>
      </c>
      <c r="I265" s="5">
        <v>1916.2</v>
      </c>
      <c r="J265" s="4">
        <v>4</v>
      </c>
      <c r="K265" s="1">
        <v>15</v>
      </c>
      <c r="L265" s="4">
        <v>298.97000000000003</v>
      </c>
      <c r="M265" s="3" t="s">
        <v>21</v>
      </c>
      <c r="N265" s="3" t="s">
        <v>44</v>
      </c>
      <c r="O265" s="2" t="str">
        <f t="shared" si="20"/>
        <v>07-2024</v>
      </c>
      <c r="P265" t="str">
        <f t="shared" si="21"/>
        <v>2024</v>
      </c>
      <c r="Q265" s="6">
        <f t="shared" si="22"/>
        <v>0.15602233587308215</v>
      </c>
      <c r="R265" t="str">
        <f t="shared" si="23"/>
        <v>Profit</v>
      </c>
      <c r="S265" t="str">
        <f t="shared" si="24"/>
        <v>Mid (11-20%)</v>
      </c>
    </row>
    <row r="266" spans="1:19" x14ac:dyDescent="0.3">
      <c r="A266" s="3" t="s">
        <v>346</v>
      </c>
      <c r="B266" s="2">
        <v>45763</v>
      </c>
      <c r="C266" s="3" t="s">
        <v>66</v>
      </c>
      <c r="D266" s="3" t="s">
        <v>38</v>
      </c>
      <c r="E266" s="3" t="s">
        <v>39</v>
      </c>
      <c r="F266" s="3" t="s">
        <v>62</v>
      </c>
      <c r="G266" s="3" t="s">
        <v>103</v>
      </c>
      <c r="H266" s="3" t="s">
        <v>104</v>
      </c>
      <c r="I266" s="5">
        <v>9407.4</v>
      </c>
      <c r="J266" s="4">
        <v>10</v>
      </c>
      <c r="K266" s="1">
        <v>2</v>
      </c>
      <c r="L266" s="4">
        <v>1067.6199999999999</v>
      </c>
      <c r="M266" s="3" t="s">
        <v>51</v>
      </c>
      <c r="N266" s="3" t="s">
        <v>35</v>
      </c>
      <c r="O266" s="2" t="str">
        <f t="shared" si="20"/>
        <v>04-2025</v>
      </c>
      <c r="P266" t="str">
        <f t="shared" si="21"/>
        <v>2025</v>
      </c>
      <c r="Q266" s="6">
        <f t="shared" si="22"/>
        <v>0.11348725471437378</v>
      </c>
      <c r="R266" t="str">
        <f t="shared" si="23"/>
        <v>Profit</v>
      </c>
      <c r="S266" t="str">
        <f t="shared" si="24"/>
        <v>Low (1-10%)</v>
      </c>
    </row>
    <row r="267" spans="1:19" x14ac:dyDescent="0.3">
      <c r="A267" s="3" t="s">
        <v>347</v>
      </c>
      <c r="B267" s="2">
        <v>45499</v>
      </c>
      <c r="C267" s="3" t="s">
        <v>37</v>
      </c>
      <c r="D267" s="3" t="s">
        <v>38</v>
      </c>
      <c r="E267" s="3" t="s">
        <v>71</v>
      </c>
      <c r="F267" s="3" t="s">
        <v>62</v>
      </c>
      <c r="G267" s="3" t="s">
        <v>103</v>
      </c>
      <c r="H267" s="3" t="s">
        <v>104</v>
      </c>
      <c r="I267" s="5">
        <v>1808.13</v>
      </c>
      <c r="J267" s="4">
        <v>1</v>
      </c>
      <c r="K267" s="1">
        <v>9</v>
      </c>
      <c r="L267" s="4">
        <v>156.77000000000001</v>
      </c>
      <c r="M267" s="3" t="s">
        <v>51</v>
      </c>
      <c r="N267" s="3" t="s">
        <v>22</v>
      </c>
      <c r="O267" s="2" t="str">
        <f t="shared" si="20"/>
        <v>07-2024</v>
      </c>
      <c r="P267" t="str">
        <f t="shared" si="21"/>
        <v>2024</v>
      </c>
      <c r="Q267" s="6">
        <f t="shared" si="22"/>
        <v>8.6702836632321797E-2</v>
      </c>
      <c r="R267" t="str">
        <f t="shared" si="23"/>
        <v>Profit</v>
      </c>
      <c r="S267" t="str">
        <f t="shared" si="24"/>
        <v>Low (1-10%)</v>
      </c>
    </row>
    <row r="268" spans="1:19" x14ac:dyDescent="0.3">
      <c r="A268" s="3" t="s">
        <v>348</v>
      </c>
      <c r="B268" s="2">
        <v>45780</v>
      </c>
      <c r="C268" s="3" t="s">
        <v>50</v>
      </c>
      <c r="D268" s="3" t="s">
        <v>38</v>
      </c>
      <c r="E268" s="3" t="s">
        <v>43</v>
      </c>
      <c r="F268" s="3" t="s">
        <v>18</v>
      </c>
      <c r="G268" s="3" t="s">
        <v>26</v>
      </c>
      <c r="H268" s="3" t="s">
        <v>27</v>
      </c>
      <c r="I268" s="5">
        <v>2468.46</v>
      </c>
      <c r="J268" s="4">
        <v>3</v>
      </c>
      <c r="K268" s="1">
        <v>24</v>
      </c>
      <c r="L268" s="4">
        <v>108.13</v>
      </c>
      <c r="M268" s="3" t="s">
        <v>28</v>
      </c>
      <c r="N268" s="3" t="s">
        <v>44</v>
      </c>
      <c r="O268" s="2" t="str">
        <f t="shared" si="20"/>
        <v>05-2025</v>
      </c>
      <c r="P268" t="str">
        <f t="shared" si="21"/>
        <v>2025</v>
      </c>
      <c r="Q268" s="6">
        <f t="shared" si="22"/>
        <v>4.380463932978456E-2</v>
      </c>
      <c r="R268" t="str">
        <f t="shared" si="23"/>
        <v>Profit</v>
      </c>
      <c r="S268" t="str">
        <f t="shared" si="24"/>
        <v>High (&gt;20%)</v>
      </c>
    </row>
    <row r="269" spans="1:19" x14ac:dyDescent="0.3">
      <c r="A269" s="3" t="s">
        <v>349</v>
      </c>
      <c r="B269" s="2">
        <v>45775</v>
      </c>
      <c r="C269" s="3" t="s">
        <v>86</v>
      </c>
      <c r="D269" s="3" t="s">
        <v>89</v>
      </c>
      <c r="E269" s="3" t="s">
        <v>90</v>
      </c>
      <c r="F269" s="3" t="s">
        <v>32</v>
      </c>
      <c r="G269" s="3" t="s">
        <v>47</v>
      </c>
      <c r="H269" s="3" t="s">
        <v>48</v>
      </c>
      <c r="I269" s="5">
        <v>2580</v>
      </c>
      <c r="J269" s="4">
        <v>10</v>
      </c>
      <c r="K269" s="1">
        <v>10</v>
      </c>
      <c r="L269" s="4">
        <v>203.39</v>
      </c>
      <c r="M269" s="3" t="s">
        <v>28</v>
      </c>
      <c r="N269" s="3" t="s">
        <v>35</v>
      </c>
      <c r="O269" s="2" t="str">
        <f t="shared" si="20"/>
        <v>04-2025</v>
      </c>
      <c r="P269" t="str">
        <f t="shared" si="21"/>
        <v>2025</v>
      </c>
      <c r="Q269" s="6">
        <f t="shared" si="22"/>
        <v>7.8833333333333325E-2</v>
      </c>
      <c r="R269" t="str">
        <f t="shared" si="23"/>
        <v>Profit</v>
      </c>
      <c r="S269" t="str">
        <f t="shared" si="24"/>
        <v>Low (1-10%)</v>
      </c>
    </row>
    <row r="270" spans="1:19" x14ac:dyDescent="0.3">
      <c r="A270" s="3" t="s">
        <v>350</v>
      </c>
      <c r="B270" s="2">
        <v>45750</v>
      </c>
      <c r="C270" s="3" t="s">
        <v>15</v>
      </c>
      <c r="D270" s="3" t="s">
        <v>56</v>
      </c>
      <c r="E270" s="3" t="s">
        <v>108</v>
      </c>
      <c r="F270" s="3" t="s">
        <v>18</v>
      </c>
      <c r="G270" s="3" t="s">
        <v>94</v>
      </c>
      <c r="H270" s="3" t="s">
        <v>95</v>
      </c>
      <c r="I270" s="5">
        <v>13564.8</v>
      </c>
      <c r="J270" s="4">
        <v>8</v>
      </c>
      <c r="K270" s="1">
        <v>7.0000000000000009</v>
      </c>
      <c r="L270" s="4">
        <v>3074.62</v>
      </c>
      <c r="M270" s="3" t="s">
        <v>28</v>
      </c>
      <c r="N270" s="3" t="s">
        <v>40</v>
      </c>
      <c r="O270" s="2" t="str">
        <f t="shared" si="20"/>
        <v>04-2025</v>
      </c>
      <c r="P270" t="str">
        <f t="shared" si="21"/>
        <v>2025</v>
      </c>
      <c r="Q270" s="6">
        <f t="shared" si="22"/>
        <v>0.22666165369190847</v>
      </c>
      <c r="R270" t="str">
        <f t="shared" si="23"/>
        <v>Profit</v>
      </c>
      <c r="S270" t="str">
        <f t="shared" si="24"/>
        <v>Low (1-10%)</v>
      </c>
    </row>
    <row r="271" spans="1:19" x14ac:dyDescent="0.3">
      <c r="A271" s="3" t="s">
        <v>351</v>
      </c>
      <c r="B271" s="2">
        <v>45704</v>
      </c>
      <c r="C271" s="3" t="s">
        <v>99</v>
      </c>
      <c r="D271" s="3" t="s">
        <v>89</v>
      </c>
      <c r="E271" s="3" t="s">
        <v>102</v>
      </c>
      <c r="F271" s="3" t="s">
        <v>62</v>
      </c>
      <c r="G271" s="3" t="s">
        <v>80</v>
      </c>
      <c r="H271" s="3" t="s">
        <v>81</v>
      </c>
      <c r="I271" s="5">
        <v>641.17999999999995</v>
      </c>
      <c r="J271" s="4">
        <v>2</v>
      </c>
      <c r="K271" s="1">
        <v>24</v>
      </c>
      <c r="L271" s="4">
        <v>98.47</v>
      </c>
      <c r="M271" s="3" t="s">
        <v>28</v>
      </c>
      <c r="N271" s="3" t="s">
        <v>40</v>
      </c>
      <c r="O271" s="2" t="str">
        <f t="shared" si="20"/>
        <v>02-2025</v>
      </c>
      <c r="P271" t="str">
        <f t="shared" si="21"/>
        <v>2025</v>
      </c>
      <c r="Q271" s="6">
        <f t="shared" si="22"/>
        <v>0.15357621884650177</v>
      </c>
      <c r="R271" t="str">
        <f t="shared" si="23"/>
        <v>Profit</v>
      </c>
      <c r="S271" t="str">
        <f t="shared" si="24"/>
        <v>High (&gt;20%)</v>
      </c>
    </row>
    <row r="272" spans="1:19" x14ac:dyDescent="0.3">
      <c r="A272" s="3" t="s">
        <v>352</v>
      </c>
      <c r="B272" s="2">
        <v>45683</v>
      </c>
      <c r="C272" s="3" t="s">
        <v>99</v>
      </c>
      <c r="D272" s="3" t="s">
        <v>89</v>
      </c>
      <c r="E272" s="3" t="s">
        <v>102</v>
      </c>
      <c r="F272" s="3" t="s">
        <v>32</v>
      </c>
      <c r="G272" s="3" t="s">
        <v>58</v>
      </c>
      <c r="H272" s="3" t="s">
        <v>59</v>
      </c>
      <c r="I272" s="5">
        <v>12137.3</v>
      </c>
      <c r="J272" s="4">
        <v>10</v>
      </c>
      <c r="K272" s="1">
        <v>12</v>
      </c>
      <c r="L272" s="4">
        <v>1336.04</v>
      </c>
      <c r="M272" s="3" t="s">
        <v>51</v>
      </c>
      <c r="N272" s="3" t="s">
        <v>40</v>
      </c>
      <c r="O272" s="2" t="str">
        <f t="shared" si="20"/>
        <v>01-2025</v>
      </c>
      <c r="P272" t="str">
        <f t="shared" si="21"/>
        <v>2025</v>
      </c>
      <c r="Q272" s="6">
        <f t="shared" si="22"/>
        <v>0.11007720003625189</v>
      </c>
      <c r="R272" t="str">
        <f t="shared" si="23"/>
        <v>Profit</v>
      </c>
      <c r="S272" t="str">
        <f t="shared" si="24"/>
        <v>Mid (11-20%)</v>
      </c>
    </row>
    <row r="273" spans="1:19" x14ac:dyDescent="0.3">
      <c r="A273" s="3" t="s">
        <v>353</v>
      </c>
      <c r="B273" s="2">
        <v>45473</v>
      </c>
      <c r="C273" s="3" t="s">
        <v>30</v>
      </c>
      <c r="D273" s="3" t="s">
        <v>89</v>
      </c>
      <c r="E273" s="3" t="s">
        <v>102</v>
      </c>
      <c r="F273" s="3" t="s">
        <v>18</v>
      </c>
      <c r="G273" s="3" t="s">
        <v>76</v>
      </c>
      <c r="H273" s="3" t="s">
        <v>77</v>
      </c>
      <c r="I273" s="5">
        <v>5395.14</v>
      </c>
      <c r="J273" s="4">
        <v>9</v>
      </c>
      <c r="K273" s="1">
        <v>30</v>
      </c>
      <c r="L273" s="4">
        <v>803.26</v>
      </c>
      <c r="M273" s="3" t="s">
        <v>28</v>
      </c>
      <c r="N273" s="3" t="s">
        <v>44</v>
      </c>
      <c r="O273" s="2" t="str">
        <f t="shared" si="20"/>
        <v>06-2024</v>
      </c>
      <c r="P273" t="str">
        <f t="shared" si="21"/>
        <v>2024</v>
      </c>
      <c r="Q273" s="6">
        <f t="shared" si="22"/>
        <v>0.14888584911605629</v>
      </c>
      <c r="R273" t="str">
        <f t="shared" si="23"/>
        <v>Profit</v>
      </c>
      <c r="S273" t="str">
        <f t="shared" si="24"/>
        <v>High (&gt;20%)</v>
      </c>
    </row>
    <row r="274" spans="1:19" x14ac:dyDescent="0.3">
      <c r="A274" s="3" t="s">
        <v>354</v>
      </c>
      <c r="B274" s="2">
        <v>45640</v>
      </c>
      <c r="C274" s="3" t="s">
        <v>66</v>
      </c>
      <c r="D274" s="3" t="s">
        <v>38</v>
      </c>
      <c r="E274" s="3" t="s">
        <v>39</v>
      </c>
      <c r="F274" s="3" t="s">
        <v>62</v>
      </c>
      <c r="G274" s="3" t="s">
        <v>103</v>
      </c>
      <c r="H274" s="3" t="s">
        <v>104</v>
      </c>
      <c r="I274" s="5">
        <v>1286.3</v>
      </c>
      <c r="J274" s="4">
        <v>10</v>
      </c>
      <c r="K274" s="1">
        <v>24</v>
      </c>
      <c r="L274" s="4">
        <v>128.87</v>
      </c>
      <c r="M274" s="3" t="s">
        <v>21</v>
      </c>
      <c r="N274" s="3" t="s">
        <v>44</v>
      </c>
      <c r="O274" s="2" t="str">
        <f t="shared" si="20"/>
        <v>12-2024</v>
      </c>
      <c r="P274" t="str">
        <f t="shared" si="21"/>
        <v>2024</v>
      </c>
      <c r="Q274" s="6">
        <f t="shared" si="22"/>
        <v>0.10018658166835109</v>
      </c>
      <c r="R274" t="str">
        <f t="shared" si="23"/>
        <v>Profit</v>
      </c>
      <c r="S274" t="str">
        <f t="shared" si="24"/>
        <v>High (&gt;20%)</v>
      </c>
    </row>
    <row r="275" spans="1:19" x14ac:dyDescent="0.3">
      <c r="A275" s="3" t="s">
        <v>355</v>
      </c>
      <c r="B275" s="2">
        <v>45549</v>
      </c>
      <c r="C275" s="3" t="s">
        <v>70</v>
      </c>
      <c r="D275" s="3" t="s">
        <v>16</v>
      </c>
      <c r="E275" s="3" t="s">
        <v>31</v>
      </c>
      <c r="F275" s="3" t="s">
        <v>32</v>
      </c>
      <c r="G275" s="3" t="s">
        <v>58</v>
      </c>
      <c r="H275" s="3" t="s">
        <v>59</v>
      </c>
      <c r="I275" s="5">
        <v>4079.6</v>
      </c>
      <c r="J275" s="4">
        <v>4</v>
      </c>
      <c r="K275" s="1">
        <v>2</v>
      </c>
      <c r="L275" s="4">
        <v>908.73</v>
      </c>
      <c r="M275" s="3" t="s">
        <v>28</v>
      </c>
      <c r="N275" s="3" t="s">
        <v>22</v>
      </c>
      <c r="O275" s="2" t="str">
        <f t="shared" si="20"/>
        <v>09-2024</v>
      </c>
      <c r="P275" t="str">
        <f t="shared" si="21"/>
        <v>2024</v>
      </c>
      <c r="Q275" s="6">
        <f t="shared" si="22"/>
        <v>0.22274977939013629</v>
      </c>
      <c r="R275" t="str">
        <f t="shared" si="23"/>
        <v>Profit</v>
      </c>
      <c r="S275" t="str">
        <f t="shared" si="24"/>
        <v>Low (1-10%)</v>
      </c>
    </row>
    <row r="276" spans="1:19" x14ac:dyDescent="0.3">
      <c r="A276" s="3" t="s">
        <v>356</v>
      </c>
      <c r="B276" s="2">
        <v>45475</v>
      </c>
      <c r="C276" s="3" t="s">
        <v>101</v>
      </c>
      <c r="D276" s="3" t="s">
        <v>16</v>
      </c>
      <c r="E276" s="3" t="s">
        <v>25</v>
      </c>
      <c r="F276" s="3" t="s">
        <v>18</v>
      </c>
      <c r="G276" s="3" t="s">
        <v>19</v>
      </c>
      <c r="H276" s="3" t="s">
        <v>20</v>
      </c>
      <c r="I276" s="5">
        <v>2245.86</v>
      </c>
      <c r="J276" s="4">
        <v>6</v>
      </c>
      <c r="K276" s="1">
        <v>27</v>
      </c>
      <c r="L276" s="4">
        <v>361.41</v>
      </c>
      <c r="M276" s="3" t="s">
        <v>51</v>
      </c>
      <c r="N276" s="3" t="s">
        <v>44</v>
      </c>
      <c r="O276" s="2" t="str">
        <f t="shared" si="20"/>
        <v>07-2024</v>
      </c>
      <c r="P276" t="str">
        <f t="shared" si="21"/>
        <v>2024</v>
      </c>
      <c r="Q276" s="6">
        <f t="shared" si="22"/>
        <v>0.16092276455344501</v>
      </c>
      <c r="R276" t="str">
        <f t="shared" si="23"/>
        <v>Profit</v>
      </c>
      <c r="S276" t="str">
        <f t="shared" si="24"/>
        <v>High (&gt;20%)</v>
      </c>
    </row>
    <row r="277" spans="1:19" x14ac:dyDescent="0.3">
      <c r="A277" s="3" t="s">
        <v>357</v>
      </c>
      <c r="B277" s="2">
        <v>45436</v>
      </c>
      <c r="C277" s="3" t="s">
        <v>42</v>
      </c>
      <c r="D277" s="3" t="s">
        <v>56</v>
      </c>
      <c r="E277" s="3" t="s">
        <v>57</v>
      </c>
      <c r="F277" s="3" t="s">
        <v>32</v>
      </c>
      <c r="G277" s="3" t="s">
        <v>112</v>
      </c>
      <c r="H277" s="3" t="s">
        <v>113</v>
      </c>
      <c r="I277" s="5">
        <v>12438.86</v>
      </c>
      <c r="J277" s="4">
        <v>7</v>
      </c>
      <c r="K277" s="1">
        <v>9</v>
      </c>
      <c r="L277" s="4">
        <v>2097.65</v>
      </c>
      <c r="M277" s="3" t="s">
        <v>21</v>
      </c>
      <c r="N277" s="3" t="s">
        <v>22</v>
      </c>
      <c r="O277" s="2" t="str">
        <f t="shared" si="20"/>
        <v>05-2024</v>
      </c>
      <c r="P277" t="str">
        <f t="shared" si="21"/>
        <v>2024</v>
      </c>
      <c r="Q277" s="6">
        <f t="shared" si="22"/>
        <v>0.16863683649466268</v>
      </c>
      <c r="R277" t="str">
        <f t="shared" si="23"/>
        <v>Profit</v>
      </c>
      <c r="S277" t="str">
        <f t="shared" si="24"/>
        <v>Low (1-10%)</v>
      </c>
    </row>
    <row r="278" spans="1:19" x14ac:dyDescent="0.3">
      <c r="A278" s="3" t="s">
        <v>358</v>
      </c>
      <c r="B278" s="2">
        <v>45506</v>
      </c>
      <c r="C278" s="3" t="s">
        <v>42</v>
      </c>
      <c r="D278" s="3" t="s">
        <v>38</v>
      </c>
      <c r="E278" s="3" t="s">
        <v>39</v>
      </c>
      <c r="F278" s="3" t="s">
        <v>32</v>
      </c>
      <c r="G278" s="3" t="s">
        <v>112</v>
      </c>
      <c r="H278" s="3" t="s">
        <v>113</v>
      </c>
      <c r="I278" s="5">
        <v>5064.3599999999997</v>
      </c>
      <c r="J278" s="4">
        <v>4</v>
      </c>
      <c r="K278" s="1">
        <v>19</v>
      </c>
      <c r="L278" s="4">
        <v>507.66</v>
      </c>
      <c r="M278" s="3" t="s">
        <v>28</v>
      </c>
      <c r="N278" s="3" t="s">
        <v>40</v>
      </c>
      <c r="O278" s="2" t="str">
        <f t="shared" si="20"/>
        <v>08-2024</v>
      </c>
      <c r="P278" t="str">
        <f t="shared" si="21"/>
        <v>2024</v>
      </c>
      <c r="Q278" s="6">
        <f t="shared" si="22"/>
        <v>0.10024168897945644</v>
      </c>
      <c r="R278" t="str">
        <f t="shared" si="23"/>
        <v>Profit</v>
      </c>
      <c r="S278" t="str">
        <f t="shared" si="24"/>
        <v>Mid (11-20%)</v>
      </c>
    </row>
    <row r="279" spans="1:19" x14ac:dyDescent="0.3">
      <c r="A279" s="3" t="s">
        <v>359</v>
      </c>
      <c r="B279" s="2">
        <v>45574</v>
      </c>
      <c r="C279" s="3" t="s">
        <v>70</v>
      </c>
      <c r="D279" s="3" t="s">
        <v>38</v>
      </c>
      <c r="E279" s="3" t="s">
        <v>53</v>
      </c>
      <c r="F279" s="3" t="s">
        <v>32</v>
      </c>
      <c r="G279" s="3" t="s">
        <v>58</v>
      </c>
      <c r="H279" s="3" t="s">
        <v>59</v>
      </c>
      <c r="I279" s="5">
        <v>472.86</v>
      </c>
      <c r="J279" s="4">
        <v>2</v>
      </c>
      <c r="K279" s="1">
        <v>0</v>
      </c>
      <c r="L279" s="4">
        <v>94.75</v>
      </c>
      <c r="M279" s="3" t="s">
        <v>28</v>
      </c>
      <c r="N279" s="3" t="s">
        <v>35</v>
      </c>
      <c r="O279" s="2" t="str">
        <f t="shared" si="20"/>
        <v>10-2024</v>
      </c>
      <c r="P279" t="str">
        <f t="shared" si="21"/>
        <v>2024</v>
      </c>
      <c r="Q279" s="6">
        <f t="shared" si="22"/>
        <v>0.20037643277079897</v>
      </c>
      <c r="R279" t="str">
        <f t="shared" si="23"/>
        <v>Profit</v>
      </c>
      <c r="S279" t="str">
        <f t="shared" si="24"/>
        <v>No Discount</v>
      </c>
    </row>
    <row r="280" spans="1:19" x14ac:dyDescent="0.3">
      <c r="A280" s="3" t="s">
        <v>360</v>
      </c>
      <c r="B280" s="2">
        <v>45767</v>
      </c>
      <c r="C280" s="3" t="s">
        <v>37</v>
      </c>
      <c r="D280" s="3" t="s">
        <v>38</v>
      </c>
      <c r="E280" s="3" t="s">
        <v>39</v>
      </c>
      <c r="F280" s="3" t="s">
        <v>62</v>
      </c>
      <c r="G280" s="3" t="s">
        <v>67</v>
      </c>
      <c r="H280" s="3" t="s">
        <v>68</v>
      </c>
      <c r="I280" s="5">
        <v>1478.69</v>
      </c>
      <c r="J280" s="4">
        <v>1</v>
      </c>
      <c r="K280" s="1">
        <v>12</v>
      </c>
      <c r="L280" s="4">
        <v>275.02999999999997</v>
      </c>
      <c r="M280" s="3" t="s">
        <v>21</v>
      </c>
      <c r="N280" s="3" t="s">
        <v>22</v>
      </c>
      <c r="O280" s="2" t="str">
        <f t="shared" si="20"/>
        <v>04-2025</v>
      </c>
      <c r="P280" t="str">
        <f t="shared" si="21"/>
        <v>2025</v>
      </c>
      <c r="Q280" s="6">
        <f t="shared" si="22"/>
        <v>0.1859957124211295</v>
      </c>
      <c r="R280" t="str">
        <f t="shared" si="23"/>
        <v>Profit</v>
      </c>
      <c r="S280" t="str">
        <f t="shared" si="24"/>
        <v>Mid (11-20%)</v>
      </c>
    </row>
    <row r="281" spans="1:19" x14ac:dyDescent="0.3">
      <c r="A281" s="3" t="s">
        <v>361</v>
      </c>
      <c r="B281" s="2">
        <v>45729</v>
      </c>
      <c r="C281" s="3" t="s">
        <v>66</v>
      </c>
      <c r="D281" s="3" t="s">
        <v>56</v>
      </c>
      <c r="E281" s="3" t="s">
        <v>61</v>
      </c>
      <c r="F281" s="3" t="s">
        <v>62</v>
      </c>
      <c r="G281" s="3" t="s">
        <v>63</v>
      </c>
      <c r="H281" s="3" t="s">
        <v>64</v>
      </c>
      <c r="I281" s="5">
        <v>18644.2</v>
      </c>
      <c r="J281" s="4">
        <v>10</v>
      </c>
      <c r="K281" s="1">
        <v>19</v>
      </c>
      <c r="L281" s="4">
        <v>2363.31</v>
      </c>
      <c r="M281" s="3" t="s">
        <v>21</v>
      </c>
      <c r="N281" s="3" t="s">
        <v>40</v>
      </c>
      <c r="O281" s="2" t="str">
        <f t="shared" si="20"/>
        <v>03-2025</v>
      </c>
      <c r="P281" t="str">
        <f t="shared" si="21"/>
        <v>2025</v>
      </c>
      <c r="Q281" s="6">
        <f t="shared" si="22"/>
        <v>0.12675845571276859</v>
      </c>
      <c r="R281" t="str">
        <f t="shared" si="23"/>
        <v>Profit</v>
      </c>
      <c r="S281" t="str">
        <f t="shared" si="24"/>
        <v>Mid (11-20%)</v>
      </c>
    </row>
    <row r="282" spans="1:19" x14ac:dyDescent="0.3">
      <c r="A282" s="3" t="s">
        <v>362</v>
      </c>
      <c r="B282" s="2">
        <v>45494</v>
      </c>
      <c r="C282" s="3" t="s">
        <v>84</v>
      </c>
      <c r="D282" s="3" t="s">
        <v>56</v>
      </c>
      <c r="E282" s="3" t="s">
        <v>108</v>
      </c>
      <c r="F282" s="3" t="s">
        <v>18</v>
      </c>
      <c r="G282" s="3" t="s">
        <v>94</v>
      </c>
      <c r="H282" s="3" t="s">
        <v>95</v>
      </c>
      <c r="I282" s="5">
        <v>4942.0200000000004</v>
      </c>
      <c r="J282" s="4">
        <v>6</v>
      </c>
      <c r="K282" s="1">
        <v>22</v>
      </c>
      <c r="L282" s="4">
        <v>631.66</v>
      </c>
      <c r="M282" s="3" t="s">
        <v>21</v>
      </c>
      <c r="N282" s="3" t="s">
        <v>40</v>
      </c>
      <c r="O282" s="2" t="str">
        <f t="shared" si="20"/>
        <v>07-2024</v>
      </c>
      <c r="P282" t="str">
        <f t="shared" si="21"/>
        <v>2024</v>
      </c>
      <c r="Q282" s="6">
        <f t="shared" si="22"/>
        <v>0.12781413268258726</v>
      </c>
      <c r="R282" t="str">
        <f t="shared" si="23"/>
        <v>Profit</v>
      </c>
      <c r="S282" t="str">
        <f t="shared" si="24"/>
        <v>High (&gt;20%)</v>
      </c>
    </row>
    <row r="283" spans="1:19" x14ac:dyDescent="0.3">
      <c r="A283" s="3" t="s">
        <v>363</v>
      </c>
      <c r="B283" s="2">
        <v>45609</v>
      </c>
      <c r="C283" s="3" t="s">
        <v>86</v>
      </c>
      <c r="D283" s="3" t="s">
        <v>16</v>
      </c>
      <c r="E283" s="3" t="s">
        <v>17</v>
      </c>
      <c r="F283" s="3" t="s">
        <v>62</v>
      </c>
      <c r="G283" s="3" t="s">
        <v>103</v>
      </c>
      <c r="H283" s="3" t="s">
        <v>104</v>
      </c>
      <c r="I283" s="5">
        <v>5029.0200000000004</v>
      </c>
      <c r="J283" s="4">
        <v>6</v>
      </c>
      <c r="K283" s="1">
        <v>19</v>
      </c>
      <c r="L283" s="4">
        <v>486.97</v>
      </c>
      <c r="M283" s="3" t="s">
        <v>28</v>
      </c>
      <c r="N283" s="3" t="s">
        <v>22</v>
      </c>
      <c r="O283" s="2" t="str">
        <f t="shared" si="20"/>
        <v>11-2024</v>
      </c>
      <c r="P283" t="str">
        <f t="shared" si="21"/>
        <v>2024</v>
      </c>
      <c r="Q283" s="6">
        <f t="shared" si="22"/>
        <v>9.6831987146601128E-2</v>
      </c>
      <c r="R283" t="str">
        <f t="shared" si="23"/>
        <v>Profit</v>
      </c>
      <c r="S283" t="str">
        <f t="shared" si="24"/>
        <v>Mid (11-20%)</v>
      </c>
    </row>
    <row r="284" spans="1:19" x14ac:dyDescent="0.3">
      <c r="A284" s="3" t="s">
        <v>364</v>
      </c>
      <c r="B284" s="2">
        <v>45514</v>
      </c>
      <c r="C284" s="3" t="s">
        <v>73</v>
      </c>
      <c r="D284" s="3" t="s">
        <v>56</v>
      </c>
      <c r="E284" s="3" t="s">
        <v>57</v>
      </c>
      <c r="F284" s="3" t="s">
        <v>18</v>
      </c>
      <c r="G284" s="3" t="s">
        <v>94</v>
      </c>
      <c r="H284" s="3" t="s">
        <v>95</v>
      </c>
      <c r="I284" s="5">
        <v>2464.6799999999998</v>
      </c>
      <c r="J284" s="4">
        <v>2</v>
      </c>
      <c r="K284" s="1">
        <v>13</v>
      </c>
      <c r="L284" s="4">
        <v>438.25</v>
      </c>
      <c r="M284" s="3" t="s">
        <v>51</v>
      </c>
      <c r="N284" s="3" t="s">
        <v>40</v>
      </c>
      <c r="O284" s="2" t="str">
        <f t="shared" si="20"/>
        <v>08-2024</v>
      </c>
      <c r="P284" t="str">
        <f t="shared" si="21"/>
        <v>2024</v>
      </c>
      <c r="Q284" s="6">
        <f t="shared" si="22"/>
        <v>0.17781212976938185</v>
      </c>
      <c r="R284" t="str">
        <f t="shared" si="23"/>
        <v>Profit</v>
      </c>
      <c r="S284" t="str">
        <f t="shared" si="24"/>
        <v>Mid (11-20%)</v>
      </c>
    </row>
    <row r="285" spans="1:19" x14ac:dyDescent="0.3">
      <c r="A285" s="3" t="s">
        <v>365</v>
      </c>
      <c r="B285" s="2">
        <v>45432</v>
      </c>
      <c r="C285" s="3" t="s">
        <v>50</v>
      </c>
      <c r="D285" s="3" t="s">
        <v>16</v>
      </c>
      <c r="E285" s="3" t="s">
        <v>25</v>
      </c>
      <c r="F285" s="3" t="s">
        <v>18</v>
      </c>
      <c r="G285" s="3" t="s">
        <v>19</v>
      </c>
      <c r="H285" s="3" t="s">
        <v>20</v>
      </c>
      <c r="I285" s="5">
        <v>3877.72</v>
      </c>
      <c r="J285" s="4">
        <v>2</v>
      </c>
      <c r="K285" s="1">
        <v>12</v>
      </c>
      <c r="L285" s="4">
        <v>722.87</v>
      </c>
      <c r="M285" s="3" t="s">
        <v>51</v>
      </c>
      <c r="N285" s="3" t="s">
        <v>22</v>
      </c>
      <c r="O285" s="2" t="str">
        <f t="shared" si="20"/>
        <v>05-2024</v>
      </c>
      <c r="P285" t="str">
        <f t="shared" si="21"/>
        <v>2024</v>
      </c>
      <c r="Q285" s="6">
        <f t="shared" si="22"/>
        <v>0.18641624459734071</v>
      </c>
      <c r="R285" t="str">
        <f t="shared" si="23"/>
        <v>Profit</v>
      </c>
      <c r="S285" t="str">
        <f t="shared" si="24"/>
        <v>Mid (11-20%)</v>
      </c>
    </row>
    <row r="286" spans="1:19" x14ac:dyDescent="0.3">
      <c r="A286" s="3" t="s">
        <v>366</v>
      </c>
      <c r="B286" s="2">
        <v>45461</v>
      </c>
      <c r="C286" s="3" t="s">
        <v>24</v>
      </c>
      <c r="D286" s="3" t="s">
        <v>16</v>
      </c>
      <c r="E286" s="3" t="s">
        <v>25</v>
      </c>
      <c r="F286" s="3" t="s">
        <v>32</v>
      </c>
      <c r="G286" s="3" t="s">
        <v>58</v>
      </c>
      <c r="H286" s="3" t="s">
        <v>59</v>
      </c>
      <c r="I286" s="5">
        <v>6679.44</v>
      </c>
      <c r="J286" s="4">
        <v>9</v>
      </c>
      <c r="K286" s="1">
        <v>1</v>
      </c>
      <c r="L286" s="4">
        <v>807.7</v>
      </c>
      <c r="M286" s="3" t="s">
        <v>21</v>
      </c>
      <c r="N286" s="3" t="s">
        <v>35</v>
      </c>
      <c r="O286" s="2" t="str">
        <f t="shared" si="20"/>
        <v>06-2024</v>
      </c>
      <c r="P286" t="str">
        <f t="shared" si="21"/>
        <v>2024</v>
      </c>
      <c r="Q286" s="6">
        <f t="shared" si="22"/>
        <v>0.12092331093624617</v>
      </c>
      <c r="R286" t="str">
        <f t="shared" si="23"/>
        <v>Profit</v>
      </c>
      <c r="S286" t="str">
        <f t="shared" si="24"/>
        <v>Low (1-10%)</v>
      </c>
    </row>
    <row r="287" spans="1:19" x14ac:dyDescent="0.3">
      <c r="A287" s="3" t="s">
        <v>367</v>
      </c>
      <c r="B287" s="2">
        <v>45672</v>
      </c>
      <c r="C287" s="3" t="s">
        <v>86</v>
      </c>
      <c r="D287" s="3" t="s">
        <v>38</v>
      </c>
      <c r="E287" s="3" t="s">
        <v>43</v>
      </c>
      <c r="F287" s="3" t="s">
        <v>62</v>
      </c>
      <c r="G287" s="3" t="s">
        <v>67</v>
      </c>
      <c r="H287" s="3" t="s">
        <v>68</v>
      </c>
      <c r="I287" s="5">
        <v>4123.8</v>
      </c>
      <c r="J287" s="4">
        <v>4</v>
      </c>
      <c r="K287" s="1">
        <v>8</v>
      </c>
      <c r="L287" s="4">
        <v>593.76</v>
      </c>
      <c r="M287" s="3" t="s">
        <v>21</v>
      </c>
      <c r="N287" s="3" t="s">
        <v>44</v>
      </c>
      <c r="O287" s="2" t="str">
        <f t="shared" si="20"/>
        <v>01-2025</v>
      </c>
      <c r="P287" t="str">
        <f t="shared" si="21"/>
        <v>2025</v>
      </c>
      <c r="Q287" s="6">
        <f t="shared" si="22"/>
        <v>0.14398370435035646</v>
      </c>
      <c r="R287" t="str">
        <f t="shared" si="23"/>
        <v>Profit</v>
      </c>
      <c r="S287" t="str">
        <f t="shared" si="24"/>
        <v>Low (1-10%)</v>
      </c>
    </row>
    <row r="288" spans="1:19" x14ac:dyDescent="0.3">
      <c r="A288" s="3" t="s">
        <v>368</v>
      </c>
      <c r="B288" s="2">
        <v>45539</v>
      </c>
      <c r="C288" s="3" t="s">
        <v>24</v>
      </c>
      <c r="D288" s="3" t="s">
        <v>56</v>
      </c>
      <c r="E288" s="3" t="s">
        <v>61</v>
      </c>
      <c r="F288" s="3" t="s">
        <v>32</v>
      </c>
      <c r="G288" s="3" t="s">
        <v>33</v>
      </c>
      <c r="H288" s="3" t="s">
        <v>34</v>
      </c>
      <c r="I288" s="5">
        <v>2261.34</v>
      </c>
      <c r="J288" s="4">
        <v>9</v>
      </c>
      <c r="K288" s="1">
        <v>8</v>
      </c>
      <c r="L288" s="4">
        <v>509.97</v>
      </c>
      <c r="M288" s="3" t="s">
        <v>21</v>
      </c>
      <c r="N288" s="3" t="s">
        <v>35</v>
      </c>
      <c r="O288" s="2" t="str">
        <f t="shared" si="20"/>
        <v>09-2024</v>
      </c>
      <c r="P288" t="str">
        <f t="shared" si="21"/>
        <v>2024</v>
      </c>
      <c r="Q288" s="6">
        <f t="shared" si="22"/>
        <v>0.22551672901907718</v>
      </c>
      <c r="R288" t="str">
        <f t="shared" si="23"/>
        <v>Profit</v>
      </c>
      <c r="S288" t="str">
        <f t="shared" si="24"/>
        <v>Low (1-10%)</v>
      </c>
    </row>
    <row r="289" spans="1:19" x14ac:dyDescent="0.3">
      <c r="A289" s="3" t="s">
        <v>369</v>
      </c>
      <c r="B289" s="2">
        <v>45754</v>
      </c>
      <c r="C289" s="3" t="s">
        <v>42</v>
      </c>
      <c r="D289" s="3" t="s">
        <v>89</v>
      </c>
      <c r="E289" s="3" t="s">
        <v>97</v>
      </c>
      <c r="F289" s="3" t="s">
        <v>62</v>
      </c>
      <c r="G289" s="3" t="s">
        <v>67</v>
      </c>
      <c r="H289" s="3" t="s">
        <v>68</v>
      </c>
      <c r="I289" s="5">
        <v>3802.44</v>
      </c>
      <c r="J289" s="4">
        <v>3</v>
      </c>
      <c r="K289" s="1">
        <v>5</v>
      </c>
      <c r="L289" s="4">
        <v>845.87</v>
      </c>
      <c r="M289" s="3" t="s">
        <v>21</v>
      </c>
      <c r="N289" s="3" t="s">
        <v>35</v>
      </c>
      <c r="O289" s="2" t="str">
        <f t="shared" si="20"/>
        <v>04-2025</v>
      </c>
      <c r="P289" t="str">
        <f t="shared" si="21"/>
        <v>2025</v>
      </c>
      <c r="Q289" s="6">
        <f t="shared" si="22"/>
        <v>0.22245452919704189</v>
      </c>
      <c r="R289" t="str">
        <f t="shared" si="23"/>
        <v>Profit</v>
      </c>
      <c r="S289" t="str">
        <f t="shared" si="24"/>
        <v>Low (1-10%)</v>
      </c>
    </row>
    <row r="290" spans="1:19" x14ac:dyDescent="0.3">
      <c r="A290" s="3" t="s">
        <v>370</v>
      </c>
      <c r="B290" s="2">
        <v>45724</v>
      </c>
      <c r="C290" s="3" t="s">
        <v>42</v>
      </c>
      <c r="D290" s="3" t="s">
        <v>16</v>
      </c>
      <c r="E290" s="3" t="s">
        <v>17</v>
      </c>
      <c r="F290" s="3" t="s">
        <v>18</v>
      </c>
      <c r="G290" s="3" t="s">
        <v>26</v>
      </c>
      <c r="H290" s="3" t="s">
        <v>27</v>
      </c>
      <c r="I290" s="5">
        <v>4210.0200000000004</v>
      </c>
      <c r="J290" s="4">
        <v>9</v>
      </c>
      <c r="K290" s="1">
        <v>12</v>
      </c>
      <c r="L290" s="4">
        <v>273.68</v>
      </c>
      <c r="M290" s="3" t="s">
        <v>21</v>
      </c>
      <c r="N290" s="3" t="s">
        <v>40</v>
      </c>
      <c r="O290" s="2" t="str">
        <f t="shared" si="20"/>
        <v>03-2025</v>
      </c>
      <c r="P290" t="str">
        <f t="shared" si="21"/>
        <v>2025</v>
      </c>
      <c r="Q290" s="6">
        <f t="shared" si="22"/>
        <v>6.5006817069752629E-2</v>
      </c>
      <c r="R290" t="str">
        <f t="shared" si="23"/>
        <v>Profit</v>
      </c>
      <c r="S290" t="str">
        <f t="shared" si="24"/>
        <v>Mid (11-20%)</v>
      </c>
    </row>
    <row r="291" spans="1:19" x14ac:dyDescent="0.3">
      <c r="A291" s="3" t="s">
        <v>371</v>
      </c>
      <c r="B291" s="2">
        <v>45748</v>
      </c>
      <c r="C291" s="3" t="s">
        <v>24</v>
      </c>
      <c r="D291" s="3" t="s">
        <v>38</v>
      </c>
      <c r="E291" s="3" t="s">
        <v>53</v>
      </c>
      <c r="F291" s="3" t="s">
        <v>62</v>
      </c>
      <c r="G291" s="3" t="s">
        <v>67</v>
      </c>
      <c r="H291" s="3" t="s">
        <v>68</v>
      </c>
      <c r="I291" s="5">
        <v>2581.6</v>
      </c>
      <c r="J291" s="4">
        <v>2</v>
      </c>
      <c r="K291" s="1">
        <v>5</v>
      </c>
      <c r="L291" s="4">
        <v>417.01</v>
      </c>
      <c r="M291" s="3" t="s">
        <v>21</v>
      </c>
      <c r="N291" s="3" t="s">
        <v>40</v>
      </c>
      <c r="O291" s="2" t="str">
        <f t="shared" si="20"/>
        <v>04-2025</v>
      </c>
      <c r="P291" t="str">
        <f t="shared" si="21"/>
        <v>2025</v>
      </c>
      <c r="Q291" s="6">
        <f t="shared" si="22"/>
        <v>0.16153160830492719</v>
      </c>
      <c r="R291" t="str">
        <f t="shared" si="23"/>
        <v>Profit</v>
      </c>
      <c r="S291" t="str">
        <f t="shared" si="24"/>
        <v>Low (1-10%)</v>
      </c>
    </row>
    <row r="292" spans="1:19" x14ac:dyDescent="0.3">
      <c r="A292" s="3" t="s">
        <v>372</v>
      </c>
      <c r="B292" s="2">
        <v>45738</v>
      </c>
      <c r="C292" s="3" t="s">
        <v>30</v>
      </c>
      <c r="D292" s="3" t="s">
        <v>38</v>
      </c>
      <c r="E292" s="3" t="s">
        <v>39</v>
      </c>
      <c r="F292" s="3" t="s">
        <v>32</v>
      </c>
      <c r="G292" s="3" t="s">
        <v>112</v>
      </c>
      <c r="H292" s="3" t="s">
        <v>113</v>
      </c>
      <c r="I292" s="5">
        <v>7488.6</v>
      </c>
      <c r="J292" s="4">
        <v>7</v>
      </c>
      <c r="K292" s="1">
        <v>17</v>
      </c>
      <c r="L292" s="4">
        <v>1006.99</v>
      </c>
      <c r="M292" s="3" t="s">
        <v>51</v>
      </c>
      <c r="N292" s="3" t="s">
        <v>44</v>
      </c>
      <c r="O292" s="2" t="str">
        <f t="shared" si="20"/>
        <v>03-2025</v>
      </c>
      <c r="P292" t="str">
        <f t="shared" si="21"/>
        <v>2025</v>
      </c>
      <c r="Q292" s="6">
        <f t="shared" si="22"/>
        <v>0.13446972731885798</v>
      </c>
      <c r="R292" t="str">
        <f t="shared" si="23"/>
        <v>Profit</v>
      </c>
      <c r="S292" t="str">
        <f t="shared" si="24"/>
        <v>Mid (11-20%)</v>
      </c>
    </row>
    <row r="293" spans="1:19" x14ac:dyDescent="0.3">
      <c r="A293" s="3" t="s">
        <v>373</v>
      </c>
      <c r="B293" s="2">
        <v>45749</v>
      </c>
      <c r="C293" s="3" t="s">
        <v>99</v>
      </c>
      <c r="D293" s="3" t="s">
        <v>38</v>
      </c>
      <c r="E293" s="3" t="s">
        <v>71</v>
      </c>
      <c r="F293" s="3" t="s">
        <v>32</v>
      </c>
      <c r="G293" s="3" t="s">
        <v>112</v>
      </c>
      <c r="H293" s="3" t="s">
        <v>113</v>
      </c>
      <c r="I293" s="5">
        <v>14933.12</v>
      </c>
      <c r="J293" s="4">
        <v>8</v>
      </c>
      <c r="K293" s="1">
        <v>5</v>
      </c>
      <c r="L293" s="4">
        <v>1934.32</v>
      </c>
      <c r="M293" s="3" t="s">
        <v>51</v>
      </c>
      <c r="N293" s="3" t="s">
        <v>40</v>
      </c>
      <c r="O293" s="2" t="str">
        <f t="shared" si="20"/>
        <v>04-2025</v>
      </c>
      <c r="P293" t="str">
        <f t="shared" si="21"/>
        <v>2025</v>
      </c>
      <c r="Q293" s="6">
        <f t="shared" si="22"/>
        <v>0.12953220760296574</v>
      </c>
      <c r="R293" t="str">
        <f t="shared" si="23"/>
        <v>Profit</v>
      </c>
      <c r="S293" t="str">
        <f t="shared" si="24"/>
        <v>Low (1-10%)</v>
      </c>
    </row>
    <row r="294" spans="1:19" x14ac:dyDescent="0.3">
      <c r="A294" s="3" t="s">
        <v>374</v>
      </c>
      <c r="B294" s="2">
        <v>45446</v>
      </c>
      <c r="C294" s="3" t="s">
        <v>50</v>
      </c>
      <c r="D294" s="3" t="s">
        <v>89</v>
      </c>
      <c r="E294" s="3" t="s">
        <v>116</v>
      </c>
      <c r="F294" s="3" t="s">
        <v>62</v>
      </c>
      <c r="G294" s="3" t="s">
        <v>103</v>
      </c>
      <c r="H294" s="3" t="s">
        <v>104</v>
      </c>
      <c r="I294" s="5">
        <v>5846.7</v>
      </c>
      <c r="J294" s="4">
        <v>6</v>
      </c>
      <c r="K294" s="1">
        <v>27</v>
      </c>
      <c r="L294" s="4">
        <v>295.01</v>
      </c>
      <c r="M294" s="3" t="s">
        <v>21</v>
      </c>
      <c r="N294" s="3" t="s">
        <v>35</v>
      </c>
      <c r="O294" s="2" t="str">
        <f t="shared" si="20"/>
        <v>06-2024</v>
      </c>
      <c r="P294" t="str">
        <f t="shared" si="21"/>
        <v>2024</v>
      </c>
      <c r="Q294" s="6">
        <f t="shared" si="22"/>
        <v>5.0457523047189014E-2</v>
      </c>
      <c r="R294" t="str">
        <f t="shared" si="23"/>
        <v>Profit</v>
      </c>
      <c r="S294" t="str">
        <f t="shared" si="24"/>
        <v>High (&gt;20%)</v>
      </c>
    </row>
    <row r="295" spans="1:19" x14ac:dyDescent="0.3">
      <c r="A295" s="3" t="s">
        <v>375</v>
      </c>
      <c r="B295" s="2">
        <v>45631</v>
      </c>
      <c r="C295" s="3" t="s">
        <v>73</v>
      </c>
      <c r="D295" s="3" t="s">
        <v>56</v>
      </c>
      <c r="E295" s="3" t="s">
        <v>57</v>
      </c>
      <c r="F295" s="3" t="s">
        <v>62</v>
      </c>
      <c r="G295" s="3" t="s">
        <v>103</v>
      </c>
      <c r="H295" s="3" t="s">
        <v>104</v>
      </c>
      <c r="I295" s="5">
        <v>13209.21</v>
      </c>
      <c r="J295" s="4">
        <v>7</v>
      </c>
      <c r="K295" s="1">
        <v>27</v>
      </c>
      <c r="L295" s="4">
        <v>968.94</v>
      </c>
      <c r="M295" s="3" t="s">
        <v>51</v>
      </c>
      <c r="N295" s="3" t="s">
        <v>35</v>
      </c>
      <c r="O295" s="2" t="str">
        <f t="shared" si="20"/>
        <v>12-2024</v>
      </c>
      <c r="P295" t="str">
        <f t="shared" si="21"/>
        <v>2024</v>
      </c>
      <c r="Q295" s="6">
        <f t="shared" si="22"/>
        <v>7.3353364811370253E-2</v>
      </c>
      <c r="R295" t="str">
        <f t="shared" si="23"/>
        <v>Profit</v>
      </c>
      <c r="S295" t="str">
        <f t="shared" si="24"/>
        <v>High (&gt;20%)</v>
      </c>
    </row>
    <row r="296" spans="1:19" x14ac:dyDescent="0.3">
      <c r="A296" s="3" t="s">
        <v>376</v>
      </c>
      <c r="B296" s="2">
        <v>45475</v>
      </c>
      <c r="C296" s="3" t="s">
        <v>24</v>
      </c>
      <c r="D296" s="3" t="s">
        <v>38</v>
      </c>
      <c r="E296" s="3" t="s">
        <v>71</v>
      </c>
      <c r="F296" s="3" t="s">
        <v>32</v>
      </c>
      <c r="G296" s="3" t="s">
        <v>112</v>
      </c>
      <c r="H296" s="3" t="s">
        <v>113</v>
      </c>
      <c r="I296" s="5">
        <v>1213.32</v>
      </c>
      <c r="J296" s="4">
        <v>1</v>
      </c>
      <c r="K296" s="1">
        <v>2</v>
      </c>
      <c r="L296" s="4">
        <v>265.82</v>
      </c>
      <c r="M296" s="3" t="s">
        <v>51</v>
      </c>
      <c r="N296" s="3" t="s">
        <v>40</v>
      </c>
      <c r="O296" s="2" t="str">
        <f t="shared" si="20"/>
        <v>07-2024</v>
      </c>
      <c r="P296" t="str">
        <f t="shared" si="21"/>
        <v>2024</v>
      </c>
      <c r="Q296" s="6">
        <f t="shared" si="22"/>
        <v>0.21908482510796823</v>
      </c>
      <c r="R296" t="str">
        <f t="shared" si="23"/>
        <v>Profit</v>
      </c>
      <c r="S296" t="str">
        <f t="shared" si="24"/>
        <v>Low (1-10%)</v>
      </c>
    </row>
    <row r="297" spans="1:19" x14ac:dyDescent="0.3">
      <c r="A297" s="3" t="s">
        <v>377</v>
      </c>
      <c r="B297" s="2">
        <v>45758</v>
      </c>
      <c r="C297" s="3" t="s">
        <v>66</v>
      </c>
      <c r="D297" s="3" t="s">
        <v>89</v>
      </c>
      <c r="E297" s="3" t="s">
        <v>97</v>
      </c>
      <c r="F297" s="3" t="s">
        <v>32</v>
      </c>
      <c r="G297" s="3" t="s">
        <v>47</v>
      </c>
      <c r="H297" s="3" t="s">
        <v>48</v>
      </c>
      <c r="I297" s="5">
        <v>2540.7600000000002</v>
      </c>
      <c r="J297" s="4">
        <v>6</v>
      </c>
      <c r="K297" s="1">
        <v>2</v>
      </c>
      <c r="L297" s="4">
        <v>289.39</v>
      </c>
      <c r="M297" s="3" t="s">
        <v>21</v>
      </c>
      <c r="N297" s="3" t="s">
        <v>44</v>
      </c>
      <c r="O297" s="2" t="str">
        <f t="shared" si="20"/>
        <v>04-2025</v>
      </c>
      <c r="P297" t="str">
        <f t="shared" si="21"/>
        <v>2025</v>
      </c>
      <c r="Q297" s="6">
        <f t="shared" si="22"/>
        <v>0.11389899085313054</v>
      </c>
      <c r="R297" t="str">
        <f t="shared" si="23"/>
        <v>Profit</v>
      </c>
      <c r="S297" t="str">
        <f t="shared" si="24"/>
        <v>Low (1-10%)</v>
      </c>
    </row>
    <row r="298" spans="1:19" x14ac:dyDescent="0.3">
      <c r="A298" s="3" t="s">
        <v>378</v>
      </c>
      <c r="B298" s="2">
        <v>45633</v>
      </c>
      <c r="C298" s="3" t="s">
        <v>42</v>
      </c>
      <c r="D298" s="3" t="s">
        <v>38</v>
      </c>
      <c r="E298" s="3" t="s">
        <v>43</v>
      </c>
      <c r="F298" s="3" t="s">
        <v>18</v>
      </c>
      <c r="G298" s="3" t="s">
        <v>76</v>
      </c>
      <c r="H298" s="3" t="s">
        <v>77</v>
      </c>
      <c r="I298" s="5">
        <v>6833.76</v>
      </c>
      <c r="J298" s="4">
        <v>8</v>
      </c>
      <c r="K298" s="1">
        <v>5</v>
      </c>
      <c r="L298" s="4">
        <v>899.79</v>
      </c>
      <c r="M298" s="3" t="s">
        <v>28</v>
      </c>
      <c r="N298" s="3" t="s">
        <v>35</v>
      </c>
      <c r="O298" s="2" t="str">
        <f t="shared" si="20"/>
        <v>12-2024</v>
      </c>
      <c r="P298" t="str">
        <f t="shared" si="21"/>
        <v>2024</v>
      </c>
      <c r="Q298" s="6">
        <f t="shared" si="22"/>
        <v>0.13166836412165484</v>
      </c>
      <c r="R298" t="str">
        <f t="shared" si="23"/>
        <v>Profit</v>
      </c>
      <c r="S298" t="str">
        <f t="shared" si="24"/>
        <v>Low (1-10%)</v>
      </c>
    </row>
    <row r="299" spans="1:19" x14ac:dyDescent="0.3">
      <c r="A299" s="3" t="s">
        <v>379</v>
      </c>
      <c r="B299" s="2">
        <v>45638</v>
      </c>
      <c r="C299" s="3" t="s">
        <v>30</v>
      </c>
      <c r="D299" s="3" t="s">
        <v>89</v>
      </c>
      <c r="E299" s="3" t="s">
        <v>97</v>
      </c>
      <c r="F299" s="3" t="s">
        <v>32</v>
      </c>
      <c r="G299" s="3" t="s">
        <v>47</v>
      </c>
      <c r="H299" s="3" t="s">
        <v>48</v>
      </c>
      <c r="I299" s="5">
        <v>13150.88</v>
      </c>
      <c r="J299" s="4">
        <v>8</v>
      </c>
      <c r="K299" s="1">
        <v>1</v>
      </c>
      <c r="L299" s="4">
        <v>1750.48</v>
      </c>
      <c r="M299" s="3" t="s">
        <v>21</v>
      </c>
      <c r="N299" s="3" t="s">
        <v>40</v>
      </c>
      <c r="O299" s="2" t="str">
        <f t="shared" si="20"/>
        <v>12-2024</v>
      </c>
      <c r="P299" t="str">
        <f t="shared" si="21"/>
        <v>2024</v>
      </c>
      <c r="Q299" s="6">
        <f t="shared" si="22"/>
        <v>0.1331074422396068</v>
      </c>
      <c r="R299" t="str">
        <f t="shared" si="23"/>
        <v>Profit</v>
      </c>
      <c r="S299" t="str">
        <f t="shared" si="24"/>
        <v>Low (1-10%)</v>
      </c>
    </row>
    <row r="300" spans="1:19" x14ac:dyDescent="0.3">
      <c r="A300" s="3" t="s">
        <v>380</v>
      </c>
      <c r="B300" s="2">
        <v>45487</v>
      </c>
      <c r="C300" s="3" t="s">
        <v>73</v>
      </c>
      <c r="D300" s="3" t="s">
        <v>89</v>
      </c>
      <c r="E300" s="3" t="s">
        <v>116</v>
      </c>
      <c r="F300" s="3" t="s">
        <v>32</v>
      </c>
      <c r="G300" s="3" t="s">
        <v>112</v>
      </c>
      <c r="H300" s="3" t="s">
        <v>113</v>
      </c>
      <c r="I300" s="5">
        <v>6603</v>
      </c>
      <c r="J300" s="4">
        <v>10</v>
      </c>
      <c r="K300" s="1">
        <v>27</v>
      </c>
      <c r="L300" s="4">
        <v>922.36</v>
      </c>
      <c r="M300" s="3" t="s">
        <v>28</v>
      </c>
      <c r="N300" s="3" t="s">
        <v>22</v>
      </c>
      <c r="O300" s="2" t="str">
        <f t="shared" si="20"/>
        <v>07-2024</v>
      </c>
      <c r="P300" t="str">
        <f t="shared" si="21"/>
        <v>2024</v>
      </c>
      <c r="Q300" s="6">
        <f t="shared" si="22"/>
        <v>0.13968802059669846</v>
      </c>
      <c r="R300" t="str">
        <f t="shared" si="23"/>
        <v>Profit</v>
      </c>
      <c r="S300" t="str">
        <f t="shared" si="24"/>
        <v>High (&gt;20%)</v>
      </c>
    </row>
    <row r="301" spans="1:19" x14ac:dyDescent="0.3">
      <c r="A301" s="3" t="s">
        <v>381</v>
      </c>
      <c r="B301" s="2">
        <v>45490</v>
      </c>
      <c r="C301" s="3" t="s">
        <v>50</v>
      </c>
      <c r="D301" s="3" t="s">
        <v>89</v>
      </c>
      <c r="E301" s="3" t="s">
        <v>116</v>
      </c>
      <c r="F301" s="3" t="s">
        <v>62</v>
      </c>
      <c r="G301" s="3" t="s">
        <v>103</v>
      </c>
      <c r="H301" s="3" t="s">
        <v>104</v>
      </c>
      <c r="I301" s="5">
        <v>7474.92</v>
      </c>
      <c r="J301" s="4">
        <v>6</v>
      </c>
      <c r="K301" s="1">
        <v>21</v>
      </c>
      <c r="L301" s="4">
        <v>981.6</v>
      </c>
      <c r="M301" s="3" t="s">
        <v>21</v>
      </c>
      <c r="N301" s="3" t="s">
        <v>22</v>
      </c>
      <c r="O301" s="2" t="str">
        <f t="shared" si="20"/>
        <v>07-2024</v>
      </c>
      <c r="P301" t="str">
        <f t="shared" si="21"/>
        <v>2024</v>
      </c>
      <c r="Q301" s="6">
        <f t="shared" si="22"/>
        <v>0.13131913117464802</v>
      </c>
      <c r="R301" t="str">
        <f t="shared" si="23"/>
        <v>Profit</v>
      </c>
      <c r="S301" t="str">
        <f t="shared" si="24"/>
        <v>High (&gt;20%)</v>
      </c>
    </row>
    <row r="302" spans="1:19" x14ac:dyDescent="0.3">
      <c r="A302" s="3" t="s">
        <v>382</v>
      </c>
      <c r="B302" s="2">
        <v>45484</v>
      </c>
      <c r="C302" s="3" t="s">
        <v>66</v>
      </c>
      <c r="D302" s="3" t="s">
        <v>56</v>
      </c>
      <c r="E302" s="3" t="s">
        <v>108</v>
      </c>
      <c r="F302" s="3" t="s">
        <v>62</v>
      </c>
      <c r="G302" s="3" t="s">
        <v>80</v>
      </c>
      <c r="H302" s="3" t="s">
        <v>81</v>
      </c>
      <c r="I302" s="5">
        <v>7753.2</v>
      </c>
      <c r="J302" s="4">
        <v>7</v>
      </c>
      <c r="K302" s="1">
        <v>8</v>
      </c>
      <c r="L302" s="4">
        <v>1136.17</v>
      </c>
      <c r="M302" s="3" t="s">
        <v>51</v>
      </c>
      <c r="N302" s="3" t="s">
        <v>40</v>
      </c>
      <c r="O302" s="2" t="str">
        <f t="shared" si="20"/>
        <v>07-2024</v>
      </c>
      <c r="P302" t="str">
        <f t="shared" si="21"/>
        <v>2024</v>
      </c>
      <c r="Q302" s="6">
        <f t="shared" si="22"/>
        <v>0.14654207295052366</v>
      </c>
      <c r="R302" t="str">
        <f t="shared" si="23"/>
        <v>Profit</v>
      </c>
      <c r="S302" t="str">
        <f t="shared" si="24"/>
        <v>Low (1-10%)</v>
      </c>
    </row>
    <row r="303" spans="1:19" x14ac:dyDescent="0.3">
      <c r="A303" s="3" t="s">
        <v>383</v>
      </c>
      <c r="B303" s="2">
        <v>45771</v>
      </c>
      <c r="C303" s="3" t="s">
        <v>84</v>
      </c>
      <c r="D303" s="3" t="s">
        <v>56</v>
      </c>
      <c r="E303" s="3" t="s">
        <v>108</v>
      </c>
      <c r="F303" s="3" t="s">
        <v>32</v>
      </c>
      <c r="G303" s="3" t="s">
        <v>47</v>
      </c>
      <c r="H303" s="3" t="s">
        <v>48</v>
      </c>
      <c r="I303" s="5">
        <v>4486.2</v>
      </c>
      <c r="J303" s="4">
        <v>4</v>
      </c>
      <c r="K303" s="1">
        <v>22</v>
      </c>
      <c r="L303" s="4">
        <v>450.58</v>
      </c>
      <c r="M303" s="3" t="s">
        <v>21</v>
      </c>
      <c r="N303" s="3" t="s">
        <v>35</v>
      </c>
      <c r="O303" s="2" t="str">
        <f t="shared" si="20"/>
        <v>04-2025</v>
      </c>
      <c r="P303" t="str">
        <f t="shared" si="21"/>
        <v>2025</v>
      </c>
      <c r="Q303" s="6">
        <f t="shared" si="22"/>
        <v>0.10043689536801748</v>
      </c>
      <c r="R303" t="str">
        <f t="shared" si="23"/>
        <v>Profit</v>
      </c>
      <c r="S303" t="str">
        <f t="shared" si="24"/>
        <v>High (&gt;20%)</v>
      </c>
    </row>
    <row r="304" spans="1:19" x14ac:dyDescent="0.3">
      <c r="A304" s="3" t="s">
        <v>384</v>
      </c>
      <c r="B304" s="2">
        <v>45745</v>
      </c>
      <c r="C304" s="3" t="s">
        <v>133</v>
      </c>
      <c r="D304" s="3" t="s">
        <v>56</v>
      </c>
      <c r="E304" s="3" t="s">
        <v>61</v>
      </c>
      <c r="F304" s="3" t="s">
        <v>62</v>
      </c>
      <c r="G304" s="3" t="s">
        <v>80</v>
      </c>
      <c r="H304" s="3" t="s">
        <v>81</v>
      </c>
      <c r="I304" s="5">
        <v>3678.36</v>
      </c>
      <c r="J304" s="4">
        <v>4</v>
      </c>
      <c r="K304" s="1">
        <v>26</v>
      </c>
      <c r="L304" s="4">
        <v>174.5</v>
      </c>
      <c r="M304" s="3" t="s">
        <v>21</v>
      </c>
      <c r="N304" s="3" t="s">
        <v>40</v>
      </c>
      <c r="O304" s="2" t="str">
        <f t="shared" si="20"/>
        <v>03-2025</v>
      </c>
      <c r="P304" t="str">
        <f t="shared" si="21"/>
        <v>2025</v>
      </c>
      <c r="Q304" s="6">
        <f t="shared" si="22"/>
        <v>4.7439619830576665E-2</v>
      </c>
      <c r="R304" t="str">
        <f t="shared" si="23"/>
        <v>Profit</v>
      </c>
      <c r="S304" t="str">
        <f t="shared" si="24"/>
        <v>High (&gt;20%)</v>
      </c>
    </row>
    <row r="305" spans="1:19" x14ac:dyDescent="0.3">
      <c r="A305" s="3" t="s">
        <v>385</v>
      </c>
      <c r="B305" s="2">
        <v>45456</v>
      </c>
      <c r="C305" s="3" t="s">
        <v>133</v>
      </c>
      <c r="D305" s="3" t="s">
        <v>38</v>
      </c>
      <c r="E305" s="3" t="s">
        <v>53</v>
      </c>
      <c r="F305" s="3" t="s">
        <v>62</v>
      </c>
      <c r="G305" s="3" t="s">
        <v>80</v>
      </c>
      <c r="H305" s="3" t="s">
        <v>81</v>
      </c>
      <c r="I305" s="5">
        <v>1635.62</v>
      </c>
      <c r="J305" s="4">
        <v>2</v>
      </c>
      <c r="K305" s="1">
        <v>16</v>
      </c>
      <c r="L305" s="4">
        <v>165.3</v>
      </c>
      <c r="M305" s="3" t="s">
        <v>51</v>
      </c>
      <c r="N305" s="3" t="s">
        <v>44</v>
      </c>
      <c r="O305" s="2" t="str">
        <f t="shared" si="20"/>
        <v>06-2024</v>
      </c>
      <c r="P305" t="str">
        <f t="shared" si="21"/>
        <v>2024</v>
      </c>
      <c r="Q305" s="6">
        <f t="shared" si="22"/>
        <v>0.10106259400105161</v>
      </c>
      <c r="R305" t="str">
        <f t="shared" si="23"/>
        <v>Profit</v>
      </c>
      <c r="S305" t="str">
        <f t="shared" si="24"/>
        <v>Mid (11-20%)</v>
      </c>
    </row>
    <row r="306" spans="1:19" x14ac:dyDescent="0.3">
      <c r="A306" s="3" t="s">
        <v>386</v>
      </c>
      <c r="B306" s="2">
        <v>45559</v>
      </c>
      <c r="C306" s="3" t="s">
        <v>66</v>
      </c>
      <c r="D306" s="3" t="s">
        <v>56</v>
      </c>
      <c r="E306" s="3" t="s">
        <v>57</v>
      </c>
      <c r="F306" s="3" t="s">
        <v>32</v>
      </c>
      <c r="G306" s="3" t="s">
        <v>33</v>
      </c>
      <c r="H306" s="3" t="s">
        <v>34</v>
      </c>
      <c r="I306" s="5">
        <v>5816.9</v>
      </c>
      <c r="J306" s="4">
        <v>10</v>
      </c>
      <c r="K306" s="1">
        <v>13</v>
      </c>
      <c r="L306" s="4">
        <v>955.4</v>
      </c>
      <c r="M306" s="3" t="s">
        <v>21</v>
      </c>
      <c r="N306" s="3" t="s">
        <v>22</v>
      </c>
      <c r="O306" s="2" t="str">
        <f t="shared" si="20"/>
        <v>09-2024</v>
      </c>
      <c r="P306" t="str">
        <f t="shared" si="21"/>
        <v>2024</v>
      </c>
      <c r="Q306" s="6">
        <f t="shared" si="22"/>
        <v>0.16424556035001461</v>
      </c>
      <c r="R306" t="str">
        <f t="shared" si="23"/>
        <v>Profit</v>
      </c>
      <c r="S306" t="str">
        <f t="shared" si="24"/>
        <v>Mid (11-20%)</v>
      </c>
    </row>
    <row r="307" spans="1:19" x14ac:dyDescent="0.3">
      <c r="A307" s="3" t="s">
        <v>387</v>
      </c>
      <c r="B307" s="2">
        <v>45546</v>
      </c>
      <c r="C307" s="3" t="s">
        <v>66</v>
      </c>
      <c r="D307" s="3" t="s">
        <v>89</v>
      </c>
      <c r="E307" s="3" t="s">
        <v>90</v>
      </c>
      <c r="F307" s="3" t="s">
        <v>62</v>
      </c>
      <c r="G307" s="3" t="s">
        <v>63</v>
      </c>
      <c r="H307" s="3" t="s">
        <v>64</v>
      </c>
      <c r="I307" s="5">
        <v>2113.75</v>
      </c>
      <c r="J307" s="4">
        <v>5</v>
      </c>
      <c r="K307" s="1">
        <v>29</v>
      </c>
      <c r="L307" s="4">
        <v>285.45</v>
      </c>
      <c r="M307" s="3" t="s">
        <v>51</v>
      </c>
      <c r="N307" s="3" t="s">
        <v>35</v>
      </c>
      <c r="O307" s="2" t="str">
        <f t="shared" si="20"/>
        <v>09-2024</v>
      </c>
      <c r="P307" t="str">
        <f t="shared" si="21"/>
        <v>2024</v>
      </c>
      <c r="Q307" s="6">
        <f t="shared" si="22"/>
        <v>0.13504435245416913</v>
      </c>
      <c r="R307" t="str">
        <f t="shared" si="23"/>
        <v>Profit</v>
      </c>
      <c r="S307" t="str">
        <f t="shared" si="24"/>
        <v>High (&gt;20%)</v>
      </c>
    </row>
    <row r="308" spans="1:19" x14ac:dyDescent="0.3">
      <c r="A308" s="3" t="s">
        <v>388</v>
      </c>
      <c r="B308" s="2">
        <v>45754</v>
      </c>
      <c r="C308" s="3" t="s">
        <v>70</v>
      </c>
      <c r="D308" s="3" t="s">
        <v>56</v>
      </c>
      <c r="E308" s="3" t="s">
        <v>61</v>
      </c>
      <c r="F308" s="3" t="s">
        <v>18</v>
      </c>
      <c r="G308" s="3" t="s">
        <v>26</v>
      </c>
      <c r="H308" s="3" t="s">
        <v>27</v>
      </c>
      <c r="I308" s="5">
        <v>5635.68</v>
      </c>
      <c r="J308" s="4">
        <v>3</v>
      </c>
      <c r="K308" s="1">
        <v>8</v>
      </c>
      <c r="L308" s="4">
        <v>804.34</v>
      </c>
      <c r="M308" s="3" t="s">
        <v>51</v>
      </c>
      <c r="N308" s="3" t="s">
        <v>35</v>
      </c>
      <c r="O308" s="2" t="str">
        <f t="shared" si="20"/>
        <v>04-2025</v>
      </c>
      <c r="P308" t="str">
        <f t="shared" si="21"/>
        <v>2025</v>
      </c>
      <c r="Q308" s="6">
        <f t="shared" si="22"/>
        <v>0.14272279476478436</v>
      </c>
      <c r="R308" t="str">
        <f t="shared" si="23"/>
        <v>Profit</v>
      </c>
      <c r="S308" t="str">
        <f t="shared" si="24"/>
        <v>Low (1-10%)</v>
      </c>
    </row>
    <row r="309" spans="1:19" x14ac:dyDescent="0.3">
      <c r="A309" s="3" t="s">
        <v>389</v>
      </c>
      <c r="B309" s="2">
        <v>45562</v>
      </c>
      <c r="C309" s="3" t="s">
        <v>133</v>
      </c>
      <c r="D309" s="3" t="s">
        <v>38</v>
      </c>
      <c r="E309" s="3" t="s">
        <v>53</v>
      </c>
      <c r="F309" s="3" t="s">
        <v>32</v>
      </c>
      <c r="G309" s="3" t="s">
        <v>58</v>
      </c>
      <c r="H309" s="3" t="s">
        <v>59</v>
      </c>
      <c r="I309" s="5">
        <v>1873.53</v>
      </c>
      <c r="J309" s="4">
        <v>9</v>
      </c>
      <c r="K309" s="1">
        <v>4</v>
      </c>
      <c r="L309" s="4">
        <v>365.97</v>
      </c>
      <c r="M309" s="3" t="s">
        <v>51</v>
      </c>
      <c r="N309" s="3" t="s">
        <v>22</v>
      </c>
      <c r="O309" s="2" t="str">
        <f t="shared" si="20"/>
        <v>09-2024</v>
      </c>
      <c r="P309" t="str">
        <f t="shared" si="21"/>
        <v>2024</v>
      </c>
      <c r="Q309" s="6">
        <f t="shared" si="22"/>
        <v>0.19533714432114779</v>
      </c>
      <c r="R309" t="str">
        <f t="shared" si="23"/>
        <v>Profit</v>
      </c>
      <c r="S309" t="str">
        <f t="shared" si="24"/>
        <v>Low (1-10%)</v>
      </c>
    </row>
    <row r="310" spans="1:19" x14ac:dyDescent="0.3">
      <c r="A310" s="3" t="s">
        <v>390</v>
      </c>
      <c r="B310" s="2">
        <v>45705</v>
      </c>
      <c r="C310" s="3" t="s">
        <v>86</v>
      </c>
      <c r="D310" s="3" t="s">
        <v>16</v>
      </c>
      <c r="E310" s="3" t="s">
        <v>25</v>
      </c>
      <c r="F310" s="3" t="s">
        <v>32</v>
      </c>
      <c r="G310" s="3" t="s">
        <v>112</v>
      </c>
      <c r="H310" s="3" t="s">
        <v>113</v>
      </c>
      <c r="I310" s="5">
        <v>3115.26</v>
      </c>
      <c r="J310" s="4">
        <v>6</v>
      </c>
      <c r="K310" s="1">
        <v>30</v>
      </c>
      <c r="L310" s="4">
        <v>345.2</v>
      </c>
      <c r="M310" s="3" t="s">
        <v>28</v>
      </c>
      <c r="N310" s="3" t="s">
        <v>44</v>
      </c>
      <c r="O310" s="2" t="str">
        <f t="shared" si="20"/>
        <v>02-2025</v>
      </c>
      <c r="P310" t="str">
        <f t="shared" si="21"/>
        <v>2025</v>
      </c>
      <c r="Q310" s="6">
        <f t="shared" si="22"/>
        <v>0.11080937064643079</v>
      </c>
      <c r="R310" t="str">
        <f t="shared" si="23"/>
        <v>Profit</v>
      </c>
      <c r="S310" t="str">
        <f t="shared" si="24"/>
        <v>High (&gt;20%)</v>
      </c>
    </row>
    <row r="311" spans="1:19" x14ac:dyDescent="0.3">
      <c r="A311" s="3" t="s">
        <v>391</v>
      </c>
      <c r="B311" s="2">
        <v>45650</v>
      </c>
      <c r="C311" s="3" t="s">
        <v>75</v>
      </c>
      <c r="D311" s="3" t="s">
        <v>16</v>
      </c>
      <c r="E311" s="3" t="s">
        <v>25</v>
      </c>
      <c r="F311" s="3" t="s">
        <v>18</v>
      </c>
      <c r="G311" s="3" t="s">
        <v>94</v>
      </c>
      <c r="H311" s="3" t="s">
        <v>95</v>
      </c>
      <c r="I311" s="5">
        <v>5687</v>
      </c>
      <c r="J311" s="4">
        <v>5</v>
      </c>
      <c r="K311" s="1">
        <v>28</v>
      </c>
      <c r="L311" s="4">
        <v>574.04999999999995</v>
      </c>
      <c r="M311" s="3" t="s">
        <v>28</v>
      </c>
      <c r="N311" s="3" t="s">
        <v>44</v>
      </c>
      <c r="O311" s="2" t="str">
        <f t="shared" si="20"/>
        <v>12-2024</v>
      </c>
      <c r="P311" t="str">
        <f t="shared" si="21"/>
        <v>2024</v>
      </c>
      <c r="Q311" s="6">
        <f t="shared" si="22"/>
        <v>0.10094074204325654</v>
      </c>
      <c r="R311" t="str">
        <f t="shared" si="23"/>
        <v>Profit</v>
      </c>
      <c r="S311" t="str">
        <f t="shared" si="24"/>
        <v>High (&gt;20%)</v>
      </c>
    </row>
    <row r="312" spans="1:19" x14ac:dyDescent="0.3">
      <c r="A312" s="3" t="s">
        <v>392</v>
      </c>
      <c r="B312" s="2">
        <v>45777</v>
      </c>
      <c r="C312" s="3" t="s">
        <v>99</v>
      </c>
      <c r="D312" s="3" t="s">
        <v>38</v>
      </c>
      <c r="E312" s="3" t="s">
        <v>53</v>
      </c>
      <c r="F312" s="3" t="s">
        <v>18</v>
      </c>
      <c r="G312" s="3" t="s">
        <v>76</v>
      </c>
      <c r="H312" s="3" t="s">
        <v>77</v>
      </c>
      <c r="I312" s="5">
        <v>7704.48</v>
      </c>
      <c r="J312" s="4">
        <v>8</v>
      </c>
      <c r="K312" s="1">
        <v>15</v>
      </c>
      <c r="L312" s="4">
        <v>405.89</v>
      </c>
      <c r="M312" s="3" t="s">
        <v>51</v>
      </c>
      <c r="N312" s="3" t="s">
        <v>44</v>
      </c>
      <c r="O312" s="2" t="str">
        <f t="shared" si="20"/>
        <v>04-2025</v>
      </c>
      <c r="P312" t="str">
        <f t="shared" si="21"/>
        <v>2025</v>
      </c>
      <c r="Q312" s="6">
        <f t="shared" si="22"/>
        <v>5.268233547234856E-2</v>
      </c>
      <c r="R312" t="str">
        <f t="shared" si="23"/>
        <v>Profit</v>
      </c>
      <c r="S312" t="str">
        <f t="shared" si="24"/>
        <v>Mid (11-20%)</v>
      </c>
    </row>
    <row r="313" spans="1:19" x14ac:dyDescent="0.3">
      <c r="A313" s="3" t="s">
        <v>393</v>
      </c>
      <c r="B313" s="2">
        <v>45661</v>
      </c>
      <c r="C313" s="3" t="s">
        <v>101</v>
      </c>
      <c r="D313" s="3" t="s">
        <v>16</v>
      </c>
      <c r="E313" s="3" t="s">
        <v>25</v>
      </c>
      <c r="F313" s="3" t="s">
        <v>18</v>
      </c>
      <c r="G313" s="3" t="s">
        <v>19</v>
      </c>
      <c r="H313" s="3" t="s">
        <v>20</v>
      </c>
      <c r="I313" s="5">
        <v>8439.6</v>
      </c>
      <c r="J313" s="4">
        <v>10</v>
      </c>
      <c r="K313" s="1">
        <v>27</v>
      </c>
      <c r="L313" s="4">
        <v>907.33</v>
      </c>
      <c r="M313" s="3" t="s">
        <v>28</v>
      </c>
      <c r="N313" s="3" t="s">
        <v>44</v>
      </c>
      <c r="O313" s="2" t="str">
        <f t="shared" si="20"/>
        <v>01-2025</v>
      </c>
      <c r="P313" t="str">
        <f t="shared" si="21"/>
        <v>2025</v>
      </c>
      <c r="Q313" s="6">
        <f t="shared" si="22"/>
        <v>0.10750864969903787</v>
      </c>
      <c r="R313" t="str">
        <f t="shared" si="23"/>
        <v>Profit</v>
      </c>
      <c r="S313" t="str">
        <f t="shared" si="24"/>
        <v>High (&gt;20%)</v>
      </c>
    </row>
    <row r="314" spans="1:19" x14ac:dyDescent="0.3">
      <c r="A314" s="3" t="s">
        <v>394</v>
      </c>
      <c r="B314" s="2">
        <v>45598</v>
      </c>
      <c r="C314" s="3" t="s">
        <v>24</v>
      </c>
      <c r="D314" s="3" t="s">
        <v>56</v>
      </c>
      <c r="E314" s="3" t="s">
        <v>57</v>
      </c>
      <c r="F314" s="3" t="s">
        <v>18</v>
      </c>
      <c r="G314" s="3" t="s">
        <v>76</v>
      </c>
      <c r="H314" s="3" t="s">
        <v>77</v>
      </c>
      <c r="I314" s="5">
        <v>3395.94</v>
      </c>
      <c r="J314" s="4">
        <v>3</v>
      </c>
      <c r="K314" s="1">
        <v>7.0000000000000009</v>
      </c>
      <c r="L314" s="4">
        <v>634.03</v>
      </c>
      <c r="M314" s="3" t="s">
        <v>51</v>
      </c>
      <c r="N314" s="3" t="s">
        <v>22</v>
      </c>
      <c r="O314" s="2" t="str">
        <f t="shared" si="20"/>
        <v>11-2024</v>
      </c>
      <c r="P314" t="str">
        <f t="shared" si="21"/>
        <v>2024</v>
      </c>
      <c r="Q314" s="6">
        <f t="shared" si="22"/>
        <v>0.18670235634316271</v>
      </c>
      <c r="R314" t="str">
        <f t="shared" si="23"/>
        <v>Profit</v>
      </c>
      <c r="S314" t="str">
        <f t="shared" si="24"/>
        <v>Low (1-10%)</v>
      </c>
    </row>
    <row r="315" spans="1:19" x14ac:dyDescent="0.3">
      <c r="A315" s="3" t="s">
        <v>395</v>
      </c>
      <c r="B315" s="2">
        <v>45729</v>
      </c>
      <c r="C315" s="3" t="s">
        <v>24</v>
      </c>
      <c r="D315" s="3" t="s">
        <v>56</v>
      </c>
      <c r="E315" s="3" t="s">
        <v>61</v>
      </c>
      <c r="F315" s="3" t="s">
        <v>18</v>
      </c>
      <c r="G315" s="3" t="s">
        <v>19</v>
      </c>
      <c r="H315" s="3" t="s">
        <v>20</v>
      </c>
      <c r="I315" s="5">
        <v>3477.48</v>
      </c>
      <c r="J315" s="4">
        <v>4</v>
      </c>
      <c r="K315" s="1">
        <v>8</v>
      </c>
      <c r="L315" s="4">
        <v>249.99</v>
      </c>
      <c r="M315" s="3" t="s">
        <v>28</v>
      </c>
      <c r="N315" s="3" t="s">
        <v>22</v>
      </c>
      <c r="O315" s="2" t="str">
        <f t="shared" si="20"/>
        <v>03-2025</v>
      </c>
      <c r="P315" t="str">
        <f t="shared" si="21"/>
        <v>2025</v>
      </c>
      <c r="Q315" s="6">
        <f t="shared" si="22"/>
        <v>7.1888263915248982E-2</v>
      </c>
      <c r="R315" t="str">
        <f t="shared" si="23"/>
        <v>Profit</v>
      </c>
      <c r="S315" t="str">
        <f t="shared" si="24"/>
        <v>Low (1-10%)</v>
      </c>
    </row>
    <row r="316" spans="1:19" x14ac:dyDescent="0.3">
      <c r="A316" s="3" t="s">
        <v>396</v>
      </c>
      <c r="B316" s="2">
        <v>45773</v>
      </c>
      <c r="C316" s="3" t="s">
        <v>84</v>
      </c>
      <c r="D316" s="3" t="s">
        <v>16</v>
      </c>
      <c r="E316" s="3" t="s">
        <v>17</v>
      </c>
      <c r="F316" s="3" t="s">
        <v>62</v>
      </c>
      <c r="G316" s="3" t="s">
        <v>103</v>
      </c>
      <c r="H316" s="3" t="s">
        <v>104</v>
      </c>
      <c r="I316" s="5">
        <v>415.86</v>
      </c>
      <c r="J316" s="4">
        <v>3</v>
      </c>
      <c r="K316" s="1">
        <v>25</v>
      </c>
      <c r="L316" s="4">
        <v>56.97</v>
      </c>
      <c r="M316" s="3" t="s">
        <v>51</v>
      </c>
      <c r="N316" s="3" t="s">
        <v>35</v>
      </c>
      <c r="O316" s="2" t="str">
        <f t="shared" si="20"/>
        <v>04-2025</v>
      </c>
      <c r="P316" t="str">
        <f t="shared" si="21"/>
        <v>2025</v>
      </c>
      <c r="Q316" s="6">
        <f t="shared" si="22"/>
        <v>0.13699321887173568</v>
      </c>
      <c r="R316" t="str">
        <f t="shared" si="23"/>
        <v>Profit</v>
      </c>
      <c r="S316" t="str">
        <f t="shared" si="24"/>
        <v>High (&gt;20%)</v>
      </c>
    </row>
    <row r="317" spans="1:19" x14ac:dyDescent="0.3">
      <c r="A317" s="3" t="s">
        <v>397</v>
      </c>
      <c r="B317" s="2">
        <v>45757</v>
      </c>
      <c r="C317" s="3" t="s">
        <v>15</v>
      </c>
      <c r="D317" s="3" t="s">
        <v>16</v>
      </c>
      <c r="E317" s="3" t="s">
        <v>17</v>
      </c>
      <c r="F317" s="3" t="s">
        <v>62</v>
      </c>
      <c r="G317" s="3" t="s">
        <v>63</v>
      </c>
      <c r="H317" s="3" t="s">
        <v>64</v>
      </c>
      <c r="I317" s="5">
        <v>8754.5400000000009</v>
      </c>
      <c r="J317" s="4">
        <v>6</v>
      </c>
      <c r="K317" s="1">
        <v>1</v>
      </c>
      <c r="L317" s="4">
        <v>1955.03</v>
      </c>
      <c r="M317" s="3" t="s">
        <v>51</v>
      </c>
      <c r="N317" s="3" t="s">
        <v>22</v>
      </c>
      <c r="O317" s="2" t="str">
        <f t="shared" si="20"/>
        <v>04-2025</v>
      </c>
      <c r="P317" t="str">
        <f t="shared" si="21"/>
        <v>2025</v>
      </c>
      <c r="Q317" s="6">
        <f t="shared" si="22"/>
        <v>0.22331613083040339</v>
      </c>
      <c r="R317" t="str">
        <f t="shared" si="23"/>
        <v>Profit</v>
      </c>
      <c r="S317" t="str">
        <f t="shared" si="24"/>
        <v>Low (1-10%)</v>
      </c>
    </row>
    <row r="318" spans="1:19" x14ac:dyDescent="0.3">
      <c r="A318" s="3" t="s">
        <v>398</v>
      </c>
      <c r="B318" s="2">
        <v>45531</v>
      </c>
      <c r="C318" s="3" t="s">
        <v>133</v>
      </c>
      <c r="D318" s="3" t="s">
        <v>56</v>
      </c>
      <c r="E318" s="3" t="s">
        <v>108</v>
      </c>
      <c r="F318" s="3" t="s">
        <v>32</v>
      </c>
      <c r="G318" s="3" t="s">
        <v>33</v>
      </c>
      <c r="H318" s="3" t="s">
        <v>34</v>
      </c>
      <c r="I318" s="5">
        <v>1419.44</v>
      </c>
      <c r="J318" s="4">
        <v>1</v>
      </c>
      <c r="K318" s="1">
        <v>14</v>
      </c>
      <c r="L318" s="4">
        <v>304.38</v>
      </c>
      <c r="M318" s="3" t="s">
        <v>21</v>
      </c>
      <c r="N318" s="3" t="s">
        <v>35</v>
      </c>
      <c r="O318" s="2" t="str">
        <f t="shared" si="20"/>
        <v>08-2024</v>
      </c>
      <c r="P318" t="str">
        <f t="shared" si="21"/>
        <v>2024</v>
      </c>
      <c r="Q318" s="6">
        <f t="shared" si="22"/>
        <v>0.2144366792537902</v>
      </c>
      <c r="R318" t="str">
        <f t="shared" si="23"/>
        <v>Profit</v>
      </c>
      <c r="S318" t="str">
        <f t="shared" si="24"/>
        <v>Mid (11-20%)</v>
      </c>
    </row>
    <row r="319" spans="1:19" x14ac:dyDescent="0.3">
      <c r="A319" s="3" t="s">
        <v>399</v>
      </c>
      <c r="B319" s="2">
        <v>45607</v>
      </c>
      <c r="C319" s="3" t="s">
        <v>30</v>
      </c>
      <c r="D319" s="3" t="s">
        <v>56</v>
      </c>
      <c r="E319" s="3" t="s">
        <v>108</v>
      </c>
      <c r="F319" s="3" t="s">
        <v>32</v>
      </c>
      <c r="G319" s="3" t="s">
        <v>112</v>
      </c>
      <c r="H319" s="3" t="s">
        <v>113</v>
      </c>
      <c r="I319" s="5">
        <v>3688.48</v>
      </c>
      <c r="J319" s="4">
        <v>2</v>
      </c>
      <c r="K319" s="1">
        <v>25</v>
      </c>
      <c r="L319" s="4">
        <v>216.22</v>
      </c>
      <c r="M319" s="3" t="s">
        <v>51</v>
      </c>
      <c r="N319" s="3" t="s">
        <v>22</v>
      </c>
      <c r="O319" s="2" t="str">
        <f t="shared" si="20"/>
        <v>11-2024</v>
      </c>
      <c r="P319" t="str">
        <f t="shared" si="21"/>
        <v>2024</v>
      </c>
      <c r="Q319" s="6">
        <f t="shared" si="22"/>
        <v>5.8620353099379692E-2</v>
      </c>
      <c r="R319" t="str">
        <f t="shared" si="23"/>
        <v>Profit</v>
      </c>
      <c r="S319" t="str">
        <f t="shared" si="24"/>
        <v>High (&gt;20%)</v>
      </c>
    </row>
    <row r="320" spans="1:19" x14ac:dyDescent="0.3">
      <c r="A320" s="3" t="s">
        <v>400</v>
      </c>
      <c r="B320" s="2">
        <v>45443</v>
      </c>
      <c r="C320" s="3" t="s">
        <v>70</v>
      </c>
      <c r="D320" s="3" t="s">
        <v>56</v>
      </c>
      <c r="E320" s="3" t="s">
        <v>57</v>
      </c>
      <c r="F320" s="3" t="s">
        <v>18</v>
      </c>
      <c r="G320" s="3" t="s">
        <v>26</v>
      </c>
      <c r="H320" s="3" t="s">
        <v>27</v>
      </c>
      <c r="I320" s="5">
        <v>532.09</v>
      </c>
      <c r="J320" s="4">
        <v>1</v>
      </c>
      <c r="K320" s="1">
        <v>21</v>
      </c>
      <c r="L320" s="4">
        <v>63.65</v>
      </c>
      <c r="M320" s="3" t="s">
        <v>28</v>
      </c>
      <c r="N320" s="3" t="s">
        <v>35</v>
      </c>
      <c r="O320" s="2" t="str">
        <f t="shared" si="20"/>
        <v>05-2024</v>
      </c>
      <c r="P320" t="str">
        <f t="shared" si="21"/>
        <v>2024</v>
      </c>
      <c r="Q320" s="6">
        <f t="shared" si="22"/>
        <v>0.11962262023341914</v>
      </c>
      <c r="R320" t="str">
        <f t="shared" si="23"/>
        <v>Profit</v>
      </c>
      <c r="S320" t="str">
        <f t="shared" si="24"/>
        <v>High (&gt;20%)</v>
      </c>
    </row>
    <row r="321" spans="1:19" x14ac:dyDescent="0.3">
      <c r="A321" s="3" t="s">
        <v>401</v>
      </c>
      <c r="B321" s="2">
        <v>45723</v>
      </c>
      <c r="C321" s="3" t="s">
        <v>50</v>
      </c>
      <c r="D321" s="3" t="s">
        <v>38</v>
      </c>
      <c r="E321" s="3" t="s">
        <v>71</v>
      </c>
      <c r="F321" s="3" t="s">
        <v>18</v>
      </c>
      <c r="G321" s="3" t="s">
        <v>76</v>
      </c>
      <c r="H321" s="3" t="s">
        <v>77</v>
      </c>
      <c r="I321" s="5">
        <v>358.86</v>
      </c>
      <c r="J321" s="4">
        <v>2</v>
      </c>
      <c r="K321" s="1">
        <v>1</v>
      </c>
      <c r="L321" s="4">
        <v>66.47</v>
      </c>
      <c r="M321" s="3" t="s">
        <v>21</v>
      </c>
      <c r="N321" s="3" t="s">
        <v>40</v>
      </c>
      <c r="O321" s="2" t="str">
        <f t="shared" si="20"/>
        <v>03-2025</v>
      </c>
      <c r="P321" t="str">
        <f t="shared" si="21"/>
        <v>2025</v>
      </c>
      <c r="Q321" s="6">
        <f t="shared" si="22"/>
        <v>0.18522543610321573</v>
      </c>
      <c r="R321" t="str">
        <f t="shared" si="23"/>
        <v>Profit</v>
      </c>
      <c r="S321" t="str">
        <f t="shared" si="24"/>
        <v>Low (1-10%)</v>
      </c>
    </row>
    <row r="322" spans="1:19" x14ac:dyDescent="0.3">
      <c r="A322" s="3" t="s">
        <v>402</v>
      </c>
      <c r="B322" s="2">
        <v>45667</v>
      </c>
      <c r="C322" s="3" t="s">
        <v>70</v>
      </c>
      <c r="D322" s="3" t="s">
        <v>38</v>
      </c>
      <c r="E322" s="3" t="s">
        <v>71</v>
      </c>
      <c r="F322" s="3" t="s">
        <v>62</v>
      </c>
      <c r="G322" s="3" t="s">
        <v>63</v>
      </c>
      <c r="H322" s="3" t="s">
        <v>64</v>
      </c>
      <c r="I322" s="5">
        <v>3260.24</v>
      </c>
      <c r="J322" s="4">
        <v>4</v>
      </c>
      <c r="K322" s="1">
        <v>24</v>
      </c>
      <c r="L322" s="4">
        <v>249.27</v>
      </c>
      <c r="M322" s="3" t="s">
        <v>21</v>
      </c>
      <c r="N322" s="3" t="s">
        <v>35</v>
      </c>
      <c r="O322" s="2" t="str">
        <f t="shared" ref="O322:O385" si="25" xml:space="preserve"> TEXT(B322,"MM-YYYY")</f>
        <v>01-2025</v>
      </c>
      <c r="P322" t="str">
        <f t="shared" ref="P322:P385" si="26">TEXT(B322,"YYYY")</f>
        <v>2025</v>
      </c>
      <c r="Q322" s="6">
        <f t="shared" ref="Q322:Q385" si="27">IFERROR(L322/I322,0)</f>
        <v>7.6457561406522226E-2</v>
      </c>
      <c r="R322" t="str">
        <f t="shared" ref="R322:R385" si="28">IF(L322&gt;0,"Profit","Loss")</f>
        <v>Profit</v>
      </c>
      <c r="S322" t="str">
        <f t="shared" ref="S322:S385" si="29">IF(K322=0,"No Discount",IF(K322&lt;=10,"Low (1-10%)",IF(K322&lt;=20,"Mid (11-20%)","High (&gt;20%)")))</f>
        <v>High (&gt;20%)</v>
      </c>
    </row>
    <row r="323" spans="1:19" x14ac:dyDescent="0.3">
      <c r="A323" s="3" t="s">
        <v>403</v>
      </c>
      <c r="B323" s="2">
        <v>45533</v>
      </c>
      <c r="C323" s="3" t="s">
        <v>70</v>
      </c>
      <c r="D323" s="3" t="s">
        <v>16</v>
      </c>
      <c r="E323" s="3" t="s">
        <v>31</v>
      </c>
      <c r="F323" s="3" t="s">
        <v>32</v>
      </c>
      <c r="G323" s="3" t="s">
        <v>58</v>
      </c>
      <c r="H323" s="3" t="s">
        <v>59</v>
      </c>
      <c r="I323" s="5">
        <v>1331.07</v>
      </c>
      <c r="J323" s="4">
        <v>3</v>
      </c>
      <c r="K323" s="1">
        <v>12</v>
      </c>
      <c r="L323" s="4">
        <v>165.94</v>
      </c>
      <c r="M323" s="3" t="s">
        <v>28</v>
      </c>
      <c r="N323" s="3" t="s">
        <v>22</v>
      </c>
      <c r="O323" s="2" t="str">
        <f t="shared" si="25"/>
        <v>08-2024</v>
      </c>
      <c r="P323" t="str">
        <f t="shared" si="26"/>
        <v>2024</v>
      </c>
      <c r="Q323" s="6">
        <f t="shared" si="27"/>
        <v>0.12466662159014928</v>
      </c>
      <c r="R323" t="str">
        <f t="shared" si="28"/>
        <v>Profit</v>
      </c>
      <c r="S323" t="str">
        <f t="shared" si="29"/>
        <v>Mid (11-20%)</v>
      </c>
    </row>
    <row r="324" spans="1:19" x14ac:dyDescent="0.3">
      <c r="A324" s="3" t="s">
        <v>404</v>
      </c>
      <c r="B324" s="2">
        <v>45494</v>
      </c>
      <c r="C324" s="3" t="s">
        <v>101</v>
      </c>
      <c r="D324" s="3" t="s">
        <v>89</v>
      </c>
      <c r="E324" s="3" t="s">
        <v>97</v>
      </c>
      <c r="F324" s="3" t="s">
        <v>32</v>
      </c>
      <c r="G324" s="3" t="s">
        <v>112</v>
      </c>
      <c r="H324" s="3" t="s">
        <v>113</v>
      </c>
      <c r="I324" s="5">
        <v>3054.02</v>
      </c>
      <c r="J324" s="4">
        <v>2</v>
      </c>
      <c r="K324" s="1">
        <v>16</v>
      </c>
      <c r="L324" s="4">
        <v>614.72</v>
      </c>
      <c r="M324" s="3" t="s">
        <v>21</v>
      </c>
      <c r="N324" s="3" t="s">
        <v>40</v>
      </c>
      <c r="O324" s="2" t="str">
        <f t="shared" si="25"/>
        <v>07-2024</v>
      </c>
      <c r="P324" t="str">
        <f t="shared" si="26"/>
        <v>2024</v>
      </c>
      <c r="Q324" s="6">
        <f t="shared" si="27"/>
        <v>0.20128224438608786</v>
      </c>
      <c r="R324" t="str">
        <f t="shared" si="28"/>
        <v>Profit</v>
      </c>
      <c r="S324" t="str">
        <f t="shared" si="29"/>
        <v>Mid (11-20%)</v>
      </c>
    </row>
    <row r="325" spans="1:19" x14ac:dyDescent="0.3">
      <c r="A325" s="3" t="s">
        <v>405</v>
      </c>
      <c r="B325" s="2">
        <v>45700</v>
      </c>
      <c r="C325" s="3" t="s">
        <v>70</v>
      </c>
      <c r="D325" s="3" t="s">
        <v>89</v>
      </c>
      <c r="E325" s="3" t="s">
        <v>90</v>
      </c>
      <c r="F325" s="3" t="s">
        <v>32</v>
      </c>
      <c r="G325" s="3" t="s">
        <v>47</v>
      </c>
      <c r="H325" s="3" t="s">
        <v>48</v>
      </c>
      <c r="I325" s="5">
        <v>804.38</v>
      </c>
      <c r="J325" s="4">
        <v>2</v>
      </c>
      <c r="K325" s="1">
        <v>14</v>
      </c>
      <c r="L325" s="4">
        <v>157.79</v>
      </c>
      <c r="M325" s="3" t="s">
        <v>51</v>
      </c>
      <c r="N325" s="3" t="s">
        <v>35</v>
      </c>
      <c r="O325" s="2" t="str">
        <f t="shared" si="25"/>
        <v>02-2025</v>
      </c>
      <c r="P325" t="str">
        <f t="shared" si="26"/>
        <v>2025</v>
      </c>
      <c r="Q325" s="6">
        <f t="shared" si="27"/>
        <v>0.19616350481115891</v>
      </c>
      <c r="R325" t="str">
        <f t="shared" si="28"/>
        <v>Profit</v>
      </c>
      <c r="S325" t="str">
        <f t="shared" si="29"/>
        <v>Mid (11-20%)</v>
      </c>
    </row>
    <row r="326" spans="1:19" x14ac:dyDescent="0.3">
      <c r="A326" s="3" t="s">
        <v>406</v>
      </c>
      <c r="B326" s="2">
        <v>45463</v>
      </c>
      <c r="C326" s="3" t="s">
        <v>30</v>
      </c>
      <c r="D326" s="3" t="s">
        <v>38</v>
      </c>
      <c r="E326" s="3" t="s">
        <v>43</v>
      </c>
      <c r="F326" s="3" t="s">
        <v>18</v>
      </c>
      <c r="G326" s="3" t="s">
        <v>26</v>
      </c>
      <c r="H326" s="3" t="s">
        <v>27</v>
      </c>
      <c r="I326" s="5">
        <v>2328</v>
      </c>
      <c r="J326" s="4">
        <v>2</v>
      </c>
      <c r="K326" s="1">
        <v>8</v>
      </c>
      <c r="L326" s="4">
        <v>435.9</v>
      </c>
      <c r="M326" s="3" t="s">
        <v>51</v>
      </c>
      <c r="N326" s="3" t="s">
        <v>40</v>
      </c>
      <c r="O326" s="2" t="str">
        <f t="shared" si="25"/>
        <v>06-2024</v>
      </c>
      <c r="P326" t="str">
        <f t="shared" si="26"/>
        <v>2024</v>
      </c>
      <c r="Q326" s="6">
        <f t="shared" si="27"/>
        <v>0.18724226804123711</v>
      </c>
      <c r="R326" t="str">
        <f t="shared" si="28"/>
        <v>Profit</v>
      </c>
      <c r="S326" t="str">
        <f t="shared" si="29"/>
        <v>Low (1-10%)</v>
      </c>
    </row>
    <row r="327" spans="1:19" x14ac:dyDescent="0.3">
      <c r="A327" s="3" t="s">
        <v>407</v>
      </c>
      <c r="B327" s="2">
        <v>45567</v>
      </c>
      <c r="C327" s="3" t="s">
        <v>101</v>
      </c>
      <c r="D327" s="3" t="s">
        <v>89</v>
      </c>
      <c r="E327" s="3" t="s">
        <v>102</v>
      </c>
      <c r="F327" s="3" t="s">
        <v>32</v>
      </c>
      <c r="G327" s="3" t="s">
        <v>112</v>
      </c>
      <c r="H327" s="3" t="s">
        <v>113</v>
      </c>
      <c r="I327" s="5">
        <v>12077.12</v>
      </c>
      <c r="J327" s="4">
        <v>8</v>
      </c>
      <c r="K327" s="1">
        <v>0</v>
      </c>
      <c r="L327" s="4">
        <v>1936.97</v>
      </c>
      <c r="M327" s="3" t="s">
        <v>28</v>
      </c>
      <c r="N327" s="3" t="s">
        <v>22</v>
      </c>
      <c r="O327" s="2" t="str">
        <f t="shared" si="25"/>
        <v>10-2024</v>
      </c>
      <c r="P327" t="str">
        <f t="shared" si="26"/>
        <v>2024</v>
      </c>
      <c r="Q327" s="6">
        <f t="shared" si="27"/>
        <v>0.16038343578601519</v>
      </c>
      <c r="R327" t="str">
        <f t="shared" si="28"/>
        <v>Profit</v>
      </c>
      <c r="S327" t="str">
        <f t="shared" si="29"/>
        <v>No Discount</v>
      </c>
    </row>
    <row r="328" spans="1:19" x14ac:dyDescent="0.3">
      <c r="A328" s="3" t="s">
        <v>408</v>
      </c>
      <c r="B328" s="2">
        <v>45589</v>
      </c>
      <c r="C328" s="3" t="s">
        <v>15</v>
      </c>
      <c r="D328" s="3" t="s">
        <v>89</v>
      </c>
      <c r="E328" s="3" t="s">
        <v>102</v>
      </c>
      <c r="F328" s="3" t="s">
        <v>18</v>
      </c>
      <c r="G328" s="3" t="s">
        <v>76</v>
      </c>
      <c r="H328" s="3" t="s">
        <v>77</v>
      </c>
      <c r="I328" s="5">
        <v>8844.7999999999993</v>
      </c>
      <c r="J328" s="4">
        <v>5</v>
      </c>
      <c r="K328" s="1">
        <v>5</v>
      </c>
      <c r="L328" s="4">
        <v>1924.11</v>
      </c>
      <c r="M328" s="3" t="s">
        <v>28</v>
      </c>
      <c r="N328" s="3" t="s">
        <v>44</v>
      </c>
      <c r="O328" s="2" t="str">
        <f t="shared" si="25"/>
        <v>10-2024</v>
      </c>
      <c r="P328" t="str">
        <f t="shared" si="26"/>
        <v>2024</v>
      </c>
      <c r="Q328" s="6">
        <f t="shared" si="27"/>
        <v>0.21754138024602027</v>
      </c>
      <c r="R328" t="str">
        <f t="shared" si="28"/>
        <v>Profit</v>
      </c>
      <c r="S328" t="str">
        <f t="shared" si="29"/>
        <v>Low (1-10%)</v>
      </c>
    </row>
    <row r="329" spans="1:19" x14ac:dyDescent="0.3">
      <c r="A329" s="3" t="s">
        <v>409</v>
      </c>
      <c r="B329" s="2">
        <v>45490</v>
      </c>
      <c r="C329" s="3" t="s">
        <v>99</v>
      </c>
      <c r="D329" s="3" t="s">
        <v>38</v>
      </c>
      <c r="E329" s="3" t="s">
        <v>43</v>
      </c>
      <c r="F329" s="3" t="s">
        <v>18</v>
      </c>
      <c r="G329" s="3" t="s">
        <v>76</v>
      </c>
      <c r="H329" s="3" t="s">
        <v>77</v>
      </c>
      <c r="I329" s="5">
        <v>9259.2999999999993</v>
      </c>
      <c r="J329" s="4">
        <v>10</v>
      </c>
      <c r="K329" s="1">
        <v>18</v>
      </c>
      <c r="L329" s="4">
        <v>706.01</v>
      </c>
      <c r="M329" s="3" t="s">
        <v>28</v>
      </c>
      <c r="N329" s="3" t="s">
        <v>40</v>
      </c>
      <c r="O329" s="2" t="str">
        <f t="shared" si="25"/>
        <v>07-2024</v>
      </c>
      <c r="P329" t="str">
        <f t="shared" si="26"/>
        <v>2024</v>
      </c>
      <c r="Q329" s="6">
        <f t="shared" si="27"/>
        <v>7.6248744505524185E-2</v>
      </c>
      <c r="R329" t="str">
        <f t="shared" si="28"/>
        <v>Profit</v>
      </c>
      <c r="S329" t="str">
        <f t="shared" si="29"/>
        <v>Mid (11-20%)</v>
      </c>
    </row>
    <row r="330" spans="1:19" x14ac:dyDescent="0.3">
      <c r="A330" s="3" t="s">
        <v>410</v>
      </c>
      <c r="B330" s="2">
        <v>45725</v>
      </c>
      <c r="C330" s="3" t="s">
        <v>70</v>
      </c>
      <c r="D330" s="3" t="s">
        <v>89</v>
      </c>
      <c r="E330" s="3" t="s">
        <v>90</v>
      </c>
      <c r="F330" s="3" t="s">
        <v>32</v>
      </c>
      <c r="G330" s="3" t="s">
        <v>112</v>
      </c>
      <c r="H330" s="3" t="s">
        <v>113</v>
      </c>
      <c r="I330" s="5">
        <v>2628.6</v>
      </c>
      <c r="J330" s="4">
        <v>4</v>
      </c>
      <c r="K330" s="1">
        <v>20</v>
      </c>
      <c r="L330" s="4">
        <v>375.05</v>
      </c>
      <c r="M330" s="3" t="s">
        <v>28</v>
      </c>
      <c r="N330" s="3" t="s">
        <v>40</v>
      </c>
      <c r="O330" s="2" t="str">
        <f t="shared" si="25"/>
        <v>03-2025</v>
      </c>
      <c r="P330" t="str">
        <f t="shared" si="26"/>
        <v>2025</v>
      </c>
      <c r="Q330" s="6">
        <f t="shared" si="27"/>
        <v>0.14268051434223541</v>
      </c>
      <c r="R330" t="str">
        <f t="shared" si="28"/>
        <v>Profit</v>
      </c>
      <c r="S330" t="str">
        <f t="shared" si="29"/>
        <v>Mid (11-20%)</v>
      </c>
    </row>
    <row r="331" spans="1:19" x14ac:dyDescent="0.3">
      <c r="A331" s="3" t="s">
        <v>411</v>
      </c>
      <c r="B331" s="2">
        <v>45466</v>
      </c>
      <c r="C331" s="3" t="s">
        <v>84</v>
      </c>
      <c r="D331" s="3" t="s">
        <v>38</v>
      </c>
      <c r="E331" s="3" t="s">
        <v>43</v>
      </c>
      <c r="F331" s="3" t="s">
        <v>32</v>
      </c>
      <c r="G331" s="3" t="s">
        <v>33</v>
      </c>
      <c r="H331" s="3" t="s">
        <v>34</v>
      </c>
      <c r="I331" s="5">
        <v>1033.49</v>
      </c>
      <c r="J331" s="4">
        <v>1</v>
      </c>
      <c r="K331" s="1">
        <v>1</v>
      </c>
      <c r="L331" s="4">
        <v>212.27</v>
      </c>
      <c r="M331" s="3" t="s">
        <v>28</v>
      </c>
      <c r="N331" s="3" t="s">
        <v>40</v>
      </c>
      <c r="O331" s="2" t="str">
        <f t="shared" si="25"/>
        <v>06-2024</v>
      </c>
      <c r="P331" t="str">
        <f t="shared" si="26"/>
        <v>2024</v>
      </c>
      <c r="Q331" s="6">
        <f t="shared" si="27"/>
        <v>0.20539144065254625</v>
      </c>
      <c r="R331" t="str">
        <f t="shared" si="28"/>
        <v>Profit</v>
      </c>
      <c r="S331" t="str">
        <f t="shared" si="29"/>
        <v>Low (1-10%)</v>
      </c>
    </row>
    <row r="332" spans="1:19" x14ac:dyDescent="0.3">
      <c r="A332" s="3" t="s">
        <v>412</v>
      </c>
      <c r="B332" s="2">
        <v>45628</v>
      </c>
      <c r="C332" s="3" t="s">
        <v>37</v>
      </c>
      <c r="D332" s="3" t="s">
        <v>16</v>
      </c>
      <c r="E332" s="3" t="s">
        <v>17</v>
      </c>
      <c r="F332" s="3" t="s">
        <v>18</v>
      </c>
      <c r="G332" s="3" t="s">
        <v>19</v>
      </c>
      <c r="H332" s="3" t="s">
        <v>20</v>
      </c>
      <c r="I332" s="5">
        <v>2148.36</v>
      </c>
      <c r="J332" s="4">
        <v>2</v>
      </c>
      <c r="K332" s="1">
        <v>13</v>
      </c>
      <c r="L332" s="4">
        <v>360.59</v>
      </c>
      <c r="M332" s="3" t="s">
        <v>28</v>
      </c>
      <c r="N332" s="3" t="s">
        <v>35</v>
      </c>
      <c r="O332" s="2" t="str">
        <f t="shared" si="25"/>
        <v>12-2024</v>
      </c>
      <c r="P332" t="str">
        <f t="shared" si="26"/>
        <v>2024</v>
      </c>
      <c r="Q332" s="6">
        <f t="shared" si="27"/>
        <v>0.16784430914744267</v>
      </c>
      <c r="R332" t="str">
        <f t="shared" si="28"/>
        <v>Profit</v>
      </c>
      <c r="S332" t="str">
        <f t="shared" si="29"/>
        <v>Mid (11-20%)</v>
      </c>
    </row>
    <row r="333" spans="1:19" x14ac:dyDescent="0.3">
      <c r="A333" s="3" t="s">
        <v>413</v>
      </c>
      <c r="B333" s="2">
        <v>45588</v>
      </c>
      <c r="C333" s="3" t="s">
        <v>66</v>
      </c>
      <c r="D333" s="3" t="s">
        <v>56</v>
      </c>
      <c r="E333" s="3" t="s">
        <v>61</v>
      </c>
      <c r="F333" s="3" t="s">
        <v>62</v>
      </c>
      <c r="G333" s="3" t="s">
        <v>67</v>
      </c>
      <c r="H333" s="3" t="s">
        <v>68</v>
      </c>
      <c r="I333" s="5">
        <v>7124.11</v>
      </c>
      <c r="J333" s="4">
        <v>7</v>
      </c>
      <c r="K333" s="1">
        <v>5</v>
      </c>
      <c r="L333" s="4">
        <v>1534.65</v>
      </c>
      <c r="M333" s="3" t="s">
        <v>51</v>
      </c>
      <c r="N333" s="3" t="s">
        <v>44</v>
      </c>
      <c r="O333" s="2" t="str">
        <f t="shared" si="25"/>
        <v>10-2024</v>
      </c>
      <c r="P333" t="str">
        <f t="shared" si="26"/>
        <v>2024</v>
      </c>
      <c r="Q333" s="6">
        <f t="shared" si="27"/>
        <v>0.21541638183576617</v>
      </c>
      <c r="R333" t="str">
        <f t="shared" si="28"/>
        <v>Profit</v>
      </c>
      <c r="S333" t="str">
        <f t="shared" si="29"/>
        <v>Low (1-10%)</v>
      </c>
    </row>
    <row r="334" spans="1:19" x14ac:dyDescent="0.3">
      <c r="A334" s="3" t="s">
        <v>414</v>
      </c>
      <c r="B334" s="2">
        <v>45784</v>
      </c>
      <c r="C334" s="3" t="s">
        <v>24</v>
      </c>
      <c r="D334" s="3" t="s">
        <v>16</v>
      </c>
      <c r="E334" s="3" t="s">
        <v>17</v>
      </c>
      <c r="F334" s="3" t="s">
        <v>32</v>
      </c>
      <c r="G334" s="3" t="s">
        <v>47</v>
      </c>
      <c r="H334" s="3" t="s">
        <v>48</v>
      </c>
      <c r="I334" s="5">
        <v>1482.28</v>
      </c>
      <c r="J334" s="4">
        <v>2</v>
      </c>
      <c r="K334" s="1">
        <v>0</v>
      </c>
      <c r="L334" s="4">
        <v>208.11</v>
      </c>
      <c r="M334" s="3" t="s">
        <v>51</v>
      </c>
      <c r="N334" s="3" t="s">
        <v>22</v>
      </c>
      <c r="O334" s="2" t="str">
        <f t="shared" si="25"/>
        <v>05-2025</v>
      </c>
      <c r="P334" t="str">
        <f t="shared" si="26"/>
        <v>2025</v>
      </c>
      <c r="Q334" s="6">
        <f t="shared" si="27"/>
        <v>0.14039857516798446</v>
      </c>
      <c r="R334" t="str">
        <f t="shared" si="28"/>
        <v>Profit</v>
      </c>
      <c r="S334" t="str">
        <f t="shared" si="29"/>
        <v>No Discount</v>
      </c>
    </row>
    <row r="335" spans="1:19" x14ac:dyDescent="0.3">
      <c r="A335" s="3" t="s">
        <v>415</v>
      </c>
      <c r="B335" s="2">
        <v>45497</v>
      </c>
      <c r="C335" s="3" t="s">
        <v>30</v>
      </c>
      <c r="D335" s="3" t="s">
        <v>38</v>
      </c>
      <c r="E335" s="3" t="s">
        <v>39</v>
      </c>
      <c r="F335" s="3" t="s">
        <v>18</v>
      </c>
      <c r="G335" s="3" t="s">
        <v>94</v>
      </c>
      <c r="H335" s="3" t="s">
        <v>95</v>
      </c>
      <c r="I335" s="5">
        <v>2994.2</v>
      </c>
      <c r="J335" s="4">
        <v>5</v>
      </c>
      <c r="K335" s="1">
        <v>5</v>
      </c>
      <c r="L335" s="4">
        <v>669.55</v>
      </c>
      <c r="M335" s="3" t="s">
        <v>51</v>
      </c>
      <c r="N335" s="3" t="s">
        <v>22</v>
      </c>
      <c r="O335" s="2" t="str">
        <f t="shared" si="25"/>
        <v>07-2024</v>
      </c>
      <c r="P335" t="str">
        <f t="shared" si="26"/>
        <v>2024</v>
      </c>
      <c r="Q335" s="6">
        <f t="shared" si="27"/>
        <v>0.22361565693674437</v>
      </c>
      <c r="R335" t="str">
        <f t="shared" si="28"/>
        <v>Profit</v>
      </c>
      <c r="S335" t="str">
        <f t="shared" si="29"/>
        <v>Low (1-10%)</v>
      </c>
    </row>
    <row r="336" spans="1:19" x14ac:dyDescent="0.3">
      <c r="A336" s="3" t="s">
        <v>416</v>
      </c>
      <c r="B336" s="2">
        <v>45439</v>
      </c>
      <c r="C336" s="3" t="s">
        <v>24</v>
      </c>
      <c r="D336" s="3" t="s">
        <v>56</v>
      </c>
      <c r="E336" s="3" t="s">
        <v>108</v>
      </c>
      <c r="F336" s="3" t="s">
        <v>18</v>
      </c>
      <c r="G336" s="3" t="s">
        <v>76</v>
      </c>
      <c r="H336" s="3" t="s">
        <v>77</v>
      </c>
      <c r="I336" s="5">
        <v>3711.04</v>
      </c>
      <c r="J336" s="4">
        <v>8</v>
      </c>
      <c r="K336" s="1">
        <v>17</v>
      </c>
      <c r="L336" s="4">
        <v>516.16999999999996</v>
      </c>
      <c r="M336" s="3" t="s">
        <v>21</v>
      </c>
      <c r="N336" s="3" t="s">
        <v>44</v>
      </c>
      <c r="O336" s="2" t="str">
        <f t="shared" si="25"/>
        <v>05-2024</v>
      </c>
      <c r="P336" t="str">
        <f t="shared" si="26"/>
        <v>2024</v>
      </c>
      <c r="Q336" s="6">
        <f t="shared" si="27"/>
        <v>0.13909038975597135</v>
      </c>
      <c r="R336" t="str">
        <f t="shared" si="28"/>
        <v>Profit</v>
      </c>
      <c r="S336" t="str">
        <f t="shared" si="29"/>
        <v>Mid (11-20%)</v>
      </c>
    </row>
    <row r="337" spans="1:19" x14ac:dyDescent="0.3">
      <c r="A337" s="3" t="s">
        <v>417</v>
      </c>
      <c r="B337" s="2">
        <v>45547</v>
      </c>
      <c r="C337" s="3" t="s">
        <v>66</v>
      </c>
      <c r="D337" s="3" t="s">
        <v>38</v>
      </c>
      <c r="E337" s="3" t="s">
        <v>43</v>
      </c>
      <c r="F337" s="3" t="s">
        <v>62</v>
      </c>
      <c r="G337" s="3" t="s">
        <v>63</v>
      </c>
      <c r="H337" s="3" t="s">
        <v>64</v>
      </c>
      <c r="I337" s="5">
        <v>3015.84</v>
      </c>
      <c r="J337" s="4">
        <v>4</v>
      </c>
      <c r="K337" s="1">
        <v>10</v>
      </c>
      <c r="L337" s="4">
        <v>148.22999999999999</v>
      </c>
      <c r="M337" s="3" t="s">
        <v>21</v>
      </c>
      <c r="N337" s="3" t="s">
        <v>35</v>
      </c>
      <c r="O337" s="2" t="str">
        <f t="shared" si="25"/>
        <v>09-2024</v>
      </c>
      <c r="P337" t="str">
        <f t="shared" si="26"/>
        <v>2024</v>
      </c>
      <c r="Q337" s="6">
        <f t="shared" si="27"/>
        <v>4.9150485436893196E-2</v>
      </c>
      <c r="R337" t="str">
        <f t="shared" si="28"/>
        <v>Profit</v>
      </c>
      <c r="S337" t="str">
        <f t="shared" si="29"/>
        <v>Low (1-10%)</v>
      </c>
    </row>
    <row r="338" spans="1:19" x14ac:dyDescent="0.3">
      <c r="A338" s="3" t="s">
        <v>418</v>
      </c>
      <c r="B338" s="2">
        <v>45672</v>
      </c>
      <c r="C338" s="3" t="s">
        <v>101</v>
      </c>
      <c r="D338" s="3" t="s">
        <v>89</v>
      </c>
      <c r="E338" s="3" t="s">
        <v>140</v>
      </c>
      <c r="F338" s="3" t="s">
        <v>62</v>
      </c>
      <c r="G338" s="3" t="s">
        <v>80</v>
      </c>
      <c r="H338" s="3" t="s">
        <v>81</v>
      </c>
      <c r="I338" s="5">
        <v>5041.8</v>
      </c>
      <c r="J338" s="4">
        <v>10</v>
      </c>
      <c r="K338" s="1">
        <v>17</v>
      </c>
      <c r="L338" s="4">
        <v>832.98</v>
      </c>
      <c r="M338" s="3" t="s">
        <v>51</v>
      </c>
      <c r="N338" s="3" t="s">
        <v>35</v>
      </c>
      <c r="O338" s="2" t="str">
        <f t="shared" si="25"/>
        <v>01-2025</v>
      </c>
      <c r="P338" t="str">
        <f t="shared" si="26"/>
        <v>2025</v>
      </c>
      <c r="Q338" s="6">
        <f t="shared" si="27"/>
        <v>0.16521480423658216</v>
      </c>
      <c r="R338" t="str">
        <f t="shared" si="28"/>
        <v>Profit</v>
      </c>
      <c r="S338" t="str">
        <f t="shared" si="29"/>
        <v>Mid (11-20%)</v>
      </c>
    </row>
    <row r="339" spans="1:19" x14ac:dyDescent="0.3">
      <c r="A339" s="3" t="s">
        <v>419</v>
      </c>
      <c r="B339" s="2">
        <v>45769</v>
      </c>
      <c r="C339" s="3" t="s">
        <v>99</v>
      </c>
      <c r="D339" s="3" t="s">
        <v>16</v>
      </c>
      <c r="E339" s="3" t="s">
        <v>25</v>
      </c>
      <c r="F339" s="3" t="s">
        <v>18</v>
      </c>
      <c r="G339" s="3" t="s">
        <v>26</v>
      </c>
      <c r="H339" s="3" t="s">
        <v>27</v>
      </c>
      <c r="I339" s="5">
        <v>6595.6</v>
      </c>
      <c r="J339" s="4">
        <v>5</v>
      </c>
      <c r="K339" s="1">
        <v>10</v>
      </c>
      <c r="L339" s="4">
        <v>1450.17</v>
      </c>
      <c r="M339" s="3" t="s">
        <v>28</v>
      </c>
      <c r="N339" s="3" t="s">
        <v>44</v>
      </c>
      <c r="O339" s="2" t="str">
        <f t="shared" si="25"/>
        <v>04-2025</v>
      </c>
      <c r="P339" t="str">
        <f t="shared" si="26"/>
        <v>2025</v>
      </c>
      <c r="Q339" s="6">
        <f t="shared" si="27"/>
        <v>0.21986930681060102</v>
      </c>
      <c r="R339" t="str">
        <f t="shared" si="28"/>
        <v>Profit</v>
      </c>
      <c r="S339" t="str">
        <f t="shared" si="29"/>
        <v>Low (1-10%)</v>
      </c>
    </row>
    <row r="340" spans="1:19" x14ac:dyDescent="0.3">
      <c r="A340" s="3" t="s">
        <v>420</v>
      </c>
      <c r="B340" s="2">
        <v>45775</v>
      </c>
      <c r="C340" s="3" t="s">
        <v>24</v>
      </c>
      <c r="D340" s="3" t="s">
        <v>89</v>
      </c>
      <c r="E340" s="3" t="s">
        <v>90</v>
      </c>
      <c r="F340" s="3" t="s">
        <v>62</v>
      </c>
      <c r="G340" s="3" t="s">
        <v>63</v>
      </c>
      <c r="H340" s="3" t="s">
        <v>64</v>
      </c>
      <c r="I340" s="5">
        <v>1803.52</v>
      </c>
      <c r="J340" s="4">
        <v>8</v>
      </c>
      <c r="K340" s="1">
        <v>25</v>
      </c>
      <c r="L340" s="4">
        <v>146.33000000000001</v>
      </c>
      <c r="M340" s="3" t="s">
        <v>28</v>
      </c>
      <c r="N340" s="3" t="s">
        <v>40</v>
      </c>
      <c r="O340" s="2" t="str">
        <f t="shared" si="25"/>
        <v>04-2025</v>
      </c>
      <c r="P340" t="str">
        <f t="shared" si="26"/>
        <v>2025</v>
      </c>
      <c r="Q340" s="6">
        <f t="shared" si="27"/>
        <v>8.113577892122073E-2</v>
      </c>
      <c r="R340" t="str">
        <f t="shared" si="28"/>
        <v>Profit</v>
      </c>
      <c r="S340" t="str">
        <f t="shared" si="29"/>
        <v>High (&gt;20%)</v>
      </c>
    </row>
    <row r="341" spans="1:19" x14ac:dyDescent="0.3">
      <c r="A341" s="3" t="s">
        <v>421</v>
      </c>
      <c r="B341" s="2">
        <v>45471</v>
      </c>
      <c r="C341" s="3" t="s">
        <v>24</v>
      </c>
      <c r="D341" s="3" t="s">
        <v>89</v>
      </c>
      <c r="E341" s="3" t="s">
        <v>102</v>
      </c>
      <c r="F341" s="3" t="s">
        <v>62</v>
      </c>
      <c r="G341" s="3" t="s">
        <v>80</v>
      </c>
      <c r="H341" s="3" t="s">
        <v>81</v>
      </c>
      <c r="I341" s="5">
        <v>1528.38</v>
      </c>
      <c r="J341" s="4">
        <v>6</v>
      </c>
      <c r="K341" s="1">
        <v>8</v>
      </c>
      <c r="L341" s="4">
        <v>257.32</v>
      </c>
      <c r="M341" s="3" t="s">
        <v>51</v>
      </c>
      <c r="N341" s="3" t="s">
        <v>44</v>
      </c>
      <c r="O341" s="2" t="str">
        <f t="shared" si="25"/>
        <v>06-2024</v>
      </c>
      <c r="P341" t="str">
        <f t="shared" si="26"/>
        <v>2024</v>
      </c>
      <c r="Q341" s="6">
        <f t="shared" si="27"/>
        <v>0.16836127141155993</v>
      </c>
      <c r="R341" t="str">
        <f t="shared" si="28"/>
        <v>Profit</v>
      </c>
      <c r="S341" t="str">
        <f t="shared" si="29"/>
        <v>Low (1-10%)</v>
      </c>
    </row>
    <row r="342" spans="1:19" x14ac:dyDescent="0.3">
      <c r="A342" s="3" t="s">
        <v>422</v>
      </c>
      <c r="B342" s="2">
        <v>45780</v>
      </c>
      <c r="C342" s="3" t="s">
        <v>73</v>
      </c>
      <c r="D342" s="3" t="s">
        <v>16</v>
      </c>
      <c r="E342" s="3" t="s">
        <v>17</v>
      </c>
      <c r="F342" s="3" t="s">
        <v>18</v>
      </c>
      <c r="G342" s="3" t="s">
        <v>76</v>
      </c>
      <c r="H342" s="3" t="s">
        <v>77</v>
      </c>
      <c r="I342" s="5">
        <v>3866.16</v>
      </c>
      <c r="J342" s="4">
        <v>3</v>
      </c>
      <c r="K342" s="1">
        <v>16</v>
      </c>
      <c r="L342" s="4">
        <v>454.36</v>
      </c>
      <c r="M342" s="3" t="s">
        <v>51</v>
      </c>
      <c r="N342" s="3" t="s">
        <v>35</v>
      </c>
      <c r="O342" s="2" t="str">
        <f t="shared" si="25"/>
        <v>05-2025</v>
      </c>
      <c r="P342" t="str">
        <f t="shared" si="26"/>
        <v>2025</v>
      </c>
      <c r="Q342" s="6">
        <f t="shared" si="27"/>
        <v>0.11752229602499639</v>
      </c>
      <c r="R342" t="str">
        <f t="shared" si="28"/>
        <v>Profit</v>
      </c>
      <c r="S342" t="str">
        <f t="shared" si="29"/>
        <v>Mid (11-20%)</v>
      </c>
    </row>
    <row r="343" spans="1:19" x14ac:dyDescent="0.3">
      <c r="A343" s="3" t="s">
        <v>423</v>
      </c>
      <c r="B343" s="2">
        <v>45577</v>
      </c>
      <c r="C343" s="3" t="s">
        <v>66</v>
      </c>
      <c r="D343" s="3" t="s">
        <v>56</v>
      </c>
      <c r="E343" s="3" t="s">
        <v>57</v>
      </c>
      <c r="F343" s="3" t="s">
        <v>62</v>
      </c>
      <c r="G343" s="3" t="s">
        <v>67</v>
      </c>
      <c r="H343" s="3" t="s">
        <v>68</v>
      </c>
      <c r="I343" s="5">
        <v>1992.24</v>
      </c>
      <c r="J343" s="4">
        <v>4</v>
      </c>
      <c r="K343" s="1">
        <v>9</v>
      </c>
      <c r="L343" s="4">
        <v>317.91000000000003</v>
      </c>
      <c r="M343" s="3" t="s">
        <v>28</v>
      </c>
      <c r="N343" s="3" t="s">
        <v>35</v>
      </c>
      <c r="O343" s="2" t="str">
        <f t="shared" si="25"/>
        <v>10-2024</v>
      </c>
      <c r="P343" t="str">
        <f t="shared" si="26"/>
        <v>2024</v>
      </c>
      <c r="Q343" s="6">
        <f t="shared" si="27"/>
        <v>0.15957414769304903</v>
      </c>
      <c r="R343" t="str">
        <f t="shared" si="28"/>
        <v>Profit</v>
      </c>
      <c r="S343" t="str">
        <f t="shared" si="29"/>
        <v>Low (1-10%)</v>
      </c>
    </row>
    <row r="344" spans="1:19" x14ac:dyDescent="0.3">
      <c r="A344" s="3" t="s">
        <v>424</v>
      </c>
      <c r="B344" s="2">
        <v>45506</v>
      </c>
      <c r="C344" s="3" t="s">
        <v>66</v>
      </c>
      <c r="D344" s="3" t="s">
        <v>38</v>
      </c>
      <c r="E344" s="3" t="s">
        <v>53</v>
      </c>
      <c r="F344" s="3" t="s">
        <v>32</v>
      </c>
      <c r="G344" s="3" t="s">
        <v>112</v>
      </c>
      <c r="H344" s="3" t="s">
        <v>113</v>
      </c>
      <c r="I344" s="5">
        <v>1066.3499999999999</v>
      </c>
      <c r="J344" s="4">
        <v>1</v>
      </c>
      <c r="K344" s="1">
        <v>19</v>
      </c>
      <c r="L344" s="4">
        <v>203.27</v>
      </c>
      <c r="M344" s="3" t="s">
        <v>28</v>
      </c>
      <c r="N344" s="3" t="s">
        <v>22</v>
      </c>
      <c r="O344" s="2" t="str">
        <f t="shared" si="25"/>
        <v>08-2024</v>
      </c>
      <c r="P344" t="str">
        <f t="shared" si="26"/>
        <v>2024</v>
      </c>
      <c r="Q344" s="6">
        <f t="shared" si="27"/>
        <v>0.19062221597036622</v>
      </c>
      <c r="R344" t="str">
        <f t="shared" si="28"/>
        <v>Profit</v>
      </c>
      <c r="S344" t="str">
        <f t="shared" si="29"/>
        <v>Mid (11-20%)</v>
      </c>
    </row>
    <row r="345" spans="1:19" x14ac:dyDescent="0.3">
      <c r="A345" s="3" t="s">
        <v>425</v>
      </c>
      <c r="B345" s="2">
        <v>45478</v>
      </c>
      <c r="C345" s="3" t="s">
        <v>70</v>
      </c>
      <c r="D345" s="3" t="s">
        <v>16</v>
      </c>
      <c r="E345" s="3" t="s">
        <v>31</v>
      </c>
      <c r="F345" s="3" t="s">
        <v>62</v>
      </c>
      <c r="G345" s="3" t="s">
        <v>80</v>
      </c>
      <c r="H345" s="3" t="s">
        <v>81</v>
      </c>
      <c r="I345" s="5">
        <v>3256.5</v>
      </c>
      <c r="J345" s="4">
        <v>6</v>
      </c>
      <c r="K345" s="1">
        <v>3</v>
      </c>
      <c r="L345" s="4">
        <v>430.26</v>
      </c>
      <c r="M345" s="3" t="s">
        <v>51</v>
      </c>
      <c r="N345" s="3" t="s">
        <v>44</v>
      </c>
      <c r="O345" s="2" t="str">
        <f t="shared" si="25"/>
        <v>07-2024</v>
      </c>
      <c r="P345" t="str">
        <f t="shared" si="26"/>
        <v>2024</v>
      </c>
      <c r="Q345" s="6">
        <f t="shared" si="27"/>
        <v>0.13212344541685858</v>
      </c>
      <c r="R345" t="str">
        <f t="shared" si="28"/>
        <v>Profit</v>
      </c>
      <c r="S345" t="str">
        <f t="shared" si="29"/>
        <v>Low (1-10%)</v>
      </c>
    </row>
    <row r="346" spans="1:19" x14ac:dyDescent="0.3">
      <c r="A346" s="3" t="s">
        <v>426</v>
      </c>
      <c r="B346" s="2">
        <v>45554</v>
      </c>
      <c r="C346" s="3" t="s">
        <v>24</v>
      </c>
      <c r="D346" s="3" t="s">
        <v>38</v>
      </c>
      <c r="E346" s="3" t="s">
        <v>53</v>
      </c>
      <c r="F346" s="3" t="s">
        <v>32</v>
      </c>
      <c r="G346" s="3" t="s">
        <v>112</v>
      </c>
      <c r="H346" s="3" t="s">
        <v>113</v>
      </c>
      <c r="I346" s="5">
        <v>3086.4</v>
      </c>
      <c r="J346" s="4">
        <v>8</v>
      </c>
      <c r="K346" s="1">
        <v>7.0000000000000009</v>
      </c>
      <c r="L346" s="4">
        <v>541.91</v>
      </c>
      <c r="M346" s="3" t="s">
        <v>51</v>
      </c>
      <c r="N346" s="3" t="s">
        <v>44</v>
      </c>
      <c r="O346" s="2" t="str">
        <f t="shared" si="25"/>
        <v>09-2024</v>
      </c>
      <c r="P346" t="str">
        <f t="shared" si="26"/>
        <v>2024</v>
      </c>
      <c r="Q346" s="6">
        <f t="shared" si="27"/>
        <v>0.17557996371176773</v>
      </c>
      <c r="R346" t="str">
        <f t="shared" si="28"/>
        <v>Profit</v>
      </c>
      <c r="S346" t="str">
        <f t="shared" si="29"/>
        <v>Low (1-10%)</v>
      </c>
    </row>
    <row r="347" spans="1:19" x14ac:dyDescent="0.3">
      <c r="A347" s="3" t="s">
        <v>427</v>
      </c>
      <c r="B347" s="2">
        <v>45640</v>
      </c>
      <c r="C347" s="3" t="s">
        <v>42</v>
      </c>
      <c r="D347" s="3" t="s">
        <v>38</v>
      </c>
      <c r="E347" s="3" t="s">
        <v>43</v>
      </c>
      <c r="F347" s="3" t="s">
        <v>18</v>
      </c>
      <c r="G347" s="3" t="s">
        <v>19</v>
      </c>
      <c r="H347" s="3" t="s">
        <v>20</v>
      </c>
      <c r="I347" s="5">
        <v>3828.66</v>
      </c>
      <c r="J347" s="4">
        <v>3</v>
      </c>
      <c r="K347" s="1">
        <v>25</v>
      </c>
      <c r="L347" s="4">
        <v>572.72</v>
      </c>
      <c r="M347" s="3" t="s">
        <v>21</v>
      </c>
      <c r="N347" s="3" t="s">
        <v>35</v>
      </c>
      <c r="O347" s="2" t="str">
        <f t="shared" si="25"/>
        <v>12-2024</v>
      </c>
      <c r="P347" t="str">
        <f t="shared" si="26"/>
        <v>2024</v>
      </c>
      <c r="Q347" s="6">
        <f t="shared" si="27"/>
        <v>0.14958758416782897</v>
      </c>
      <c r="R347" t="str">
        <f t="shared" si="28"/>
        <v>Profit</v>
      </c>
      <c r="S347" t="str">
        <f t="shared" si="29"/>
        <v>High (&gt;20%)</v>
      </c>
    </row>
    <row r="348" spans="1:19" x14ac:dyDescent="0.3">
      <c r="A348" s="3" t="s">
        <v>428</v>
      </c>
      <c r="B348" s="2">
        <v>45534</v>
      </c>
      <c r="C348" s="3" t="s">
        <v>75</v>
      </c>
      <c r="D348" s="3" t="s">
        <v>16</v>
      </c>
      <c r="E348" s="3" t="s">
        <v>31</v>
      </c>
      <c r="F348" s="3" t="s">
        <v>18</v>
      </c>
      <c r="G348" s="3" t="s">
        <v>26</v>
      </c>
      <c r="H348" s="3" t="s">
        <v>27</v>
      </c>
      <c r="I348" s="5">
        <v>1490.85</v>
      </c>
      <c r="J348" s="4">
        <v>5</v>
      </c>
      <c r="K348" s="1">
        <v>8</v>
      </c>
      <c r="L348" s="4">
        <v>243.51</v>
      </c>
      <c r="M348" s="3" t="s">
        <v>21</v>
      </c>
      <c r="N348" s="3" t="s">
        <v>40</v>
      </c>
      <c r="O348" s="2" t="str">
        <f t="shared" si="25"/>
        <v>08-2024</v>
      </c>
      <c r="P348" t="str">
        <f t="shared" si="26"/>
        <v>2024</v>
      </c>
      <c r="Q348" s="6">
        <f t="shared" si="27"/>
        <v>0.16333635174564845</v>
      </c>
      <c r="R348" t="str">
        <f t="shared" si="28"/>
        <v>Profit</v>
      </c>
      <c r="S348" t="str">
        <f t="shared" si="29"/>
        <v>Low (1-10%)</v>
      </c>
    </row>
    <row r="349" spans="1:19" x14ac:dyDescent="0.3">
      <c r="A349" s="3" t="s">
        <v>429</v>
      </c>
      <c r="B349" s="2">
        <v>45781</v>
      </c>
      <c r="C349" s="3" t="s">
        <v>42</v>
      </c>
      <c r="D349" s="3" t="s">
        <v>38</v>
      </c>
      <c r="E349" s="3" t="s">
        <v>43</v>
      </c>
      <c r="F349" s="3" t="s">
        <v>62</v>
      </c>
      <c r="G349" s="3" t="s">
        <v>63</v>
      </c>
      <c r="H349" s="3" t="s">
        <v>64</v>
      </c>
      <c r="I349" s="5">
        <v>7593.6</v>
      </c>
      <c r="J349" s="4">
        <v>4</v>
      </c>
      <c r="K349" s="1">
        <v>0</v>
      </c>
      <c r="L349" s="4">
        <v>686.94</v>
      </c>
      <c r="M349" s="3" t="s">
        <v>21</v>
      </c>
      <c r="N349" s="3" t="s">
        <v>22</v>
      </c>
      <c r="O349" s="2" t="str">
        <f t="shared" si="25"/>
        <v>05-2025</v>
      </c>
      <c r="P349" t="str">
        <f t="shared" si="26"/>
        <v>2025</v>
      </c>
      <c r="Q349" s="6">
        <f t="shared" si="27"/>
        <v>9.046302149178255E-2</v>
      </c>
      <c r="R349" t="str">
        <f t="shared" si="28"/>
        <v>Profit</v>
      </c>
      <c r="S349" t="str">
        <f t="shared" si="29"/>
        <v>No Discount</v>
      </c>
    </row>
    <row r="350" spans="1:19" x14ac:dyDescent="0.3">
      <c r="A350" s="3" t="s">
        <v>430</v>
      </c>
      <c r="B350" s="2">
        <v>45569</v>
      </c>
      <c r="C350" s="3" t="s">
        <v>24</v>
      </c>
      <c r="D350" s="3" t="s">
        <v>56</v>
      </c>
      <c r="E350" s="3" t="s">
        <v>108</v>
      </c>
      <c r="F350" s="3" t="s">
        <v>18</v>
      </c>
      <c r="G350" s="3" t="s">
        <v>94</v>
      </c>
      <c r="H350" s="3" t="s">
        <v>95</v>
      </c>
      <c r="I350" s="5">
        <v>10440.08</v>
      </c>
      <c r="J350" s="4">
        <v>8</v>
      </c>
      <c r="K350" s="1">
        <v>3</v>
      </c>
      <c r="L350" s="4">
        <v>2315.37</v>
      </c>
      <c r="M350" s="3" t="s">
        <v>28</v>
      </c>
      <c r="N350" s="3" t="s">
        <v>35</v>
      </c>
      <c r="O350" s="2" t="str">
        <f t="shared" si="25"/>
        <v>10-2024</v>
      </c>
      <c r="P350" t="str">
        <f t="shared" si="26"/>
        <v>2024</v>
      </c>
      <c r="Q350" s="6">
        <f t="shared" si="27"/>
        <v>0.22177703619129355</v>
      </c>
      <c r="R350" t="str">
        <f t="shared" si="28"/>
        <v>Profit</v>
      </c>
      <c r="S350" t="str">
        <f t="shared" si="29"/>
        <v>Low (1-10%)</v>
      </c>
    </row>
    <row r="351" spans="1:19" x14ac:dyDescent="0.3">
      <c r="A351" s="3" t="s">
        <v>431</v>
      </c>
      <c r="B351" s="2">
        <v>45646</v>
      </c>
      <c r="C351" s="3" t="s">
        <v>75</v>
      </c>
      <c r="D351" s="3" t="s">
        <v>38</v>
      </c>
      <c r="E351" s="3" t="s">
        <v>71</v>
      </c>
      <c r="F351" s="3" t="s">
        <v>62</v>
      </c>
      <c r="G351" s="3" t="s">
        <v>67</v>
      </c>
      <c r="H351" s="3" t="s">
        <v>68</v>
      </c>
      <c r="I351" s="5">
        <v>1530.21</v>
      </c>
      <c r="J351" s="4">
        <v>1</v>
      </c>
      <c r="K351" s="1">
        <v>4</v>
      </c>
      <c r="L351" s="4">
        <v>358.53</v>
      </c>
      <c r="M351" s="3" t="s">
        <v>28</v>
      </c>
      <c r="N351" s="3" t="s">
        <v>35</v>
      </c>
      <c r="O351" s="2" t="str">
        <f t="shared" si="25"/>
        <v>12-2024</v>
      </c>
      <c r="P351" t="str">
        <f t="shared" si="26"/>
        <v>2024</v>
      </c>
      <c r="Q351" s="6">
        <f t="shared" si="27"/>
        <v>0.2343011743486188</v>
      </c>
      <c r="R351" t="str">
        <f t="shared" si="28"/>
        <v>Profit</v>
      </c>
      <c r="S351" t="str">
        <f t="shared" si="29"/>
        <v>Low (1-10%)</v>
      </c>
    </row>
    <row r="352" spans="1:19" x14ac:dyDescent="0.3">
      <c r="A352" s="3" t="s">
        <v>432</v>
      </c>
      <c r="B352" s="2">
        <v>45757</v>
      </c>
      <c r="C352" s="3" t="s">
        <v>37</v>
      </c>
      <c r="D352" s="3" t="s">
        <v>38</v>
      </c>
      <c r="E352" s="3" t="s">
        <v>71</v>
      </c>
      <c r="F352" s="3" t="s">
        <v>18</v>
      </c>
      <c r="G352" s="3" t="s">
        <v>19</v>
      </c>
      <c r="H352" s="3" t="s">
        <v>20</v>
      </c>
      <c r="I352" s="5">
        <v>4381.8</v>
      </c>
      <c r="J352" s="4">
        <v>3</v>
      </c>
      <c r="K352" s="1">
        <v>2</v>
      </c>
      <c r="L352" s="4">
        <v>346.29</v>
      </c>
      <c r="M352" s="3" t="s">
        <v>21</v>
      </c>
      <c r="N352" s="3" t="s">
        <v>22</v>
      </c>
      <c r="O352" s="2" t="str">
        <f t="shared" si="25"/>
        <v>04-2025</v>
      </c>
      <c r="P352" t="str">
        <f t="shared" si="26"/>
        <v>2025</v>
      </c>
      <c r="Q352" s="6">
        <f t="shared" si="27"/>
        <v>7.9029166096124884E-2</v>
      </c>
      <c r="R352" t="str">
        <f t="shared" si="28"/>
        <v>Profit</v>
      </c>
      <c r="S352" t="str">
        <f t="shared" si="29"/>
        <v>Low (1-10%)</v>
      </c>
    </row>
    <row r="353" spans="1:19" x14ac:dyDescent="0.3">
      <c r="A353" s="3" t="s">
        <v>433</v>
      </c>
      <c r="B353" s="2">
        <v>45616</v>
      </c>
      <c r="C353" s="3" t="s">
        <v>73</v>
      </c>
      <c r="D353" s="3" t="s">
        <v>89</v>
      </c>
      <c r="E353" s="3" t="s">
        <v>116</v>
      </c>
      <c r="F353" s="3" t="s">
        <v>32</v>
      </c>
      <c r="G353" s="3" t="s">
        <v>47</v>
      </c>
      <c r="H353" s="3" t="s">
        <v>48</v>
      </c>
      <c r="I353" s="5">
        <v>12574.98</v>
      </c>
      <c r="J353" s="4">
        <v>9</v>
      </c>
      <c r="K353" s="1">
        <v>26</v>
      </c>
      <c r="L353" s="4">
        <v>2293.2800000000002</v>
      </c>
      <c r="M353" s="3" t="s">
        <v>21</v>
      </c>
      <c r="N353" s="3" t="s">
        <v>44</v>
      </c>
      <c r="O353" s="2" t="str">
        <f t="shared" si="25"/>
        <v>11-2024</v>
      </c>
      <c r="P353" t="str">
        <f t="shared" si="26"/>
        <v>2024</v>
      </c>
      <c r="Q353" s="6">
        <f t="shared" si="27"/>
        <v>0.18236848090414459</v>
      </c>
      <c r="R353" t="str">
        <f t="shared" si="28"/>
        <v>Profit</v>
      </c>
      <c r="S353" t="str">
        <f t="shared" si="29"/>
        <v>High (&gt;20%)</v>
      </c>
    </row>
    <row r="354" spans="1:19" x14ac:dyDescent="0.3">
      <c r="A354" s="3" t="s">
        <v>434</v>
      </c>
      <c r="B354" s="2">
        <v>45784</v>
      </c>
      <c r="C354" s="3" t="s">
        <v>101</v>
      </c>
      <c r="D354" s="3" t="s">
        <v>56</v>
      </c>
      <c r="E354" s="3" t="s">
        <v>108</v>
      </c>
      <c r="F354" s="3" t="s">
        <v>32</v>
      </c>
      <c r="G354" s="3" t="s">
        <v>47</v>
      </c>
      <c r="H354" s="3" t="s">
        <v>48</v>
      </c>
      <c r="I354" s="5">
        <v>2649.95</v>
      </c>
      <c r="J354" s="4">
        <v>5</v>
      </c>
      <c r="K354" s="1">
        <v>11</v>
      </c>
      <c r="L354" s="4">
        <v>241.79</v>
      </c>
      <c r="M354" s="3" t="s">
        <v>51</v>
      </c>
      <c r="N354" s="3" t="s">
        <v>44</v>
      </c>
      <c r="O354" s="2" t="str">
        <f t="shared" si="25"/>
        <v>05-2025</v>
      </c>
      <c r="P354" t="str">
        <f t="shared" si="26"/>
        <v>2025</v>
      </c>
      <c r="Q354" s="6">
        <f t="shared" si="27"/>
        <v>9.1243231004358577E-2</v>
      </c>
      <c r="R354" t="str">
        <f t="shared" si="28"/>
        <v>Profit</v>
      </c>
      <c r="S354" t="str">
        <f t="shared" si="29"/>
        <v>Mid (11-20%)</v>
      </c>
    </row>
    <row r="355" spans="1:19" x14ac:dyDescent="0.3">
      <c r="A355" s="3" t="s">
        <v>435</v>
      </c>
      <c r="B355" s="2">
        <v>45582</v>
      </c>
      <c r="C355" s="3" t="s">
        <v>99</v>
      </c>
      <c r="D355" s="3" t="s">
        <v>56</v>
      </c>
      <c r="E355" s="3" t="s">
        <v>61</v>
      </c>
      <c r="F355" s="3" t="s">
        <v>32</v>
      </c>
      <c r="G355" s="3" t="s">
        <v>112</v>
      </c>
      <c r="H355" s="3" t="s">
        <v>113</v>
      </c>
      <c r="I355" s="5">
        <v>1186.8599999999999</v>
      </c>
      <c r="J355" s="4">
        <v>3</v>
      </c>
      <c r="K355" s="1">
        <v>19</v>
      </c>
      <c r="L355" s="4">
        <v>81.53</v>
      </c>
      <c r="M355" s="3" t="s">
        <v>51</v>
      </c>
      <c r="N355" s="3" t="s">
        <v>44</v>
      </c>
      <c r="O355" s="2" t="str">
        <f t="shared" si="25"/>
        <v>10-2024</v>
      </c>
      <c r="P355" t="str">
        <f t="shared" si="26"/>
        <v>2024</v>
      </c>
      <c r="Q355" s="6">
        <f t="shared" si="27"/>
        <v>6.8693864482752817E-2</v>
      </c>
      <c r="R355" t="str">
        <f t="shared" si="28"/>
        <v>Profit</v>
      </c>
      <c r="S355" t="str">
        <f t="shared" si="29"/>
        <v>Mid (11-20%)</v>
      </c>
    </row>
    <row r="356" spans="1:19" x14ac:dyDescent="0.3">
      <c r="A356" s="3" t="s">
        <v>436</v>
      </c>
      <c r="B356" s="2">
        <v>45447</v>
      </c>
      <c r="C356" s="3" t="s">
        <v>101</v>
      </c>
      <c r="D356" s="3" t="s">
        <v>89</v>
      </c>
      <c r="E356" s="3" t="s">
        <v>102</v>
      </c>
      <c r="F356" s="3" t="s">
        <v>62</v>
      </c>
      <c r="G356" s="3" t="s">
        <v>67</v>
      </c>
      <c r="H356" s="3" t="s">
        <v>68</v>
      </c>
      <c r="I356" s="5">
        <v>649.16</v>
      </c>
      <c r="J356" s="4">
        <v>2</v>
      </c>
      <c r="K356" s="1">
        <v>5</v>
      </c>
      <c r="L356" s="4">
        <v>95.89</v>
      </c>
      <c r="M356" s="3" t="s">
        <v>28</v>
      </c>
      <c r="N356" s="3" t="s">
        <v>35</v>
      </c>
      <c r="O356" s="2" t="str">
        <f t="shared" si="25"/>
        <v>06-2024</v>
      </c>
      <c r="P356" t="str">
        <f t="shared" si="26"/>
        <v>2024</v>
      </c>
      <c r="Q356" s="6">
        <f t="shared" si="27"/>
        <v>0.14771396882124593</v>
      </c>
      <c r="R356" t="str">
        <f t="shared" si="28"/>
        <v>Profit</v>
      </c>
      <c r="S356" t="str">
        <f t="shared" si="29"/>
        <v>Low (1-10%)</v>
      </c>
    </row>
    <row r="357" spans="1:19" x14ac:dyDescent="0.3">
      <c r="A357" s="3" t="s">
        <v>437</v>
      </c>
      <c r="B357" s="2">
        <v>45567</v>
      </c>
      <c r="C357" s="3" t="s">
        <v>30</v>
      </c>
      <c r="D357" s="3" t="s">
        <v>89</v>
      </c>
      <c r="E357" s="3" t="s">
        <v>97</v>
      </c>
      <c r="F357" s="3" t="s">
        <v>18</v>
      </c>
      <c r="G357" s="3" t="s">
        <v>94</v>
      </c>
      <c r="H357" s="3" t="s">
        <v>95</v>
      </c>
      <c r="I357" s="5">
        <v>607.6</v>
      </c>
      <c r="J357" s="4">
        <v>2</v>
      </c>
      <c r="K357" s="1">
        <v>2</v>
      </c>
      <c r="L357" s="4">
        <v>82.34</v>
      </c>
      <c r="M357" s="3" t="s">
        <v>21</v>
      </c>
      <c r="N357" s="3" t="s">
        <v>35</v>
      </c>
      <c r="O357" s="2" t="str">
        <f t="shared" si="25"/>
        <v>10-2024</v>
      </c>
      <c r="P357" t="str">
        <f t="shared" si="26"/>
        <v>2024</v>
      </c>
      <c r="Q357" s="6">
        <f t="shared" si="27"/>
        <v>0.13551678736010533</v>
      </c>
      <c r="R357" t="str">
        <f t="shared" si="28"/>
        <v>Profit</v>
      </c>
      <c r="S357" t="str">
        <f t="shared" si="29"/>
        <v>Low (1-10%)</v>
      </c>
    </row>
    <row r="358" spans="1:19" x14ac:dyDescent="0.3">
      <c r="A358" s="3" t="s">
        <v>438</v>
      </c>
      <c r="B358" s="2">
        <v>45489</v>
      </c>
      <c r="C358" s="3" t="s">
        <v>73</v>
      </c>
      <c r="D358" s="3" t="s">
        <v>56</v>
      </c>
      <c r="E358" s="3" t="s">
        <v>108</v>
      </c>
      <c r="F358" s="3" t="s">
        <v>62</v>
      </c>
      <c r="G358" s="3" t="s">
        <v>67</v>
      </c>
      <c r="H358" s="3" t="s">
        <v>68</v>
      </c>
      <c r="I358" s="5">
        <v>125.5</v>
      </c>
      <c r="J358" s="4">
        <v>1</v>
      </c>
      <c r="K358" s="1">
        <v>15</v>
      </c>
      <c r="L358" s="4">
        <v>25.78</v>
      </c>
      <c r="M358" s="3" t="s">
        <v>51</v>
      </c>
      <c r="N358" s="3" t="s">
        <v>40</v>
      </c>
      <c r="O358" s="2" t="str">
        <f t="shared" si="25"/>
        <v>07-2024</v>
      </c>
      <c r="P358" t="str">
        <f t="shared" si="26"/>
        <v>2024</v>
      </c>
      <c r="Q358" s="6">
        <f t="shared" si="27"/>
        <v>0.2054183266932271</v>
      </c>
      <c r="R358" t="str">
        <f t="shared" si="28"/>
        <v>Profit</v>
      </c>
      <c r="S358" t="str">
        <f t="shared" si="29"/>
        <v>Mid (11-20%)</v>
      </c>
    </row>
    <row r="359" spans="1:19" x14ac:dyDescent="0.3">
      <c r="A359" s="3" t="s">
        <v>439</v>
      </c>
      <c r="B359" s="2">
        <v>45451</v>
      </c>
      <c r="C359" s="3" t="s">
        <v>24</v>
      </c>
      <c r="D359" s="3" t="s">
        <v>38</v>
      </c>
      <c r="E359" s="3" t="s">
        <v>53</v>
      </c>
      <c r="F359" s="3" t="s">
        <v>32</v>
      </c>
      <c r="G359" s="3" t="s">
        <v>47</v>
      </c>
      <c r="H359" s="3" t="s">
        <v>48</v>
      </c>
      <c r="I359" s="5">
        <v>4103.13</v>
      </c>
      <c r="J359" s="4">
        <v>3</v>
      </c>
      <c r="K359" s="1">
        <v>6</v>
      </c>
      <c r="L359" s="4">
        <v>612.36</v>
      </c>
      <c r="M359" s="3" t="s">
        <v>28</v>
      </c>
      <c r="N359" s="3" t="s">
        <v>35</v>
      </c>
      <c r="O359" s="2" t="str">
        <f t="shared" si="25"/>
        <v>06-2024</v>
      </c>
      <c r="P359" t="str">
        <f t="shared" si="26"/>
        <v>2024</v>
      </c>
      <c r="Q359" s="6">
        <f t="shared" si="27"/>
        <v>0.14924216390901579</v>
      </c>
      <c r="R359" t="str">
        <f t="shared" si="28"/>
        <v>Profit</v>
      </c>
      <c r="S359" t="str">
        <f t="shared" si="29"/>
        <v>Low (1-10%)</v>
      </c>
    </row>
    <row r="360" spans="1:19" x14ac:dyDescent="0.3">
      <c r="A360" s="3" t="s">
        <v>440</v>
      </c>
      <c r="B360" s="2">
        <v>45502</v>
      </c>
      <c r="C360" s="3" t="s">
        <v>133</v>
      </c>
      <c r="D360" s="3" t="s">
        <v>89</v>
      </c>
      <c r="E360" s="3" t="s">
        <v>140</v>
      </c>
      <c r="F360" s="3" t="s">
        <v>62</v>
      </c>
      <c r="G360" s="3" t="s">
        <v>67</v>
      </c>
      <c r="H360" s="3" t="s">
        <v>68</v>
      </c>
      <c r="I360" s="5">
        <v>638.14</v>
      </c>
      <c r="J360" s="4">
        <v>1</v>
      </c>
      <c r="K360" s="1">
        <v>23</v>
      </c>
      <c r="L360" s="4">
        <v>75.63</v>
      </c>
      <c r="M360" s="3" t="s">
        <v>51</v>
      </c>
      <c r="N360" s="3" t="s">
        <v>35</v>
      </c>
      <c r="O360" s="2" t="str">
        <f t="shared" si="25"/>
        <v>07-2024</v>
      </c>
      <c r="P360" t="str">
        <f t="shared" si="26"/>
        <v>2024</v>
      </c>
      <c r="Q360" s="6">
        <f t="shared" si="27"/>
        <v>0.11851631303475726</v>
      </c>
      <c r="R360" t="str">
        <f t="shared" si="28"/>
        <v>Profit</v>
      </c>
      <c r="S360" t="str">
        <f t="shared" si="29"/>
        <v>High (&gt;20%)</v>
      </c>
    </row>
    <row r="361" spans="1:19" x14ac:dyDescent="0.3">
      <c r="A361" s="3" t="s">
        <v>441</v>
      </c>
      <c r="B361" s="2">
        <v>45650</v>
      </c>
      <c r="C361" s="3" t="s">
        <v>86</v>
      </c>
      <c r="D361" s="3" t="s">
        <v>38</v>
      </c>
      <c r="E361" s="3" t="s">
        <v>43</v>
      </c>
      <c r="F361" s="3" t="s">
        <v>18</v>
      </c>
      <c r="G361" s="3" t="s">
        <v>26</v>
      </c>
      <c r="H361" s="3" t="s">
        <v>27</v>
      </c>
      <c r="I361" s="5">
        <v>2355.9</v>
      </c>
      <c r="J361" s="4">
        <v>5</v>
      </c>
      <c r="K361" s="1">
        <v>22</v>
      </c>
      <c r="L361" s="4">
        <v>94.95</v>
      </c>
      <c r="M361" s="3" t="s">
        <v>21</v>
      </c>
      <c r="N361" s="3" t="s">
        <v>22</v>
      </c>
      <c r="O361" s="2" t="str">
        <f t="shared" si="25"/>
        <v>12-2024</v>
      </c>
      <c r="P361" t="str">
        <f t="shared" si="26"/>
        <v>2024</v>
      </c>
      <c r="Q361" s="6">
        <f t="shared" si="27"/>
        <v>4.030306889086973E-2</v>
      </c>
      <c r="R361" t="str">
        <f t="shared" si="28"/>
        <v>Profit</v>
      </c>
      <c r="S361" t="str">
        <f t="shared" si="29"/>
        <v>High (&gt;20%)</v>
      </c>
    </row>
    <row r="362" spans="1:19" x14ac:dyDescent="0.3">
      <c r="A362" s="3" t="s">
        <v>442</v>
      </c>
      <c r="B362" s="2">
        <v>45513</v>
      </c>
      <c r="C362" s="3" t="s">
        <v>75</v>
      </c>
      <c r="D362" s="3" t="s">
        <v>16</v>
      </c>
      <c r="E362" s="3" t="s">
        <v>25</v>
      </c>
      <c r="F362" s="3" t="s">
        <v>18</v>
      </c>
      <c r="G362" s="3" t="s">
        <v>76</v>
      </c>
      <c r="H362" s="3" t="s">
        <v>77</v>
      </c>
      <c r="I362" s="5">
        <v>6929.82</v>
      </c>
      <c r="J362" s="4">
        <v>9</v>
      </c>
      <c r="K362" s="1">
        <v>13</v>
      </c>
      <c r="L362" s="4">
        <v>970.58</v>
      </c>
      <c r="M362" s="3" t="s">
        <v>28</v>
      </c>
      <c r="N362" s="3" t="s">
        <v>40</v>
      </c>
      <c r="O362" s="2" t="str">
        <f t="shared" si="25"/>
        <v>08-2024</v>
      </c>
      <c r="P362" t="str">
        <f t="shared" si="26"/>
        <v>2024</v>
      </c>
      <c r="Q362" s="6">
        <f t="shared" si="27"/>
        <v>0.14005847193722204</v>
      </c>
      <c r="R362" t="str">
        <f t="shared" si="28"/>
        <v>Profit</v>
      </c>
      <c r="S362" t="str">
        <f t="shared" si="29"/>
        <v>Mid (11-20%)</v>
      </c>
    </row>
    <row r="363" spans="1:19" x14ac:dyDescent="0.3">
      <c r="A363" s="3" t="s">
        <v>443</v>
      </c>
      <c r="B363" s="2">
        <v>45742</v>
      </c>
      <c r="C363" s="3" t="s">
        <v>70</v>
      </c>
      <c r="D363" s="3" t="s">
        <v>16</v>
      </c>
      <c r="E363" s="3" t="s">
        <v>31</v>
      </c>
      <c r="F363" s="3" t="s">
        <v>32</v>
      </c>
      <c r="G363" s="3" t="s">
        <v>58</v>
      </c>
      <c r="H363" s="3" t="s">
        <v>59</v>
      </c>
      <c r="I363" s="5">
        <v>1120.5</v>
      </c>
      <c r="J363" s="4">
        <v>2</v>
      </c>
      <c r="K363" s="1">
        <v>13</v>
      </c>
      <c r="L363" s="4">
        <v>130.99</v>
      </c>
      <c r="M363" s="3" t="s">
        <v>21</v>
      </c>
      <c r="N363" s="3" t="s">
        <v>35</v>
      </c>
      <c r="O363" s="2" t="str">
        <f t="shared" si="25"/>
        <v>03-2025</v>
      </c>
      <c r="P363" t="str">
        <f t="shared" si="26"/>
        <v>2025</v>
      </c>
      <c r="Q363" s="6">
        <f t="shared" si="27"/>
        <v>0.11690316822846944</v>
      </c>
      <c r="R363" t="str">
        <f t="shared" si="28"/>
        <v>Profit</v>
      </c>
      <c r="S363" t="str">
        <f t="shared" si="29"/>
        <v>Mid (11-20%)</v>
      </c>
    </row>
    <row r="364" spans="1:19" x14ac:dyDescent="0.3">
      <c r="A364" s="3" t="s">
        <v>444</v>
      </c>
      <c r="B364" s="2">
        <v>45656</v>
      </c>
      <c r="C364" s="3" t="s">
        <v>75</v>
      </c>
      <c r="D364" s="3" t="s">
        <v>38</v>
      </c>
      <c r="E364" s="3" t="s">
        <v>39</v>
      </c>
      <c r="F364" s="3" t="s">
        <v>32</v>
      </c>
      <c r="G364" s="3" t="s">
        <v>33</v>
      </c>
      <c r="H364" s="3" t="s">
        <v>34</v>
      </c>
      <c r="I364" s="5">
        <v>10397.700000000001</v>
      </c>
      <c r="J364" s="4">
        <v>9</v>
      </c>
      <c r="K364" s="1">
        <v>14</v>
      </c>
      <c r="L364" s="4">
        <v>1979.25</v>
      </c>
      <c r="M364" s="3" t="s">
        <v>21</v>
      </c>
      <c r="N364" s="3" t="s">
        <v>44</v>
      </c>
      <c r="O364" s="2" t="str">
        <f t="shared" si="25"/>
        <v>12-2024</v>
      </c>
      <c r="P364" t="str">
        <f t="shared" si="26"/>
        <v>2024</v>
      </c>
      <c r="Q364" s="6">
        <f t="shared" si="27"/>
        <v>0.19035459765140367</v>
      </c>
      <c r="R364" t="str">
        <f t="shared" si="28"/>
        <v>Profit</v>
      </c>
      <c r="S364" t="str">
        <f t="shared" si="29"/>
        <v>Mid (11-20%)</v>
      </c>
    </row>
    <row r="365" spans="1:19" x14ac:dyDescent="0.3">
      <c r="A365" s="3" t="s">
        <v>445</v>
      </c>
      <c r="B365" s="2">
        <v>45532</v>
      </c>
      <c r="C365" s="3" t="s">
        <v>75</v>
      </c>
      <c r="D365" s="3" t="s">
        <v>56</v>
      </c>
      <c r="E365" s="3" t="s">
        <v>61</v>
      </c>
      <c r="F365" s="3" t="s">
        <v>18</v>
      </c>
      <c r="G365" s="3" t="s">
        <v>19</v>
      </c>
      <c r="H365" s="3" t="s">
        <v>20</v>
      </c>
      <c r="I365" s="5">
        <v>2427.3000000000002</v>
      </c>
      <c r="J365" s="4">
        <v>2</v>
      </c>
      <c r="K365" s="1">
        <v>23</v>
      </c>
      <c r="L365" s="4">
        <v>229.71</v>
      </c>
      <c r="M365" s="3" t="s">
        <v>51</v>
      </c>
      <c r="N365" s="3" t="s">
        <v>44</v>
      </c>
      <c r="O365" s="2" t="str">
        <f t="shared" si="25"/>
        <v>08-2024</v>
      </c>
      <c r="P365" t="str">
        <f t="shared" si="26"/>
        <v>2024</v>
      </c>
      <c r="Q365" s="6">
        <f t="shared" si="27"/>
        <v>9.4636015325670494E-2</v>
      </c>
      <c r="R365" t="str">
        <f t="shared" si="28"/>
        <v>Profit</v>
      </c>
      <c r="S365" t="str">
        <f t="shared" si="29"/>
        <v>High (&gt;20%)</v>
      </c>
    </row>
    <row r="366" spans="1:19" x14ac:dyDescent="0.3">
      <c r="A366" s="3" t="s">
        <v>446</v>
      </c>
      <c r="B366" s="2">
        <v>45629</v>
      </c>
      <c r="C366" s="3" t="s">
        <v>42</v>
      </c>
      <c r="D366" s="3" t="s">
        <v>38</v>
      </c>
      <c r="E366" s="3" t="s">
        <v>53</v>
      </c>
      <c r="F366" s="3" t="s">
        <v>18</v>
      </c>
      <c r="G366" s="3" t="s">
        <v>19</v>
      </c>
      <c r="H366" s="3" t="s">
        <v>20</v>
      </c>
      <c r="I366" s="5">
        <v>1987.68</v>
      </c>
      <c r="J366" s="4">
        <v>1</v>
      </c>
      <c r="K366" s="1">
        <v>14</v>
      </c>
      <c r="L366" s="4">
        <v>201.27</v>
      </c>
      <c r="M366" s="3" t="s">
        <v>21</v>
      </c>
      <c r="N366" s="3" t="s">
        <v>22</v>
      </c>
      <c r="O366" s="2" t="str">
        <f t="shared" si="25"/>
        <v>12-2024</v>
      </c>
      <c r="P366" t="str">
        <f t="shared" si="26"/>
        <v>2024</v>
      </c>
      <c r="Q366" s="6">
        <f t="shared" si="27"/>
        <v>0.10125875392417291</v>
      </c>
      <c r="R366" t="str">
        <f t="shared" si="28"/>
        <v>Profit</v>
      </c>
      <c r="S366" t="str">
        <f t="shared" si="29"/>
        <v>Mid (11-20%)</v>
      </c>
    </row>
    <row r="367" spans="1:19" x14ac:dyDescent="0.3">
      <c r="A367" s="3" t="s">
        <v>447</v>
      </c>
      <c r="B367" s="2">
        <v>45543</v>
      </c>
      <c r="C367" s="3" t="s">
        <v>66</v>
      </c>
      <c r="D367" s="3" t="s">
        <v>38</v>
      </c>
      <c r="E367" s="3" t="s">
        <v>39</v>
      </c>
      <c r="F367" s="3" t="s">
        <v>62</v>
      </c>
      <c r="G367" s="3" t="s">
        <v>80</v>
      </c>
      <c r="H367" s="3" t="s">
        <v>81</v>
      </c>
      <c r="I367" s="5">
        <v>5859.12</v>
      </c>
      <c r="J367" s="4">
        <v>4</v>
      </c>
      <c r="K367" s="1">
        <v>7.0000000000000009</v>
      </c>
      <c r="L367" s="4">
        <v>537.89</v>
      </c>
      <c r="M367" s="3" t="s">
        <v>21</v>
      </c>
      <c r="N367" s="3" t="s">
        <v>44</v>
      </c>
      <c r="O367" s="2" t="str">
        <f t="shared" si="25"/>
        <v>09-2024</v>
      </c>
      <c r="P367" t="str">
        <f t="shared" si="26"/>
        <v>2024</v>
      </c>
      <c r="Q367" s="6">
        <f t="shared" si="27"/>
        <v>9.180388863856688E-2</v>
      </c>
      <c r="R367" t="str">
        <f t="shared" si="28"/>
        <v>Profit</v>
      </c>
      <c r="S367" t="str">
        <f t="shared" si="29"/>
        <v>Low (1-10%)</v>
      </c>
    </row>
    <row r="368" spans="1:19" x14ac:dyDescent="0.3">
      <c r="A368" s="3" t="s">
        <v>448</v>
      </c>
      <c r="B368" s="2">
        <v>45615</v>
      </c>
      <c r="C368" s="3" t="s">
        <v>133</v>
      </c>
      <c r="D368" s="3" t="s">
        <v>16</v>
      </c>
      <c r="E368" s="3" t="s">
        <v>17</v>
      </c>
      <c r="F368" s="3" t="s">
        <v>18</v>
      </c>
      <c r="G368" s="3" t="s">
        <v>19</v>
      </c>
      <c r="H368" s="3" t="s">
        <v>20</v>
      </c>
      <c r="I368" s="5">
        <v>3915.3</v>
      </c>
      <c r="J368" s="4">
        <v>5</v>
      </c>
      <c r="K368" s="1">
        <v>7.0000000000000009</v>
      </c>
      <c r="L368" s="4">
        <v>264.56</v>
      </c>
      <c r="M368" s="3" t="s">
        <v>28</v>
      </c>
      <c r="N368" s="3" t="s">
        <v>35</v>
      </c>
      <c r="O368" s="2" t="str">
        <f t="shared" si="25"/>
        <v>11-2024</v>
      </c>
      <c r="P368" t="str">
        <f t="shared" si="26"/>
        <v>2024</v>
      </c>
      <c r="Q368" s="6">
        <f t="shared" si="27"/>
        <v>6.7570811942890704E-2</v>
      </c>
      <c r="R368" t="str">
        <f t="shared" si="28"/>
        <v>Profit</v>
      </c>
      <c r="S368" t="str">
        <f t="shared" si="29"/>
        <v>Low (1-10%)</v>
      </c>
    </row>
    <row r="369" spans="1:19" x14ac:dyDescent="0.3">
      <c r="A369" s="3" t="s">
        <v>449</v>
      </c>
      <c r="B369" s="2">
        <v>45577</v>
      </c>
      <c r="C369" s="3" t="s">
        <v>73</v>
      </c>
      <c r="D369" s="3" t="s">
        <v>89</v>
      </c>
      <c r="E369" s="3" t="s">
        <v>102</v>
      </c>
      <c r="F369" s="3" t="s">
        <v>18</v>
      </c>
      <c r="G369" s="3" t="s">
        <v>76</v>
      </c>
      <c r="H369" s="3" t="s">
        <v>77</v>
      </c>
      <c r="I369" s="5">
        <v>3355.4</v>
      </c>
      <c r="J369" s="4">
        <v>4</v>
      </c>
      <c r="K369" s="1">
        <v>9</v>
      </c>
      <c r="L369" s="4">
        <v>243.86</v>
      </c>
      <c r="M369" s="3" t="s">
        <v>21</v>
      </c>
      <c r="N369" s="3" t="s">
        <v>22</v>
      </c>
      <c r="O369" s="2" t="str">
        <f t="shared" si="25"/>
        <v>10-2024</v>
      </c>
      <c r="P369" t="str">
        <f t="shared" si="26"/>
        <v>2024</v>
      </c>
      <c r="Q369" s="6">
        <f t="shared" si="27"/>
        <v>7.2676879060618704E-2</v>
      </c>
      <c r="R369" t="str">
        <f t="shared" si="28"/>
        <v>Profit</v>
      </c>
      <c r="S369" t="str">
        <f t="shared" si="29"/>
        <v>Low (1-10%)</v>
      </c>
    </row>
    <row r="370" spans="1:19" x14ac:dyDescent="0.3">
      <c r="A370" s="3" t="s">
        <v>450</v>
      </c>
      <c r="B370" s="2">
        <v>45697</v>
      </c>
      <c r="C370" s="3" t="s">
        <v>133</v>
      </c>
      <c r="D370" s="3" t="s">
        <v>16</v>
      </c>
      <c r="E370" s="3" t="s">
        <v>25</v>
      </c>
      <c r="F370" s="3" t="s">
        <v>62</v>
      </c>
      <c r="G370" s="3" t="s">
        <v>103</v>
      </c>
      <c r="H370" s="3" t="s">
        <v>104</v>
      </c>
      <c r="I370" s="5">
        <v>6153.66</v>
      </c>
      <c r="J370" s="4">
        <v>6</v>
      </c>
      <c r="K370" s="1">
        <v>8</v>
      </c>
      <c r="L370" s="4">
        <v>1157.21</v>
      </c>
      <c r="M370" s="3" t="s">
        <v>21</v>
      </c>
      <c r="N370" s="3" t="s">
        <v>35</v>
      </c>
      <c r="O370" s="2" t="str">
        <f t="shared" si="25"/>
        <v>02-2025</v>
      </c>
      <c r="P370" t="str">
        <f t="shared" si="26"/>
        <v>2025</v>
      </c>
      <c r="Q370" s="6">
        <f t="shared" si="27"/>
        <v>0.18805231358248589</v>
      </c>
      <c r="R370" t="str">
        <f t="shared" si="28"/>
        <v>Profit</v>
      </c>
      <c r="S370" t="str">
        <f t="shared" si="29"/>
        <v>Low (1-10%)</v>
      </c>
    </row>
    <row r="371" spans="1:19" x14ac:dyDescent="0.3">
      <c r="A371" s="3" t="s">
        <v>451</v>
      </c>
      <c r="B371" s="2">
        <v>45479</v>
      </c>
      <c r="C371" s="3" t="s">
        <v>50</v>
      </c>
      <c r="D371" s="3" t="s">
        <v>56</v>
      </c>
      <c r="E371" s="3" t="s">
        <v>61</v>
      </c>
      <c r="F371" s="3" t="s">
        <v>62</v>
      </c>
      <c r="G371" s="3" t="s">
        <v>103</v>
      </c>
      <c r="H371" s="3" t="s">
        <v>104</v>
      </c>
      <c r="I371" s="5">
        <v>18243.5</v>
      </c>
      <c r="J371" s="4">
        <v>10</v>
      </c>
      <c r="K371" s="1">
        <v>13</v>
      </c>
      <c r="L371" s="4">
        <v>2512.92</v>
      </c>
      <c r="M371" s="3" t="s">
        <v>28</v>
      </c>
      <c r="N371" s="3" t="s">
        <v>40</v>
      </c>
      <c r="O371" s="2" t="str">
        <f t="shared" si="25"/>
        <v>07-2024</v>
      </c>
      <c r="P371" t="str">
        <f t="shared" si="26"/>
        <v>2024</v>
      </c>
      <c r="Q371" s="6">
        <f t="shared" si="27"/>
        <v>0.13774330583495492</v>
      </c>
      <c r="R371" t="str">
        <f t="shared" si="28"/>
        <v>Profit</v>
      </c>
      <c r="S371" t="str">
        <f t="shared" si="29"/>
        <v>Mid (11-20%)</v>
      </c>
    </row>
    <row r="372" spans="1:19" x14ac:dyDescent="0.3">
      <c r="A372" s="3" t="s">
        <v>452</v>
      </c>
      <c r="B372" s="2">
        <v>45554</v>
      </c>
      <c r="C372" s="3" t="s">
        <v>42</v>
      </c>
      <c r="D372" s="3" t="s">
        <v>38</v>
      </c>
      <c r="E372" s="3" t="s">
        <v>71</v>
      </c>
      <c r="F372" s="3" t="s">
        <v>62</v>
      </c>
      <c r="G372" s="3" t="s">
        <v>80</v>
      </c>
      <c r="H372" s="3" t="s">
        <v>81</v>
      </c>
      <c r="I372" s="5">
        <v>3586.23</v>
      </c>
      <c r="J372" s="4">
        <v>3</v>
      </c>
      <c r="K372" s="1">
        <v>5</v>
      </c>
      <c r="L372" s="4">
        <v>412.87</v>
      </c>
      <c r="M372" s="3" t="s">
        <v>28</v>
      </c>
      <c r="N372" s="3" t="s">
        <v>44</v>
      </c>
      <c r="O372" s="2" t="str">
        <f t="shared" si="25"/>
        <v>09-2024</v>
      </c>
      <c r="P372" t="str">
        <f t="shared" si="26"/>
        <v>2024</v>
      </c>
      <c r="Q372" s="6">
        <f t="shared" si="27"/>
        <v>0.11512646985831919</v>
      </c>
      <c r="R372" t="str">
        <f t="shared" si="28"/>
        <v>Profit</v>
      </c>
      <c r="S372" t="str">
        <f t="shared" si="29"/>
        <v>Low (1-10%)</v>
      </c>
    </row>
    <row r="373" spans="1:19" x14ac:dyDescent="0.3">
      <c r="A373" s="3" t="s">
        <v>453</v>
      </c>
      <c r="B373" s="2">
        <v>45651</v>
      </c>
      <c r="C373" s="3" t="s">
        <v>50</v>
      </c>
      <c r="D373" s="3" t="s">
        <v>89</v>
      </c>
      <c r="E373" s="3" t="s">
        <v>102</v>
      </c>
      <c r="F373" s="3" t="s">
        <v>62</v>
      </c>
      <c r="G373" s="3" t="s">
        <v>67</v>
      </c>
      <c r="H373" s="3" t="s">
        <v>68</v>
      </c>
      <c r="I373" s="5">
        <v>14273.52</v>
      </c>
      <c r="J373" s="4">
        <v>8</v>
      </c>
      <c r="K373" s="1">
        <v>18</v>
      </c>
      <c r="L373" s="4">
        <v>2538.7800000000002</v>
      </c>
      <c r="M373" s="3" t="s">
        <v>51</v>
      </c>
      <c r="N373" s="3" t="s">
        <v>22</v>
      </c>
      <c r="O373" s="2" t="str">
        <f t="shared" si="25"/>
        <v>12-2024</v>
      </c>
      <c r="P373" t="str">
        <f t="shared" si="26"/>
        <v>2024</v>
      </c>
      <c r="Q373" s="6">
        <f t="shared" si="27"/>
        <v>0.17786642678190104</v>
      </c>
      <c r="R373" t="str">
        <f t="shared" si="28"/>
        <v>Profit</v>
      </c>
      <c r="S373" t="str">
        <f t="shared" si="29"/>
        <v>Mid (11-20%)</v>
      </c>
    </row>
    <row r="374" spans="1:19" x14ac:dyDescent="0.3">
      <c r="A374" s="3" t="s">
        <v>454</v>
      </c>
      <c r="B374" s="2">
        <v>45580</v>
      </c>
      <c r="C374" s="3" t="s">
        <v>133</v>
      </c>
      <c r="D374" s="3" t="s">
        <v>56</v>
      </c>
      <c r="E374" s="3" t="s">
        <v>61</v>
      </c>
      <c r="F374" s="3" t="s">
        <v>32</v>
      </c>
      <c r="G374" s="3" t="s">
        <v>58</v>
      </c>
      <c r="H374" s="3" t="s">
        <v>59</v>
      </c>
      <c r="I374" s="5">
        <v>2922.58</v>
      </c>
      <c r="J374" s="4">
        <v>2</v>
      </c>
      <c r="K374" s="1">
        <v>22</v>
      </c>
      <c r="L374" s="4">
        <v>150.24</v>
      </c>
      <c r="M374" s="3" t="s">
        <v>51</v>
      </c>
      <c r="N374" s="3" t="s">
        <v>35</v>
      </c>
      <c r="O374" s="2" t="str">
        <f t="shared" si="25"/>
        <v>10-2024</v>
      </c>
      <c r="P374" t="str">
        <f t="shared" si="26"/>
        <v>2024</v>
      </c>
      <c r="Q374" s="6">
        <f t="shared" si="27"/>
        <v>5.1406633864599094E-2</v>
      </c>
      <c r="R374" t="str">
        <f t="shared" si="28"/>
        <v>Profit</v>
      </c>
      <c r="S374" t="str">
        <f t="shared" si="29"/>
        <v>High (&gt;20%)</v>
      </c>
    </row>
    <row r="375" spans="1:19" x14ac:dyDescent="0.3">
      <c r="A375" s="3" t="s">
        <v>455</v>
      </c>
      <c r="B375" s="2">
        <v>45761</v>
      </c>
      <c r="C375" s="3" t="s">
        <v>99</v>
      </c>
      <c r="D375" s="3" t="s">
        <v>38</v>
      </c>
      <c r="E375" s="3" t="s">
        <v>39</v>
      </c>
      <c r="F375" s="3" t="s">
        <v>62</v>
      </c>
      <c r="G375" s="3" t="s">
        <v>67</v>
      </c>
      <c r="H375" s="3" t="s">
        <v>68</v>
      </c>
      <c r="I375" s="5">
        <v>848.16</v>
      </c>
      <c r="J375" s="4">
        <v>8</v>
      </c>
      <c r="K375" s="1">
        <v>16</v>
      </c>
      <c r="L375" s="4">
        <v>103.34</v>
      </c>
      <c r="M375" s="3" t="s">
        <v>28</v>
      </c>
      <c r="N375" s="3" t="s">
        <v>40</v>
      </c>
      <c r="O375" s="2" t="str">
        <f t="shared" si="25"/>
        <v>04-2025</v>
      </c>
      <c r="P375" t="str">
        <f t="shared" si="26"/>
        <v>2025</v>
      </c>
      <c r="Q375" s="6">
        <f t="shared" si="27"/>
        <v>0.1218402188266365</v>
      </c>
      <c r="R375" t="str">
        <f t="shared" si="28"/>
        <v>Profit</v>
      </c>
      <c r="S375" t="str">
        <f t="shared" si="29"/>
        <v>Mid (11-20%)</v>
      </c>
    </row>
    <row r="376" spans="1:19" x14ac:dyDescent="0.3">
      <c r="A376" s="3" t="s">
        <v>456</v>
      </c>
      <c r="B376" s="2">
        <v>45740</v>
      </c>
      <c r="C376" s="3" t="s">
        <v>99</v>
      </c>
      <c r="D376" s="3" t="s">
        <v>38</v>
      </c>
      <c r="E376" s="3" t="s">
        <v>43</v>
      </c>
      <c r="F376" s="3" t="s">
        <v>32</v>
      </c>
      <c r="G376" s="3" t="s">
        <v>33</v>
      </c>
      <c r="H376" s="3" t="s">
        <v>34</v>
      </c>
      <c r="I376" s="5">
        <v>7435.68</v>
      </c>
      <c r="J376" s="4">
        <v>7</v>
      </c>
      <c r="K376" s="1">
        <v>7.0000000000000009</v>
      </c>
      <c r="L376" s="4">
        <v>1366.4</v>
      </c>
      <c r="M376" s="3" t="s">
        <v>51</v>
      </c>
      <c r="N376" s="3" t="s">
        <v>40</v>
      </c>
      <c r="O376" s="2" t="str">
        <f t="shared" si="25"/>
        <v>03-2025</v>
      </c>
      <c r="P376" t="str">
        <f t="shared" si="26"/>
        <v>2025</v>
      </c>
      <c r="Q376" s="6">
        <f t="shared" si="27"/>
        <v>0.18376261485163428</v>
      </c>
      <c r="R376" t="str">
        <f t="shared" si="28"/>
        <v>Profit</v>
      </c>
      <c r="S376" t="str">
        <f t="shared" si="29"/>
        <v>Low (1-10%)</v>
      </c>
    </row>
    <row r="377" spans="1:19" x14ac:dyDescent="0.3">
      <c r="A377" s="3" t="s">
        <v>457</v>
      </c>
      <c r="B377" s="2">
        <v>45657</v>
      </c>
      <c r="C377" s="3" t="s">
        <v>73</v>
      </c>
      <c r="D377" s="3" t="s">
        <v>38</v>
      </c>
      <c r="E377" s="3" t="s">
        <v>53</v>
      </c>
      <c r="F377" s="3" t="s">
        <v>62</v>
      </c>
      <c r="G377" s="3" t="s">
        <v>63</v>
      </c>
      <c r="H377" s="3" t="s">
        <v>64</v>
      </c>
      <c r="I377" s="5">
        <v>4694.08</v>
      </c>
      <c r="J377" s="4">
        <v>4</v>
      </c>
      <c r="K377" s="1">
        <v>25</v>
      </c>
      <c r="L377" s="4">
        <v>279.85000000000002</v>
      </c>
      <c r="M377" s="3" t="s">
        <v>28</v>
      </c>
      <c r="N377" s="3" t="s">
        <v>40</v>
      </c>
      <c r="O377" s="2" t="str">
        <f t="shared" si="25"/>
        <v>12-2024</v>
      </c>
      <c r="P377" t="str">
        <f t="shared" si="26"/>
        <v>2024</v>
      </c>
      <c r="Q377" s="6">
        <f t="shared" si="27"/>
        <v>5.9617646056309231E-2</v>
      </c>
      <c r="R377" t="str">
        <f t="shared" si="28"/>
        <v>Profit</v>
      </c>
      <c r="S377" t="str">
        <f t="shared" si="29"/>
        <v>High (&gt;20%)</v>
      </c>
    </row>
    <row r="378" spans="1:19" x14ac:dyDescent="0.3">
      <c r="A378" s="3" t="s">
        <v>458</v>
      </c>
      <c r="B378" s="2">
        <v>45688</v>
      </c>
      <c r="C378" s="3" t="s">
        <v>133</v>
      </c>
      <c r="D378" s="3" t="s">
        <v>38</v>
      </c>
      <c r="E378" s="3" t="s">
        <v>43</v>
      </c>
      <c r="F378" s="3" t="s">
        <v>32</v>
      </c>
      <c r="G378" s="3" t="s">
        <v>33</v>
      </c>
      <c r="H378" s="3" t="s">
        <v>34</v>
      </c>
      <c r="I378" s="5">
        <v>3252.08</v>
      </c>
      <c r="J378" s="4">
        <v>2</v>
      </c>
      <c r="K378" s="1">
        <v>21</v>
      </c>
      <c r="L378" s="4">
        <v>623.16999999999996</v>
      </c>
      <c r="M378" s="3" t="s">
        <v>51</v>
      </c>
      <c r="N378" s="3" t="s">
        <v>22</v>
      </c>
      <c r="O378" s="2" t="str">
        <f t="shared" si="25"/>
        <v>01-2025</v>
      </c>
      <c r="P378" t="str">
        <f t="shared" si="26"/>
        <v>2025</v>
      </c>
      <c r="Q378" s="6">
        <f t="shared" si="27"/>
        <v>0.19162197731913114</v>
      </c>
      <c r="R378" t="str">
        <f t="shared" si="28"/>
        <v>Profit</v>
      </c>
      <c r="S378" t="str">
        <f t="shared" si="29"/>
        <v>High (&gt;20%)</v>
      </c>
    </row>
    <row r="379" spans="1:19" x14ac:dyDescent="0.3">
      <c r="A379" s="3" t="s">
        <v>459</v>
      </c>
      <c r="B379" s="2">
        <v>45691</v>
      </c>
      <c r="C379" s="3" t="s">
        <v>70</v>
      </c>
      <c r="D379" s="3" t="s">
        <v>38</v>
      </c>
      <c r="E379" s="3" t="s">
        <v>39</v>
      </c>
      <c r="F379" s="3" t="s">
        <v>18</v>
      </c>
      <c r="G379" s="3" t="s">
        <v>94</v>
      </c>
      <c r="H379" s="3" t="s">
        <v>95</v>
      </c>
      <c r="I379" s="5">
        <v>7742.07</v>
      </c>
      <c r="J379" s="4">
        <v>9</v>
      </c>
      <c r="K379" s="1">
        <v>1</v>
      </c>
      <c r="L379" s="4">
        <v>794.37</v>
      </c>
      <c r="M379" s="3" t="s">
        <v>21</v>
      </c>
      <c r="N379" s="3" t="s">
        <v>35</v>
      </c>
      <c r="O379" s="2" t="str">
        <f t="shared" si="25"/>
        <v>02-2025</v>
      </c>
      <c r="P379" t="str">
        <f t="shared" si="26"/>
        <v>2025</v>
      </c>
      <c r="Q379" s="6">
        <f t="shared" si="27"/>
        <v>0.10260434224955342</v>
      </c>
      <c r="R379" t="str">
        <f t="shared" si="28"/>
        <v>Profit</v>
      </c>
      <c r="S379" t="str">
        <f t="shared" si="29"/>
        <v>Low (1-10%)</v>
      </c>
    </row>
    <row r="380" spans="1:19" x14ac:dyDescent="0.3">
      <c r="A380" s="3" t="s">
        <v>460</v>
      </c>
      <c r="B380" s="2">
        <v>45618</v>
      </c>
      <c r="C380" s="3" t="s">
        <v>84</v>
      </c>
      <c r="D380" s="3" t="s">
        <v>16</v>
      </c>
      <c r="E380" s="3" t="s">
        <v>25</v>
      </c>
      <c r="F380" s="3" t="s">
        <v>62</v>
      </c>
      <c r="G380" s="3" t="s">
        <v>103</v>
      </c>
      <c r="H380" s="3" t="s">
        <v>104</v>
      </c>
      <c r="I380" s="5">
        <v>9138.5</v>
      </c>
      <c r="J380" s="4">
        <v>10</v>
      </c>
      <c r="K380" s="1">
        <v>7.0000000000000009</v>
      </c>
      <c r="L380" s="4">
        <v>1421.7</v>
      </c>
      <c r="M380" s="3" t="s">
        <v>51</v>
      </c>
      <c r="N380" s="3" t="s">
        <v>22</v>
      </c>
      <c r="O380" s="2" t="str">
        <f t="shared" si="25"/>
        <v>11-2024</v>
      </c>
      <c r="P380" t="str">
        <f t="shared" si="26"/>
        <v>2024</v>
      </c>
      <c r="Q380" s="6">
        <f t="shared" si="27"/>
        <v>0.15557257755649176</v>
      </c>
      <c r="R380" t="str">
        <f t="shared" si="28"/>
        <v>Profit</v>
      </c>
      <c r="S380" t="str">
        <f t="shared" si="29"/>
        <v>Low (1-10%)</v>
      </c>
    </row>
    <row r="381" spans="1:19" x14ac:dyDescent="0.3">
      <c r="A381" s="3" t="s">
        <v>461</v>
      </c>
      <c r="B381" s="2">
        <v>45491</v>
      </c>
      <c r="C381" s="3" t="s">
        <v>99</v>
      </c>
      <c r="D381" s="3" t="s">
        <v>38</v>
      </c>
      <c r="E381" s="3" t="s">
        <v>71</v>
      </c>
      <c r="F381" s="3" t="s">
        <v>32</v>
      </c>
      <c r="G381" s="3" t="s">
        <v>47</v>
      </c>
      <c r="H381" s="3" t="s">
        <v>48</v>
      </c>
      <c r="I381" s="5">
        <v>7986.75</v>
      </c>
      <c r="J381" s="4">
        <v>5</v>
      </c>
      <c r="K381" s="1">
        <v>16</v>
      </c>
      <c r="L381" s="4">
        <v>812.1</v>
      </c>
      <c r="M381" s="3" t="s">
        <v>51</v>
      </c>
      <c r="N381" s="3" t="s">
        <v>44</v>
      </c>
      <c r="O381" s="2" t="str">
        <f t="shared" si="25"/>
        <v>07-2024</v>
      </c>
      <c r="P381" t="str">
        <f t="shared" si="26"/>
        <v>2024</v>
      </c>
      <c r="Q381" s="6">
        <f t="shared" si="27"/>
        <v>0.10168090900554043</v>
      </c>
      <c r="R381" t="str">
        <f t="shared" si="28"/>
        <v>Profit</v>
      </c>
      <c r="S381" t="str">
        <f t="shared" si="29"/>
        <v>Mid (11-20%)</v>
      </c>
    </row>
    <row r="382" spans="1:19" x14ac:dyDescent="0.3">
      <c r="A382" s="3" t="s">
        <v>462</v>
      </c>
      <c r="B382" s="2">
        <v>45668</v>
      </c>
      <c r="C382" s="3" t="s">
        <v>42</v>
      </c>
      <c r="D382" s="3" t="s">
        <v>38</v>
      </c>
      <c r="E382" s="3" t="s">
        <v>71</v>
      </c>
      <c r="F382" s="3" t="s">
        <v>62</v>
      </c>
      <c r="G382" s="3" t="s">
        <v>67</v>
      </c>
      <c r="H382" s="3" t="s">
        <v>68</v>
      </c>
      <c r="I382" s="5">
        <v>266.87</v>
      </c>
      <c r="J382" s="4">
        <v>1</v>
      </c>
      <c r="K382" s="1">
        <v>0</v>
      </c>
      <c r="L382" s="4">
        <v>40.72</v>
      </c>
      <c r="M382" s="3" t="s">
        <v>28</v>
      </c>
      <c r="N382" s="3" t="s">
        <v>35</v>
      </c>
      <c r="O382" s="2" t="str">
        <f t="shared" si="25"/>
        <v>01-2025</v>
      </c>
      <c r="P382" t="str">
        <f t="shared" si="26"/>
        <v>2025</v>
      </c>
      <c r="Q382" s="6">
        <f t="shared" si="27"/>
        <v>0.15258365496309065</v>
      </c>
      <c r="R382" t="str">
        <f t="shared" si="28"/>
        <v>Profit</v>
      </c>
      <c r="S382" t="str">
        <f t="shared" si="29"/>
        <v>No Discount</v>
      </c>
    </row>
    <row r="383" spans="1:19" x14ac:dyDescent="0.3">
      <c r="A383" s="3" t="s">
        <v>463</v>
      </c>
      <c r="B383" s="2">
        <v>45523</v>
      </c>
      <c r="C383" s="3" t="s">
        <v>99</v>
      </c>
      <c r="D383" s="3" t="s">
        <v>89</v>
      </c>
      <c r="E383" s="3" t="s">
        <v>140</v>
      </c>
      <c r="F383" s="3" t="s">
        <v>32</v>
      </c>
      <c r="G383" s="3" t="s">
        <v>58</v>
      </c>
      <c r="H383" s="3" t="s">
        <v>59</v>
      </c>
      <c r="I383" s="5">
        <v>2537.46</v>
      </c>
      <c r="J383" s="4">
        <v>9</v>
      </c>
      <c r="K383" s="1">
        <v>17</v>
      </c>
      <c r="L383" s="4">
        <v>501.71</v>
      </c>
      <c r="M383" s="3" t="s">
        <v>21</v>
      </c>
      <c r="N383" s="3" t="s">
        <v>44</v>
      </c>
      <c r="O383" s="2" t="str">
        <f t="shared" si="25"/>
        <v>08-2024</v>
      </c>
      <c r="P383" t="str">
        <f t="shared" si="26"/>
        <v>2024</v>
      </c>
      <c r="Q383" s="6">
        <f t="shared" si="27"/>
        <v>0.19772134339063471</v>
      </c>
      <c r="R383" t="str">
        <f t="shared" si="28"/>
        <v>Profit</v>
      </c>
      <c r="S383" t="str">
        <f t="shared" si="29"/>
        <v>Mid (11-20%)</v>
      </c>
    </row>
    <row r="384" spans="1:19" x14ac:dyDescent="0.3">
      <c r="A384" s="3" t="s">
        <v>464</v>
      </c>
      <c r="B384" s="2">
        <v>45432</v>
      </c>
      <c r="C384" s="3" t="s">
        <v>75</v>
      </c>
      <c r="D384" s="3" t="s">
        <v>89</v>
      </c>
      <c r="E384" s="3" t="s">
        <v>97</v>
      </c>
      <c r="F384" s="3" t="s">
        <v>18</v>
      </c>
      <c r="G384" s="3" t="s">
        <v>26</v>
      </c>
      <c r="H384" s="3" t="s">
        <v>27</v>
      </c>
      <c r="I384" s="5">
        <v>7377.39</v>
      </c>
      <c r="J384" s="4">
        <v>9</v>
      </c>
      <c r="K384" s="1">
        <v>2</v>
      </c>
      <c r="L384" s="4">
        <v>908.57</v>
      </c>
      <c r="M384" s="3" t="s">
        <v>21</v>
      </c>
      <c r="N384" s="3" t="s">
        <v>44</v>
      </c>
      <c r="O384" s="2" t="str">
        <f t="shared" si="25"/>
        <v>05-2024</v>
      </c>
      <c r="P384" t="str">
        <f t="shared" si="26"/>
        <v>2024</v>
      </c>
      <c r="Q384" s="6">
        <f t="shared" si="27"/>
        <v>0.12315602130292692</v>
      </c>
      <c r="R384" t="str">
        <f t="shared" si="28"/>
        <v>Profit</v>
      </c>
      <c r="S384" t="str">
        <f t="shared" si="29"/>
        <v>Low (1-10%)</v>
      </c>
    </row>
    <row r="385" spans="1:19" x14ac:dyDescent="0.3">
      <c r="A385" s="3" t="s">
        <v>465</v>
      </c>
      <c r="B385" s="2">
        <v>45559</v>
      </c>
      <c r="C385" s="3" t="s">
        <v>133</v>
      </c>
      <c r="D385" s="3" t="s">
        <v>89</v>
      </c>
      <c r="E385" s="3" t="s">
        <v>90</v>
      </c>
      <c r="F385" s="3" t="s">
        <v>18</v>
      </c>
      <c r="G385" s="3" t="s">
        <v>26</v>
      </c>
      <c r="H385" s="3" t="s">
        <v>27</v>
      </c>
      <c r="I385" s="5">
        <v>4547.34</v>
      </c>
      <c r="J385" s="4">
        <v>6</v>
      </c>
      <c r="K385" s="1">
        <v>29</v>
      </c>
      <c r="L385" s="4">
        <v>392.98</v>
      </c>
      <c r="M385" s="3" t="s">
        <v>21</v>
      </c>
      <c r="N385" s="3" t="s">
        <v>22</v>
      </c>
      <c r="O385" s="2" t="str">
        <f t="shared" si="25"/>
        <v>09-2024</v>
      </c>
      <c r="P385" t="str">
        <f t="shared" si="26"/>
        <v>2024</v>
      </c>
      <c r="Q385" s="6">
        <f t="shared" si="27"/>
        <v>8.6419753086419748E-2</v>
      </c>
      <c r="R385" t="str">
        <f t="shared" si="28"/>
        <v>Profit</v>
      </c>
      <c r="S385" t="str">
        <f t="shared" si="29"/>
        <v>High (&gt;20%)</v>
      </c>
    </row>
    <row r="386" spans="1:19" x14ac:dyDescent="0.3">
      <c r="A386" s="3" t="s">
        <v>466</v>
      </c>
      <c r="B386" s="2">
        <v>45708</v>
      </c>
      <c r="C386" s="3" t="s">
        <v>66</v>
      </c>
      <c r="D386" s="3" t="s">
        <v>89</v>
      </c>
      <c r="E386" s="3" t="s">
        <v>90</v>
      </c>
      <c r="F386" s="3" t="s">
        <v>62</v>
      </c>
      <c r="G386" s="3" t="s">
        <v>103</v>
      </c>
      <c r="H386" s="3" t="s">
        <v>104</v>
      </c>
      <c r="I386" s="5">
        <v>1055.52</v>
      </c>
      <c r="J386" s="4">
        <v>1</v>
      </c>
      <c r="K386" s="1">
        <v>1</v>
      </c>
      <c r="L386" s="4">
        <v>187</v>
      </c>
      <c r="M386" s="3" t="s">
        <v>51</v>
      </c>
      <c r="N386" s="3" t="s">
        <v>22</v>
      </c>
      <c r="O386" s="2" t="str">
        <f t="shared" ref="O386:O449" si="30" xml:space="preserve"> TEXT(B386,"MM-YYYY")</f>
        <v>02-2025</v>
      </c>
      <c r="P386" t="str">
        <f t="shared" ref="P386:P449" si="31">TEXT(B386,"YYYY")</f>
        <v>2025</v>
      </c>
      <c r="Q386" s="6">
        <f t="shared" ref="Q386:Q449" si="32">IFERROR(L386/I386,0)</f>
        <v>0.17716386236167955</v>
      </c>
      <c r="R386" t="str">
        <f t="shared" ref="R386:R449" si="33">IF(L386&gt;0,"Profit","Loss")</f>
        <v>Profit</v>
      </c>
      <c r="S386" t="str">
        <f t="shared" ref="S386:S449" si="34">IF(K386=0,"No Discount",IF(K386&lt;=10,"Low (1-10%)",IF(K386&lt;=20,"Mid (11-20%)","High (&gt;20%)")))</f>
        <v>Low (1-10%)</v>
      </c>
    </row>
    <row r="387" spans="1:19" x14ac:dyDescent="0.3">
      <c r="A387" s="3" t="s">
        <v>467</v>
      </c>
      <c r="B387" s="2">
        <v>45775</v>
      </c>
      <c r="C387" s="3" t="s">
        <v>70</v>
      </c>
      <c r="D387" s="3" t="s">
        <v>89</v>
      </c>
      <c r="E387" s="3" t="s">
        <v>102</v>
      </c>
      <c r="F387" s="3" t="s">
        <v>62</v>
      </c>
      <c r="G387" s="3" t="s">
        <v>103</v>
      </c>
      <c r="H387" s="3" t="s">
        <v>104</v>
      </c>
      <c r="I387" s="5">
        <v>4521.84</v>
      </c>
      <c r="J387" s="4">
        <v>6</v>
      </c>
      <c r="K387" s="1">
        <v>29</v>
      </c>
      <c r="L387" s="4">
        <v>516.24</v>
      </c>
      <c r="M387" s="3" t="s">
        <v>28</v>
      </c>
      <c r="N387" s="3" t="s">
        <v>40</v>
      </c>
      <c r="O387" s="2" t="str">
        <f t="shared" si="30"/>
        <v>04-2025</v>
      </c>
      <c r="P387" t="str">
        <f t="shared" si="31"/>
        <v>2025</v>
      </c>
      <c r="Q387" s="6">
        <f t="shared" si="32"/>
        <v>0.11416591476036303</v>
      </c>
      <c r="R387" t="str">
        <f t="shared" si="33"/>
        <v>Profit</v>
      </c>
      <c r="S387" t="str">
        <f t="shared" si="34"/>
        <v>High (&gt;20%)</v>
      </c>
    </row>
    <row r="388" spans="1:19" x14ac:dyDescent="0.3">
      <c r="A388" s="3" t="s">
        <v>468</v>
      </c>
      <c r="B388" s="2">
        <v>45645</v>
      </c>
      <c r="C388" s="3" t="s">
        <v>66</v>
      </c>
      <c r="D388" s="3" t="s">
        <v>16</v>
      </c>
      <c r="E388" s="3" t="s">
        <v>31</v>
      </c>
      <c r="F388" s="3" t="s">
        <v>32</v>
      </c>
      <c r="G388" s="3" t="s">
        <v>47</v>
      </c>
      <c r="H388" s="3" t="s">
        <v>48</v>
      </c>
      <c r="I388" s="5">
        <v>10116.81</v>
      </c>
      <c r="J388" s="4">
        <v>9</v>
      </c>
      <c r="K388" s="1">
        <v>19</v>
      </c>
      <c r="L388" s="4">
        <v>586.13</v>
      </c>
      <c r="M388" s="3" t="s">
        <v>28</v>
      </c>
      <c r="N388" s="3" t="s">
        <v>44</v>
      </c>
      <c r="O388" s="2" t="str">
        <f t="shared" si="30"/>
        <v>12-2024</v>
      </c>
      <c r="P388" t="str">
        <f t="shared" si="31"/>
        <v>2024</v>
      </c>
      <c r="Q388" s="6">
        <f t="shared" si="32"/>
        <v>5.793624670227078E-2</v>
      </c>
      <c r="R388" t="str">
        <f t="shared" si="33"/>
        <v>Profit</v>
      </c>
      <c r="S388" t="str">
        <f t="shared" si="34"/>
        <v>Mid (11-20%)</v>
      </c>
    </row>
    <row r="389" spans="1:19" x14ac:dyDescent="0.3">
      <c r="A389" s="3" t="s">
        <v>469</v>
      </c>
      <c r="B389" s="2">
        <v>45472</v>
      </c>
      <c r="C389" s="3" t="s">
        <v>70</v>
      </c>
      <c r="D389" s="3" t="s">
        <v>16</v>
      </c>
      <c r="E389" s="3" t="s">
        <v>17</v>
      </c>
      <c r="F389" s="3" t="s">
        <v>18</v>
      </c>
      <c r="G389" s="3" t="s">
        <v>19</v>
      </c>
      <c r="H389" s="3" t="s">
        <v>20</v>
      </c>
      <c r="I389" s="5">
        <v>2999.14</v>
      </c>
      <c r="J389" s="4">
        <v>2</v>
      </c>
      <c r="K389" s="1">
        <v>28</v>
      </c>
      <c r="L389" s="4">
        <v>505.06</v>
      </c>
      <c r="M389" s="3" t="s">
        <v>28</v>
      </c>
      <c r="N389" s="3" t="s">
        <v>40</v>
      </c>
      <c r="O389" s="2" t="str">
        <f t="shared" si="30"/>
        <v>06-2024</v>
      </c>
      <c r="P389" t="str">
        <f t="shared" si="31"/>
        <v>2024</v>
      </c>
      <c r="Q389" s="6">
        <f t="shared" si="32"/>
        <v>0.1684016084610922</v>
      </c>
      <c r="R389" t="str">
        <f t="shared" si="33"/>
        <v>Profit</v>
      </c>
      <c r="S389" t="str">
        <f t="shared" si="34"/>
        <v>High (&gt;20%)</v>
      </c>
    </row>
    <row r="390" spans="1:19" x14ac:dyDescent="0.3">
      <c r="A390" s="3" t="s">
        <v>470</v>
      </c>
      <c r="B390" s="2">
        <v>45775</v>
      </c>
      <c r="C390" s="3" t="s">
        <v>15</v>
      </c>
      <c r="D390" s="3" t="s">
        <v>38</v>
      </c>
      <c r="E390" s="3" t="s">
        <v>53</v>
      </c>
      <c r="F390" s="3" t="s">
        <v>18</v>
      </c>
      <c r="G390" s="3" t="s">
        <v>19</v>
      </c>
      <c r="H390" s="3" t="s">
        <v>20</v>
      </c>
      <c r="I390" s="5">
        <v>1576.13</v>
      </c>
      <c r="J390" s="4">
        <v>1</v>
      </c>
      <c r="K390" s="1">
        <v>16</v>
      </c>
      <c r="L390" s="4">
        <v>288.45999999999998</v>
      </c>
      <c r="M390" s="3" t="s">
        <v>21</v>
      </c>
      <c r="N390" s="3" t="s">
        <v>44</v>
      </c>
      <c r="O390" s="2" t="str">
        <f t="shared" si="30"/>
        <v>04-2025</v>
      </c>
      <c r="P390" t="str">
        <f t="shared" si="31"/>
        <v>2025</v>
      </c>
      <c r="Q390" s="6">
        <f t="shared" si="32"/>
        <v>0.18301789826981274</v>
      </c>
      <c r="R390" t="str">
        <f t="shared" si="33"/>
        <v>Profit</v>
      </c>
      <c r="S390" t="str">
        <f t="shared" si="34"/>
        <v>Mid (11-20%)</v>
      </c>
    </row>
    <row r="391" spans="1:19" x14ac:dyDescent="0.3">
      <c r="A391" s="3" t="s">
        <v>471</v>
      </c>
      <c r="B391" s="2">
        <v>45712</v>
      </c>
      <c r="C391" s="3" t="s">
        <v>99</v>
      </c>
      <c r="D391" s="3" t="s">
        <v>38</v>
      </c>
      <c r="E391" s="3" t="s">
        <v>39</v>
      </c>
      <c r="F391" s="3" t="s">
        <v>18</v>
      </c>
      <c r="G391" s="3" t="s">
        <v>94</v>
      </c>
      <c r="H391" s="3" t="s">
        <v>95</v>
      </c>
      <c r="I391" s="5">
        <v>869.13</v>
      </c>
      <c r="J391" s="4">
        <v>1</v>
      </c>
      <c r="K391" s="1">
        <v>3</v>
      </c>
      <c r="L391" s="4">
        <v>150.25</v>
      </c>
      <c r="M391" s="3" t="s">
        <v>51</v>
      </c>
      <c r="N391" s="3" t="s">
        <v>44</v>
      </c>
      <c r="O391" s="2" t="str">
        <f t="shared" si="30"/>
        <v>02-2025</v>
      </c>
      <c r="P391" t="str">
        <f t="shared" si="31"/>
        <v>2025</v>
      </c>
      <c r="Q391" s="6">
        <f t="shared" si="32"/>
        <v>0.17287402344873609</v>
      </c>
      <c r="R391" t="str">
        <f t="shared" si="33"/>
        <v>Profit</v>
      </c>
      <c r="S391" t="str">
        <f t="shared" si="34"/>
        <v>Low (1-10%)</v>
      </c>
    </row>
    <row r="392" spans="1:19" x14ac:dyDescent="0.3">
      <c r="A392" s="3" t="s">
        <v>472</v>
      </c>
      <c r="B392" s="2">
        <v>45762</v>
      </c>
      <c r="C392" s="3" t="s">
        <v>75</v>
      </c>
      <c r="D392" s="3" t="s">
        <v>56</v>
      </c>
      <c r="E392" s="3" t="s">
        <v>108</v>
      </c>
      <c r="F392" s="3" t="s">
        <v>18</v>
      </c>
      <c r="G392" s="3" t="s">
        <v>94</v>
      </c>
      <c r="H392" s="3" t="s">
        <v>95</v>
      </c>
      <c r="I392" s="5">
        <v>8414.4</v>
      </c>
      <c r="J392" s="4">
        <v>8</v>
      </c>
      <c r="K392" s="1">
        <v>20</v>
      </c>
      <c r="L392" s="4">
        <v>430.15</v>
      </c>
      <c r="M392" s="3" t="s">
        <v>21</v>
      </c>
      <c r="N392" s="3" t="s">
        <v>22</v>
      </c>
      <c r="O392" s="2" t="str">
        <f t="shared" si="30"/>
        <v>04-2025</v>
      </c>
      <c r="P392" t="str">
        <f t="shared" si="31"/>
        <v>2025</v>
      </c>
      <c r="Q392" s="6">
        <f t="shared" si="32"/>
        <v>5.1120697851302528E-2</v>
      </c>
      <c r="R392" t="str">
        <f t="shared" si="33"/>
        <v>Profit</v>
      </c>
      <c r="S392" t="str">
        <f t="shared" si="34"/>
        <v>Mid (11-20%)</v>
      </c>
    </row>
    <row r="393" spans="1:19" x14ac:dyDescent="0.3">
      <c r="A393" s="3" t="s">
        <v>473</v>
      </c>
      <c r="B393" s="2">
        <v>45628</v>
      </c>
      <c r="C393" s="3" t="s">
        <v>99</v>
      </c>
      <c r="D393" s="3" t="s">
        <v>16</v>
      </c>
      <c r="E393" s="3" t="s">
        <v>17</v>
      </c>
      <c r="F393" s="3" t="s">
        <v>32</v>
      </c>
      <c r="G393" s="3" t="s">
        <v>33</v>
      </c>
      <c r="H393" s="3" t="s">
        <v>34</v>
      </c>
      <c r="I393" s="5">
        <v>5007.7</v>
      </c>
      <c r="J393" s="4">
        <v>10</v>
      </c>
      <c r="K393" s="1">
        <v>25</v>
      </c>
      <c r="L393" s="4">
        <v>498</v>
      </c>
      <c r="M393" s="3" t="s">
        <v>28</v>
      </c>
      <c r="N393" s="3" t="s">
        <v>35</v>
      </c>
      <c r="O393" s="2" t="str">
        <f t="shared" si="30"/>
        <v>12-2024</v>
      </c>
      <c r="P393" t="str">
        <f t="shared" si="31"/>
        <v>2024</v>
      </c>
      <c r="Q393" s="6">
        <f t="shared" si="32"/>
        <v>9.9446851848153842E-2</v>
      </c>
      <c r="R393" t="str">
        <f t="shared" si="33"/>
        <v>Profit</v>
      </c>
      <c r="S393" t="str">
        <f t="shared" si="34"/>
        <v>High (&gt;20%)</v>
      </c>
    </row>
    <row r="394" spans="1:19" x14ac:dyDescent="0.3">
      <c r="A394" s="3" t="s">
        <v>474</v>
      </c>
      <c r="B394" s="2">
        <v>45613</v>
      </c>
      <c r="C394" s="3" t="s">
        <v>73</v>
      </c>
      <c r="D394" s="3" t="s">
        <v>38</v>
      </c>
      <c r="E394" s="3" t="s">
        <v>43</v>
      </c>
      <c r="F394" s="3" t="s">
        <v>62</v>
      </c>
      <c r="G394" s="3" t="s">
        <v>80</v>
      </c>
      <c r="H394" s="3" t="s">
        <v>81</v>
      </c>
      <c r="I394" s="5">
        <v>3023.52</v>
      </c>
      <c r="J394" s="4">
        <v>3</v>
      </c>
      <c r="K394" s="1">
        <v>21</v>
      </c>
      <c r="L394" s="4">
        <v>140.82</v>
      </c>
      <c r="M394" s="3" t="s">
        <v>28</v>
      </c>
      <c r="N394" s="3" t="s">
        <v>35</v>
      </c>
      <c r="O394" s="2" t="str">
        <f t="shared" si="30"/>
        <v>11-2024</v>
      </c>
      <c r="P394" t="str">
        <f t="shared" si="31"/>
        <v>2024</v>
      </c>
      <c r="Q394" s="6">
        <f t="shared" si="32"/>
        <v>4.6574853151293852E-2</v>
      </c>
      <c r="R394" t="str">
        <f t="shared" si="33"/>
        <v>Profit</v>
      </c>
      <c r="S394" t="str">
        <f t="shared" si="34"/>
        <v>High (&gt;20%)</v>
      </c>
    </row>
    <row r="395" spans="1:19" x14ac:dyDescent="0.3">
      <c r="A395" s="3" t="s">
        <v>475</v>
      </c>
      <c r="B395" s="2">
        <v>45642</v>
      </c>
      <c r="C395" s="3" t="s">
        <v>75</v>
      </c>
      <c r="D395" s="3" t="s">
        <v>56</v>
      </c>
      <c r="E395" s="3" t="s">
        <v>61</v>
      </c>
      <c r="F395" s="3" t="s">
        <v>32</v>
      </c>
      <c r="G395" s="3" t="s">
        <v>33</v>
      </c>
      <c r="H395" s="3" t="s">
        <v>34</v>
      </c>
      <c r="I395" s="5">
        <v>1089.1199999999999</v>
      </c>
      <c r="J395" s="4">
        <v>6</v>
      </c>
      <c r="K395" s="1">
        <v>1</v>
      </c>
      <c r="L395" s="4">
        <v>260.64999999999998</v>
      </c>
      <c r="M395" s="3" t="s">
        <v>51</v>
      </c>
      <c r="N395" s="3" t="s">
        <v>35</v>
      </c>
      <c r="O395" s="2" t="str">
        <f t="shared" si="30"/>
        <v>12-2024</v>
      </c>
      <c r="P395" t="str">
        <f t="shared" si="31"/>
        <v>2024</v>
      </c>
      <c r="Q395" s="6">
        <f t="shared" si="32"/>
        <v>0.23932165417952109</v>
      </c>
      <c r="R395" t="str">
        <f t="shared" si="33"/>
        <v>Profit</v>
      </c>
      <c r="S395" t="str">
        <f t="shared" si="34"/>
        <v>Low (1-10%)</v>
      </c>
    </row>
    <row r="396" spans="1:19" x14ac:dyDescent="0.3">
      <c r="A396" s="3" t="s">
        <v>476</v>
      </c>
      <c r="B396" s="2">
        <v>45758</v>
      </c>
      <c r="C396" s="3" t="s">
        <v>66</v>
      </c>
      <c r="D396" s="3" t="s">
        <v>16</v>
      </c>
      <c r="E396" s="3" t="s">
        <v>25</v>
      </c>
      <c r="F396" s="3" t="s">
        <v>32</v>
      </c>
      <c r="G396" s="3" t="s">
        <v>58</v>
      </c>
      <c r="H396" s="3" t="s">
        <v>59</v>
      </c>
      <c r="I396" s="5">
        <v>5421.92</v>
      </c>
      <c r="J396" s="4">
        <v>7</v>
      </c>
      <c r="K396" s="1">
        <v>16</v>
      </c>
      <c r="L396" s="4">
        <v>895.38</v>
      </c>
      <c r="M396" s="3" t="s">
        <v>51</v>
      </c>
      <c r="N396" s="3" t="s">
        <v>40</v>
      </c>
      <c r="O396" s="2" t="str">
        <f t="shared" si="30"/>
        <v>04-2025</v>
      </c>
      <c r="P396" t="str">
        <f t="shared" si="31"/>
        <v>2025</v>
      </c>
      <c r="Q396" s="6">
        <f t="shared" si="32"/>
        <v>0.16514076194410834</v>
      </c>
      <c r="R396" t="str">
        <f t="shared" si="33"/>
        <v>Profit</v>
      </c>
      <c r="S396" t="str">
        <f t="shared" si="34"/>
        <v>Mid (11-20%)</v>
      </c>
    </row>
    <row r="397" spans="1:19" x14ac:dyDescent="0.3">
      <c r="A397" s="3" t="s">
        <v>477</v>
      </c>
      <c r="B397" s="2">
        <v>45667</v>
      </c>
      <c r="C397" s="3" t="s">
        <v>37</v>
      </c>
      <c r="D397" s="3" t="s">
        <v>89</v>
      </c>
      <c r="E397" s="3" t="s">
        <v>140</v>
      </c>
      <c r="F397" s="3" t="s">
        <v>32</v>
      </c>
      <c r="G397" s="3" t="s">
        <v>112</v>
      </c>
      <c r="H397" s="3" t="s">
        <v>113</v>
      </c>
      <c r="I397" s="5">
        <v>19339.5</v>
      </c>
      <c r="J397" s="4">
        <v>10</v>
      </c>
      <c r="K397" s="1">
        <v>6</v>
      </c>
      <c r="L397" s="4">
        <v>4044.33</v>
      </c>
      <c r="M397" s="3" t="s">
        <v>21</v>
      </c>
      <c r="N397" s="3" t="s">
        <v>22</v>
      </c>
      <c r="O397" s="2" t="str">
        <f t="shared" si="30"/>
        <v>01-2025</v>
      </c>
      <c r="P397" t="str">
        <f t="shared" si="31"/>
        <v>2025</v>
      </c>
      <c r="Q397" s="6">
        <f t="shared" si="32"/>
        <v>0.20912277980299387</v>
      </c>
      <c r="R397" t="str">
        <f t="shared" si="33"/>
        <v>Profit</v>
      </c>
      <c r="S397" t="str">
        <f t="shared" si="34"/>
        <v>Low (1-10%)</v>
      </c>
    </row>
    <row r="398" spans="1:19" x14ac:dyDescent="0.3">
      <c r="A398" s="3" t="s">
        <v>478</v>
      </c>
      <c r="B398" s="2">
        <v>45532</v>
      </c>
      <c r="C398" s="3" t="s">
        <v>42</v>
      </c>
      <c r="D398" s="3" t="s">
        <v>16</v>
      </c>
      <c r="E398" s="3" t="s">
        <v>31</v>
      </c>
      <c r="F398" s="3" t="s">
        <v>32</v>
      </c>
      <c r="G398" s="3" t="s">
        <v>112</v>
      </c>
      <c r="H398" s="3" t="s">
        <v>113</v>
      </c>
      <c r="I398" s="5">
        <v>2727.08</v>
      </c>
      <c r="J398" s="4">
        <v>4</v>
      </c>
      <c r="K398" s="1">
        <v>29</v>
      </c>
      <c r="L398" s="4">
        <v>337.83</v>
      </c>
      <c r="M398" s="3" t="s">
        <v>21</v>
      </c>
      <c r="N398" s="3" t="s">
        <v>35</v>
      </c>
      <c r="O398" s="2" t="str">
        <f t="shared" si="30"/>
        <v>08-2024</v>
      </c>
      <c r="P398" t="str">
        <f t="shared" si="31"/>
        <v>2024</v>
      </c>
      <c r="Q398" s="6">
        <f t="shared" si="32"/>
        <v>0.12387975416929463</v>
      </c>
      <c r="R398" t="str">
        <f t="shared" si="33"/>
        <v>Profit</v>
      </c>
      <c r="S398" t="str">
        <f t="shared" si="34"/>
        <v>High (&gt;20%)</v>
      </c>
    </row>
    <row r="399" spans="1:19" x14ac:dyDescent="0.3">
      <c r="A399" s="3" t="s">
        <v>479</v>
      </c>
      <c r="B399" s="2">
        <v>45743</v>
      </c>
      <c r="C399" s="3" t="s">
        <v>73</v>
      </c>
      <c r="D399" s="3" t="s">
        <v>56</v>
      </c>
      <c r="E399" s="3" t="s">
        <v>57</v>
      </c>
      <c r="F399" s="3" t="s">
        <v>62</v>
      </c>
      <c r="G399" s="3" t="s">
        <v>80</v>
      </c>
      <c r="H399" s="3" t="s">
        <v>81</v>
      </c>
      <c r="I399" s="5">
        <v>2193.7600000000002</v>
      </c>
      <c r="J399" s="4">
        <v>2</v>
      </c>
      <c r="K399" s="1">
        <v>9</v>
      </c>
      <c r="L399" s="4">
        <v>142.44999999999999</v>
      </c>
      <c r="M399" s="3" t="s">
        <v>51</v>
      </c>
      <c r="N399" s="3" t="s">
        <v>44</v>
      </c>
      <c r="O399" s="2" t="str">
        <f t="shared" si="30"/>
        <v>03-2025</v>
      </c>
      <c r="P399" t="str">
        <f t="shared" si="31"/>
        <v>2025</v>
      </c>
      <c r="Q399" s="6">
        <f t="shared" si="32"/>
        <v>6.4934176938224772E-2</v>
      </c>
      <c r="R399" t="str">
        <f t="shared" si="33"/>
        <v>Profit</v>
      </c>
      <c r="S399" t="str">
        <f t="shared" si="34"/>
        <v>Low (1-10%)</v>
      </c>
    </row>
    <row r="400" spans="1:19" x14ac:dyDescent="0.3">
      <c r="A400" s="3" t="s">
        <v>480</v>
      </c>
      <c r="B400" s="2">
        <v>45530</v>
      </c>
      <c r="C400" s="3" t="s">
        <v>133</v>
      </c>
      <c r="D400" s="3" t="s">
        <v>38</v>
      </c>
      <c r="E400" s="3" t="s">
        <v>39</v>
      </c>
      <c r="F400" s="3" t="s">
        <v>32</v>
      </c>
      <c r="G400" s="3" t="s">
        <v>58</v>
      </c>
      <c r="H400" s="3" t="s">
        <v>59</v>
      </c>
      <c r="I400" s="5">
        <v>5009.6000000000004</v>
      </c>
      <c r="J400" s="4">
        <v>8</v>
      </c>
      <c r="K400" s="1">
        <v>29</v>
      </c>
      <c r="L400" s="4">
        <v>515.53</v>
      </c>
      <c r="M400" s="3" t="s">
        <v>51</v>
      </c>
      <c r="N400" s="3" t="s">
        <v>35</v>
      </c>
      <c r="O400" s="2" t="str">
        <f t="shared" si="30"/>
        <v>08-2024</v>
      </c>
      <c r="P400" t="str">
        <f t="shared" si="31"/>
        <v>2024</v>
      </c>
      <c r="Q400" s="6">
        <f t="shared" si="32"/>
        <v>0.10290841584158414</v>
      </c>
      <c r="R400" t="str">
        <f t="shared" si="33"/>
        <v>Profit</v>
      </c>
      <c r="S400" t="str">
        <f t="shared" si="34"/>
        <v>High (&gt;20%)</v>
      </c>
    </row>
    <row r="401" spans="1:19" x14ac:dyDescent="0.3">
      <c r="A401" s="3" t="s">
        <v>481</v>
      </c>
      <c r="B401" s="2">
        <v>45726</v>
      </c>
      <c r="C401" s="3" t="s">
        <v>30</v>
      </c>
      <c r="D401" s="3" t="s">
        <v>38</v>
      </c>
      <c r="E401" s="3" t="s">
        <v>71</v>
      </c>
      <c r="F401" s="3" t="s">
        <v>18</v>
      </c>
      <c r="G401" s="3" t="s">
        <v>26</v>
      </c>
      <c r="H401" s="3" t="s">
        <v>27</v>
      </c>
      <c r="I401" s="5">
        <v>658.31</v>
      </c>
      <c r="J401" s="4">
        <v>1</v>
      </c>
      <c r="K401" s="1">
        <v>1</v>
      </c>
      <c r="L401" s="4">
        <v>99.43</v>
      </c>
      <c r="M401" s="3" t="s">
        <v>28</v>
      </c>
      <c r="N401" s="3" t="s">
        <v>22</v>
      </c>
      <c r="O401" s="2" t="str">
        <f t="shared" si="30"/>
        <v>03-2025</v>
      </c>
      <c r="P401" t="str">
        <f t="shared" si="31"/>
        <v>2025</v>
      </c>
      <c r="Q401" s="6">
        <f t="shared" si="32"/>
        <v>0.15103826464735462</v>
      </c>
      <c r="R401" t="str">
        <f t="shared" si="33"/>
        <v>Profit</v>
      </c>
      <c r="S401" t="str">
        <f t="shared" si="34"/>
        <v>Low (1-10%)</v>
      </c>
    </row>
    <row r="402" spans="1:19" x14ac:dyDescent="0.3">
      <c r="A402" s="3" t="s">
        <v>482</v>
      </c>
      <c r="B402" s="2">
        <v>45749</v>
      </c>
      <c r="C402" s="3" t="s">
        <v>70</v>
      </c>
      <c r="D402" s="3" t="s">
        <v>89</v>
      </c>
      <c r="E402" s="3" t="s">
        <v>102</v>
      </c>
      <c r="F402" s="3" t="s">
        <v>62</v>
      </c>
      <c r="G402" s="3" t="s">
        <v>63</v>
      </c>
      <c r="H402" s="3" t="s">
        <v>64</v>
      </c>
      <c r="I402" s="5">
        <v>659.76</v>
      </c>
      <c r="J402" s="4">
        <v>2</v>
      </c>
      <c r="K402" s="1">
        <v>8</v>
      </c>
      <c r="L402" s="4">
        <v>85.88</v>
      </c>
      <c r="M402" s="3" t="s">
        <v>51</v>
      </c>
      <c r="N402" s="3" t="s">
        <v>40</v>
      </c>
      <c r="O402" s="2" t="str">
        <f t="shared" si="30"/>
        <v>04-2025</v>
      </c>
      <c r="P402" t="str">
        <f t="shared" si="31"/>
        <v>2025</v>
      </c>
      <c r="Q402" s="6">
        <f t="shared" si="32"/>
        <v>0.13016854613798956</v>
      </c>
      <c r="R402" t="str">
        <f t="shared" si="33"/>
        <v>Profit</v>
      </c>
      <c r="S402" t="str">
        <f t="shared" si="34"/>
        <v>Low (1-10%)</v>
      </c>
    </row>
    <row r="403" spans="1:19" x14ac:dyDescent="0.3">
      <c r="A403" s="3" t="s">
        <v>483</v>
      </c>
      <c r="B403" s="2">
        <v>45483</v>
      </c>
      <c r="C403" s="3" t="s">
        <v>37</v>
      </c>
      <c r="D403" s="3" t="s">
        <v>89</v>
      </c>
      <c r="E403" s="3" t="s">
        <v>90</v>
      </c>
      <c r="F403" s="3" t="s">
        <v>32</v>
      </c>
      <c r="G403" s="3" t="s">
        <v>112</v>
      </c>
      <c r="H403" s="3" t="s">
        <v>113</v>
      </c>
      <c r="I403" s="5">
        <v>2151.0300000000002</v>
      </c>
      <c r="J403" s="4">
        <v>7</v>
      </c>
      <c r="K403" s="1">
        <v>27</v>
      </c>
      <c r="L403" s="4">
        <v>378.63</v>
      </c>
      <c r="M403" s="3" t="s">
        <v>28</v>
      </c>
      <c r="N403" s="3" t="s">
        <v>35</v>
      </c>
      <c r="O403" s="2" t="str">
        <f t="shared" si="30"/>
        <v>07-2024</v>
      </c>
      <c r="P403" t="str">
        <f t="shared" si="31"/>
        <v>2024</v>
      </c>
      <c r="Q403" s="6">
        <f t="shared" si="32"/>
        <v>0.17602264961437078</v>
      </c>
      <c r="R403" t="str">
        <f t="shared" si="33"/>
        <v>Profit</v>
      </c>
      <c r="S403" t="str">
        <f t="shared" si="34"/>
        <v>High (&gt;20%)</v>
      </c>
    </row>
    <row r="404" spans="1:19" x14ac:dyDescent="0.3">
      <c r="A404" s="3" t="s">
        <v>484</v>
      </c>
      <c r="B404" s="2">
        <v>45542</v>
      </c>
      <c r="C404" s="3" t="s">
        <v>66</v>
      </c>
      <c r="D404" s="3" t="s">
        <v>16</v>
      </c>
      <c r="E404" s="3" t="s">
        <v>31</v>
      </c>
      <c r="F404" s="3" t="s">
        <v>32</v>
      </c>
      <c r="G404" s="3" t="s">
        <v>112</v>
      </c>
      <c r="H404" s="3" t="s">
        <v>113</v>
      </c>
      <c r="I404" s="5">
        <v>809.87</v>
      </c>
      <c r="J404" s="4">
        <v>1</v>
      </c>
      <c r="K404" s="1">
        <v>30</v>
      </c>
      <c r="L404" s="4">
        <v>70.05</v>
      </c>
      <c r="M404" s="3" t="s">
        <v>28</v>
      </c>
      <c r="N404" s="3" t="s">
        <v>35</v>
      </c>
      <c r="O404" s="2" t="str">
        <f t="shared" si="30"/>
        <v>09-2024</v>
      </c>
      <c r="P404" t="str">
        <f t="shared" si="31"/>
        <v>2024</v>
      </c>
      <c r="Q404" s="6">
        <f t="shared" si="32"/>
        <v>8.6495363453393745E-2</v>
      </c>
      <c r="R404" t="str">
        <f t="shared" si="33"/>
        <v>Profit</v>
      </c>
      <c r="S404" t="str">
        <f t="shared" si="34"/>
        <v>High (&gt;20%)</v>
      </c>
    </row>
    <row r="405" spans="1:19" x14ac:dyDescent="0.3">
      <c r="A405" s="3" t="s">
        <v>485</v>
      </c>
      <c r="B405" s="2">
        <v>45584</v>
      </c>
      <c r="C405" s="3" t="s">
        <v>101</v>
      </c>
      <c r="D405" s="3" t="s">
        <v>89</v>
      </c>
      <c r="E405" s="3" t="s">
        <v>116</v>
      </c>
      <c r="F405" s="3" t="s">
        <v>62</v>
      </c>
      <c r="G405" s="3" t="s">
        <v>63</v>
      </c>
      <c r="H405" s="3" t="s">
        <v>64</v>
      </c>
      <c r="I405" s="5">
        <v>1478.61</v>
      </c>
      <c r="J405" s="4">
        <v>3</v>
      </c>
      <c r="K405" s="1">
        <v>27</v>
      </c>
      <c r="L405" s="4">
        <v>178.68</v>
      </c>
      <c r="M405" s="3" t="s">
        <v>28</v>
      </c>
      <c r="N405" s="3" t="s">
        <v>44</v>
      </c>
      <c r="O405" s="2" t="str">
        <f t="shared" si="30"/>
        <v>10-2024</v>
      </c>
      <c r="P405" t="str">
        <f t="shared" si="31"/>
        <v>2024</v>
      </c>
      <c r="Q405" s="6">
        <f t="shared" si="32"/>
        <v>0.12084322437965388</v>
      </c>
      <c r="R405" t="str">
        <f t="shared" si="33"/>
        <v>Profit</v>
      </c>
      <c r="S405" t="str">
        <f t="shared" si="34"/>
        <v>High (&gt;20%)</v>
      </c>
    </row>
    <row r="406" spans="1:19" x14ac:dyDescent="0.3">
      <c r="A406" s="3" t="s">
        <v>486</v>
      </c>
      <c r="B406" s="2">
        <v>45623</v>
      </c>
      <c r="C406" s="3" t="s">
        <v>99</v>
      </c>
      <c r="D406" s="3" t="s">
        <v>56</v>
      </c>
      <c r="E406" s="3" t="s">
        <v>61</v>
      </c>
      <c r="F406" s="3" t="s">
        <v>62</v>
      </c>
      <c r="G406" s="3" t="s">
        <v>67</v>
      </c>
      <c r="H406" s="3" t="s">
        <v>68</v>
      </c>
      <c r="I406" s="5">
        <v>1823.5</v>
      </c>
      <c r="J406" s="4">
        <v>5</v>
      </c>
      <c r="K406" s="1">
        <v>16</v>
      </c>
      <c r="L406" s="4">
        <v>347.94</v>
      </c>
      <c r="M406" s="3" t="s">
        <v>28</v>
      </c>
      <c r="N406" s="3" t="s">
        <v>35</v>
      </c>
      <c r="O406" s="2" t="str">
        <f t="shared" si="30"/>
        <v>11-2024</v>
      </c>
      <c r="P406" t="str">
        <f t="shared" si="31"/>
        <v>2024</v>
      </c>
      <c r="Q406" s="6">
        <f t="shared" si="32"/>
        <v>0.1908088840142583</v>
      </c>
      <c r="R406" t="str">
        <f t="shared" si="33"/>
        <v>Profit</v>
      </c>
      <c r="S406" t="str">
        <f t="shared" si="34"/>
        <v>Mid (11-20%)</v>
      </c>
    </row>
    <row r="407" spans="1:19" x14ac:dyDescent="0.3">
      <c r="A407" s="3" t="s">
        <v>487</v>
      </c>
      <c r="B407" s="2">
        <v>45714</v>
      </c>
      <c r="C407" s="3" t="s">
        <v>86</v>
      </c>
      <c r="D407" s="3" t="s">
        <v>38</v>
      </c>
      <c r="E407" s="3" t="s">
        <v>53</v>
      </c>
      <c r="F407" s="3" t="s">
        <v>18</v>
      </c>
      <c r="G407" s="3" t="s">
        <v>94</v>
      </c>
      <c r="H407" s="3" t="s">
        <v>95</v>
      </c>
      <c r="I407" s="5">
        <v>15487.1</v>
      </c>
      <c r="J407" s="4">
        <v>10</v>
      </c>
      <c r="K407" s="1">
        <v>5</v>
      </c>
      <c r="L407" s="4">
        <v>3530.67</v>
      </c>
      <c r="M407" s="3" t="s">
        <v>51</v>
      </c>
      <c r="N407" s="3" t="s">
        <v>22</v>
      </c>
      <c r="O407" s="2" t="str">
        <f t="shared" si="30"/>
        <v>02-2025</v>
      </c>
      <c r="P407" t="str">
        <f t="shared" si="31"/>
        <v>2025</v>
      </c>
      <c r="Q407" s="6">
        <f t="shared" si="32"/>
        <v>0.22797489523538944</v>
      </c>
      <c r="R407" t="str">
        <f t="shared" si="33"/>
        <v>Profit</v>
      </c>
      <c r="S407" t="str">
        <f t="shared" si="34"/>
        <v>Low (1-10%)</v>
      </c>
    </row>
    <row r="408" spans="1:19" x14ac:dyDescent="0.3">
      <c r="A408" s="3" t="s">
        <v>488</v>
      </c>
      <c r="B408" s="2">
        <v>45563</v>
      </c>
      <c r="C408" s="3" t="s">
        <v>24</v>
      </c>
      <c r="D408" s="3" t="s">
        <v>16</v>
      </c>
      <c r="E408" s="3" t="s">
        <v>17</v>
      </c>
      <c r="F408" s="3" t="s">
        <v>18</v>
      </c>
      <c r="G408" s="3" t="s">
        <v>26</v>
      </c>
      <c r="H408" s="3" t="s">
        <v>27</v>
      </c>
      <c r="I408" s="5">
        <v>2943.81</v>
      </c>
      <c r="J408" s="4">
        <v>3</v>
      </c>
      <c r="K408" s="1">
        <v>19</v>
      </c>
      <c r="L408" s="4">
        <v>291.51</v>
      </c>
      <c r="M408" s="3" t="s">
        <v>51</v>
      </c>
      <c r="N408" s="3" t="s">
        <v>35</v>
      </c>
      <c r="O408" s="2" t="str">
        <f t="shared" si="30"/>
        <v>09-2024</v>
      </c>
      <c r="P408" t="str">
        <f t="shared" si="31"/>
        <v>2024</v>
      </c>
      <c r="Q408" s="6">
        <f t="shared" si="32"/>
        <v>9.9024733253844505E-2</v>
      </c>
      <c r="R408" t="str">
        <f t="shared" si="33"/>
        <v>Profit</v>
      </c>
      <c r="S408" t="str">
        <f t="shared" si="34"/>
        <v>Mid (11-20%)</v>
      </c>
    </row>
    <row r="409" spans="1:19" x14ac:dyDescent="0.3">
      <c r="A409" s="3" t="s">
        <v>489</v>
      </c>
      <c r="B409" s="2">
        <v>45608</v>
      </c>
      <c r="C409" s="3" t="s">
        <v>133</v>
      </c>
      <c r="D409" s="3" t="s">
        <v>56</v>
      </c>
      <c r="E409" s="3" t="s">
        <v>61</v>
      </c>
      <c r="F409" s="3" t="s">
        <v>32</v>
      </c>
      <c r="G409" s="3" t="s">
        <v>112</v>
      </c>
      <c r="H409" s="3" t="s">
        <v>113</v>
      </c>
      <c r="I409" s="5">
        <v>884.9</v>
      </c>
      <c r="J409" s="4">
        <v>2</v>
      </c>
      <c r="K409" s="1">
        <v>21</v>
      </c>
      <c r="L409" s="4">
        <v>128.82</v>
      </c>
      <c r="M409" s="3" t="s">
        <v>28</v>
      </c>
      <c r="N409" s="3" t="s">
        <v>44</v>
      </c>
      <c r="O409" s="2" t="str">
        <f t="shared" si="30"/>
        <v>11-2024</v>
      </c>
      <c r="P409" t="str">
        <f t="shared" si="31"/>
        <v>2024</v>
      </c>
      <c r="Q409" s="6">
        <f t="shared" si="32"/>
        <v>0.14557577127359023</v>
      </c>
      <c r="R409" t="str">
        <f t="shared" si="33"/>
        <v>Profit</v>
      </c>
      <c r="S409" t="str">
        <f t="shared" si="34"/>
        <v>High (&gt;20%)</v>
      </c>
    </row>
    <row r="410" spans="1:19" x14ac:dyDescent="0.3">
      <c r="A410" s="3" t="s">
        <v>490</v>
      </c>
      <c r="B410" s="2">
        <v>45671</v>
      </c>
      <c r="C410" s="3" t="s">
        <v>66</v>
      </c>
      <c r="D410" s="3" t="s">
        <v>38</v>
      </c>
      <c r="E410" s="3" t="s">
        <v>43</v>
      </c>
      <c r="F410" s="3" t="s">
        <v>62</v>
      </c>
      <c r="G410" s="3" t="s">
        <v>67</v>
      </c>
      <c r="H410" s="3" t="s">
        <v>68</v>
      </c>
      <c r="I410" s="5">
        <v>6923.2</v>
      </c>
      <c r="J410" s="4">
        <v>8</v>
      </c>
      <c r="K410" s="1">
        <v>2</v>
      </c>
      <c r="L410" s="4">
        <v>624.34</v>
      </c>
      <c r="M410" s="3" t="s">
        <v>21</v>
      </c>
      <c r="N410" s="3" t="s">
        <v>44</v>
      </c>
      <c r="O410" s="2" t="str">
        <f t="shared" si="30"/>
        <v>01-2025</v>
      </c>
      <c r="P410" t="str">
        <f t="shared" si="31"/>
        <v>2025</v>
      </c>
      <c r="Q410" s="6">
        <f t="shared" si="32"/>
        <v>9.0180841229489259E-2</v>
      </c>
      <c r="R410" t="str">
        <f t="shared" si="33"/>
        <v>Profit</v>
      </c>
      <c r="S410" t="str">
        <f t="shared" si="34"/>
        <v>Low (1-10%)</v>
      </c>
    </row>
    <row r="411" spans="1:19" x14ac:dyDescent="0.3">
      <c r="A411" s="3" t="s">
        <v>491</v>
      </c>
      <c r="B411" s="2">
        <v>45636</v>
      </c>
      <c r="C411" s="3" t="s">
        <v>50</v>
      </c>
      <c r="D411" s="3" t="s">
        <v>89</v>
      </c>
      <c r="E411" s="3" t="s">
        <v>116</v>
      </c>
      <c r="F411" s="3" t="s">
        <v>18</v>
      </c>
      <c r="G411" s="3" t="s">
        <v>19</v>
      </c>
      <c r="H411" s="3" t="s">
        <v>20</v>
      </c>
      <c r="I411" s="5">
        <v>10001.82</v>
      </c>
      <c r="J411" s="4">
        <v>6</v>
      </c>
      <c r="K411" s="1">
        <v>25</v>
      </c>
      <c r="L411" s="4">
        <v>1262.75</v>
      </c>
      <c r="M411" s="3" t="s">
        <v>51</v>
      </c>
      <c r="N411" s="3" t="s">
        <v>40</v>
      </c>
      <c r="O411" s="2" t="str">
        <f t="shared" si="30"/>
        <v>12-2024</v>
      </c>
      <c r="P411" t="str">
        <f t="shared" si="31"/>
        <v>2024</v>
      </c>
      <c r="Q411" s="6">
        <f t="shared" si="32"/>
        <v>0.12625202213197198</v>
      </c>
      <c r="R411" t="str">
        <f t="shared" si="33"/>
        <v>Profit</v>
      </c>
      <c r="S411" t="str">
        <f t="shared" si="34"/>
        <v>High (&gt;20%)</v>
      </c>
    </row>
    <row r="412" spans="1:19" x14ac:dyDescent="0.3">
      <c r="A412" s="3" t="s">
        <v>492</v>
      </c>
      <c r="B412" s="2">
        <v>45527</v>
      </c>
      <c r="C412" s="3" t="s">
        <v>66</v>
      </c>
      <c r="D412" s="3" t="s">
        <v>89</v>
      </c>
      <c r="E412" s="3" t="s">
        <v>140</v>
      </c>
      <c r="F412" s="3" t="s">
        <v>18</v>
      </c>
      <c r="G412" s="3" t="s">
        <v>76</v>
      </c>
      <c r="H412" s="3" t="s">
        <v>77</v>
      </c>
      <c r="I412" s="5">
        <v>10358.549999999999</v>
      </c>
      <c r="J412" s="4">
        <v>9</v>
      </c>
      <c r="K412" s="1">
        <v>5</v>
      </c>
      <c r="L412" s="4">
        <v>1155.9000000000001</v>
      </c>
      <c r="M412" s="3" t="s">
        <v>21</v>
      </c>
      <c r="N412" s="3" t="s">
        <v>35</v>
      </c>
      <c r="O412" s="2" t="str">
        <f t="shared" si="30"/>
        <v>08-2024</v>
      </c>
      <c r="P412" t="str">
        <f t="shared" si="31"/>
        <v>2024</v>
      </c>
      <c r="Q412" s="6">
        <f t="shared" si="32"/>
        <v>0.11158897722171542</v>
      </c>
      <c r="R412" t="str">
        <f t="shared" si="33"/>
        <v>Profit</v>
      </c>
      <c r="S412" t="str">
        <f t="shared" si="34"/>
        <v>Low (1-10%)</v>
      </c>
    </row>
    <row r="413" spans="1:19" x14ac:dyDescent="0.3">
      <c r="A413" s="3" t="s">
        <v>493</v>
      </c>
      <c r="B413" s="2">
        <v>45580</v>
      </c>
      <c r="C413" s="3" t="s">
        <v>24</v>
      </c>
      <c r="D413" s="3" t="s">
        <v>56</v>
      </c>
      <c r="E413" s="3" t="s">
        <v>57</v>
      </c>
      <c r="F413" s="3" t="s">
        <v>18</v>
      </c>
      <c r="G413" s="3" t="s">
        <v>94</v>
      </c>
      <c r="H413" s="3" t="s">
        <v>95</v>
      </c>
      <c r="I413" s="5">
        <v>7133.31</v>
      </c>
      <c r="J413" s="4">
        <v>9</v>
      </c>
      <c r="K413" s="1">
        <v>5</v>
      </c>
      <c r="L413" s="4">
        <v>461.08</v>
      </c>
      <c r="M413" s="3" t="s">
        <v>51</v>
      </c>
      <c r="N413" s="3" t="s">
        <v>35</v>
      </c>
      <c r="O413" s="2" t="str">
        <f t="shared" si="30"/>
        <v>10-2024</v>
      </c>
      <c r="P413" t="str">
        <f t="shared" si="31"/>
        <v>2024</v>
      </c>
      <c r="Q413" s="6">
        <f t="shared" si="32"/>
        <v>6.4637594608954324E-2</v>
      </c>
      <c r="R413" t="str">
        <f t="shared" si="33"/>
        <v>Profit</v>
      </c>
      <c r="S413" t="str">
        <f t="shared" si="34"/>
        <v>Low (1-10%)</v>
      </c>
    </row>
    <row r="414" spans="1:19" x14ac:dyDescent="0.3">
      <c r="A414" s="3" t="s">
        <v>494</v>
      </c>
      <c r="B414" s="2">
        <v>45554</v>
      </c>
      <c r="C414" s="3" t="s">
        <v>50</v>
      </c>
      <c r="D414" s="3" t="s">
        <v>38</v>
      </c>
      <c r="E414" s="3" t="s">
        <v>43</v>
      </c>
      <c r="F414" s="3" t="s">
        <v>18</v>
      </c>
      <c r="G414" s="3" t="s">
        <v>94</v>
      </c>
      <c r="H414" s="3" t="s">
        <v>95</v>
      </c>
      <c r="I414" s="5">
        <v>402.28</v>
      </c>
      <c r="J414" s="4">
        <v>1</v>
      </c>
      <c r="K414" s="1">
        <v>21</v>
      </c>
      <c r="L414" s="4">
        <v>78.58</v>
      </c>
      <c r="M414" s="3" t="s">
        <v>51</v>
      </c>
      <c r="N414" s="3" t="s">
        <v>35</v>
      </c>
      <c r="O414" s="2" t="str">
        <f t="shared" si="30"/>
        <v>09-2024</v>
      </c>
      <c r="P414" t="str">
        <f t="shared" si="31"/>
        <v>2024</v>
      </c>
      <c r="Q414" s="6">
        <f t="shared" si="32"/>
        <v>0.19533658148553248</v>
      </c>
      <c r="R414" t="str">
        <f t="shared" si="33"/>
        <v>Profit</v>
      </c>
      <c r="S414" t="str">
        <f t="shared" si="34"/>
        <v>High (&gt;20%)</v>
      </c>
    </row>
    <row r="415" spans="1:19" x14ac:dyDescent="0.3">
      <c r="A415" s="3" t="s">
        <v>495</v>
      </c>
      <c r="B415" s="2">
        <v>45755</v>
      </c>
      <c r="C415" s="3" t="s">
        <v>99</v>
      </c>
      <c r="D415" s="3" t="s">
        <v>38</v>
      </c>
      <c r="E415" s="3" t="s">
        <v>39</v>
      </c>
      <c r="F415" s="3" t="s">
        <v>32</v>
      </c>
      <c r="G415" s="3" t="s">
        <v>47</v>
      </c>
      <c r="H415" s="3" t="s">
        <v>48</v>
      </c>
      <c r="I415" s="5">
        <v>6086.15</v>
      </c>
      <c r="J415" s="4">
        <v>7</v>
      </c>
      <c r="K415" s="1">
        <v>6</v>
      </c>
      <c r="L415" s="4">
        <v>411.71</v>
      </c>
      <c r="M415" s="3" t="s">
        <v>28</v>
      </c>
      <c r="N415" s="3" t="s">
        <v>22</v>
      </c>
      <c r="O415" s="2" t="str">
        <f t="shared" si="30"/>
        <v>04-2025</v>
      </c>
      <c r="P415" t="str">
        <f t="shared" si="31"/>
        <v>2025</v>
      </c>
      <c r="Q415" s="6">
        <f t="shared" si="32"/>
        <v>6.7647034660663963E-2</v>
      </c>
      <c r="R415" t="str">
        <f t="shared" si="33"/>
        <v>Profit</v>
      </c>
      <c r="S415" t="str">
        <f t="shared" si="34"/>
        <v>Low (1-10%)</v>
      </c>
    </row>
    <row r="416" spans="1:19" x14ac:dyDescent="0.3">
      <c r="A416" s="3" t="s">
        <v>496</v>
      </c>
      <c r="B416" s="2">
        <v>45777</v>
      </c>
      <c r="C416" s="3" t="s">
        <v>99</v>
      </c>
      <c r="D416" s="3" t="s">
        <v>89</v>
      </c>
      <c r="E416" s="3" t="s">
        <v>97</v>
      </c>
      <c r="F416" s="3" t="s">
        <v>62</v>
      </c>
      <c r="G416" s="3" t="s">
        <v>80</v>
      </c>
      <c r="H416" s="3" t="s">
        <v>81</v>
      </c>
      <c r="I416" s="5">
        <v>4336.4399999999996</v>
      </c>
      <c r="J416" s="4">
        <v>4</v>
      </c>
      <c r="K416" s="1">
        <v>2</v>
      </c>
      <c r="L416" s="4">
        <v>393.77</v>
      </c>
      <c r="M416" s="3" t="s">
        <v>28</v>
      </c>
      <c r="N416" s="3" t="s">
        <v>35</v>
      </c>
      <c r="O416" s="2" t="str">
        <f t="shared" si="30"/>
        <v>04-2025</v>
      </c>
      <c r="P416" t="str">
        <f t="shared" si="31"/>
        <v>2025</v>
      </c>
      <c r="Q416" s="6">
        <f t="shared" si="32"/>
        <v>9.0804899871784236E-2</v>
      </c>
      <c r="R416" t="str">
        <f t="shared" si="33"/>
        <v>Profit</v>
      </c>
      <c r="S416" t="str">
        <f t="shared" si="34"/>
        <v>Low (1-10%)</v>
      </c>
    </row>
    <row r="417" spans="1:19" x14ac:dyDescent="0.3">
      <c r="A417" s="3" t="s">
        <v>497</v>
      </c>
      <c r="B417" s="2">
        <v>45570</v>
      </c>
      <c r="C417" s="3" t="s">
        <v>84</v>
      </c>
      <c r="D417" s="3" t="s">
        <v>16</v>
      </c>
      <c r="E417" s="3" t="s">
        <v>31</v>
      </c>
      <c r="F417" s="3" t="s">
        <v>32</v>
      </c>
      <c r="G417" s="3" t="s">
        <v>47</v>
      </c>
      <c r="H417" s="3" t="s">
        <v>48</v>
      </c>
      <c r="I417" s="5">
        <v>13799.25</v>
      </c>
      <c r="J417" s="4">
        <v>9</v>
      </c>
      <c r="K417" s="1">
        <v>9</v>
      </c>
      <c r="L417" s="4">
        <v>963.98</v>
      </c>
      <c r="M417" s="3" t="s">
        <v>51</v>
      </c>
      <c r="N417" s="3" t="s">
        <v>40</v>
      </c>
      <c r="O417" s="2" t="str">
        <f t="shared" si="30"/>
        <v>10-2024</v>
      </c>
      <c r="P417" t="str">
        <f t="shared" si="31"/>
        <v>2024</v>
      </c>
      <c r="Q417" s="6">
        <f t="shared" si="32"/>
        <v>6.9857419787307279E-2</v>
      </c>
      <c r="R417" t="str">
        <f t="shared" si="33"/>
        <v>Profit</v>
      </c>
      <c r="S417" t="str">
        <f t="shared" si="34"/>
        <v>Low (1-10%)</v>
      </c>
    </row>
    <row r="418" spans="1:19" x14ac:dyDescent="0.3">
      <c r="A418" s="3" t="s">
        <v>498</v>
      </c>
      <c r="B418" s="2">
        <v>45580</v>
      </c>
      <c r="C418" s="3" t="s">
        <v>99</v>
      </c>
      <c r="D418" s="3" t="s">
        <v>38</v>
      </c>
      <c r="E418" s="3" t="s">
        <v>71</v>
      </c>
      <c r="F418" s="3" t="s">
        <v>18</v>
      </c>
      <c r="G418" s="3" t="s">
        <v>26</v>
      </c>
      <c r="H418" s="3" t="s">
        <v>27</v>
      </c>
      <c r="I418" s="5">
        <v>3555.92</v>
      </c>
      <c r="J418" s="4">
        <v>4</v>
      </c>
      <c r="K418" s="1">
        <v>28</v>
      </c>
      <c r="L418" s="4">
        <v>190.25</v>
      </c>
      <c r="M418" s="3" t="s">
        <v>21</v>
      </c>
      <c r="N418" s="3" t="s">
        <v>22</v>
      </c>
      <c r="O418" s="2" t="str">
        <f t="shared" si="30"/>
        <v>10-2024</v>
      </c>
      <c r="P418" t="str">
        <f t="shared" si="31"/>
        <v>2024</v>
      </c>
      <c r="Q418" s="6">
        <f t="shared" si="32"/>
        <v>5.3502328511327586E-2</v>
      </c>
      <c r="R418" t="str">
        <f t="shared" si="33"/>
        <v>Profit</v>
      </c>
      <c r="S418" t="str">
        <f t="shared" si="34"/>
        <v>High (&gt;20%)</v>
      </c>
    </row>
    <row r="419" spans="1:19" x14ac:dyDescent="0.3">
      <c r="A419" s="3" t="s">
        <v>499</v>
      </c>
      <c r="B419" s="2">
        <v>45671</v>
      </c>
      <c r="C419" s="3" t="s">
        <v>133</v>
      </c>
      <c r="D419" s="3" t="s">
        <v>89</v>
      </c>
      <c r="E419" s="3" t="s">
        <v>97</v>
      </c>
      <c r="F419" s="3" t="s">
        <v>32</v>
      </c>
      <c r="G419" s="3" t="s">
        <v>112</v>
      </c>
      <c r="H419" s="3" t="s">
        <v>113</v>
      </c>
      <c r="I419" s="5">
        <v>1187.6400000000001</v>
      </c>
      <c r="J419" s="4">
        <v>3</v>
      </c>
      <c r="K419" s="1">
        <v>18</v>
      </c>
      <c r="L419" s="4">
        <v>104.72</v>
      </c>
      <c r="M419" s="3" t="s">
        <v>21</v>
      </c>
      <c r="N419" s="3" t="s">
        <v>35</v>
      </c>
      <c r="O419" s="2" t="str">
        <f t="shared" si="30"/>
        <v>01-2025</v>
      </c>
      <c r="P419" t="str">
        <f t="shared" si="31"/>
        <v>2025</v>
      </c>
      <c r="Q419" s="6">
        <f t="shared" si="32"/>
        <v>8.817486780505876E-2</v>
      </c>
      <c r="R419" t="str">
        <f t="shared" si="33"/>
        <v>Profit</v>
      </c>
      <c r="S419" t="str">
        <f t="shared" si="34"/>
        <v>Mid (11-20%)</v>
      </c>
    </row>
    <row r="420" spans="1:19" x14ac:dyDescent="0.3">
      <c r="A420" s="3" t="s">
        <v>500</v>
      </c>
      <c r="B420" s="2">
        <v>45530</v>
      </c>
      <c r="C420" s="3" t="s">
        <v>86</v>
      </c>
      <c r="D420" s="3" t="s">
        <v>56</v>
      </c>
      <c r="E420" s="3" t="s">
        <v>61</v>
      </c>
      <c r="F420" s="3" t="s">
        <v>18</v>
      </c>
      <c r="G420" s="3" t="s">
        <v>94</v>
      </c>
      <c r="H420" s="3" t="s">
        <v>95</v>
      </c>
      <c r="I420" s="5">
        <v>1644.98</v>
      </c>
      <c r="J420" s="4">
        <v>2</v>
      </c>
      <c r="K420" s="1">
        <v>17</v>
      </c>
      <c r="L420" s="4">
        <v>73.59</v>
      </c>
      <c r="M420" s="3" t="s">
        <v>51</v>
      </c>
      <c r="N420" s="3" t="s">
        <v>44</v>
      </c>
      <c r="O420" s="2" t="str">
        <f t="shared" si="30"/>
        <v>08-2024</v>
      </c>
      <c r="P420" t="str">
        <f t="shared" si="31"/>
        <v>2024</v>
      </c>
      <c r="Q420" s="6">
        <f t="shared" si="32"/>
        <v>4.4736106214057318E-2</v>
      </c>
      <c r="R420" t="str">
        <f t="shared" si="33"/>
        <v>Profit</v>
      </c>
      <c r="S420" t="str">
        <f t="shared" si="34"/>
        <v>Mid (11-20%)</v>
      </c>
    </row>
    <row r="421" spans="1:19" x14ac:dyDescent="0.3">
      <c r="A421" s="3" t="s">
        <v>501</v>
      </c>
      <c r="B421" s="2">
        <v>45647</v>
      </c>
      <c r="C421" s="3" t="s">
        <v>50</v>
      </c>
      <c r="D421" s="3" t="s">
        <v>56</v>
      </c>
      <c r="E421" s="3" t="s">
        <v>57</v>
      </c>
      <c r="F421" s="3" t="s">
        <v>32</v>
      </c>
      <c r="G421" s="3" t="s">
        <v>33</v>
      </c>
      <c r="H421" s="3" t="s">
        <v>34</v>
      </c>
      <c r="I421" s="5">
        <v>5907.76</v>
      </c>
      <c r="J421" s="4">
        <v>8</v>
      </c>
      <c r="K421" s="1">
        <v>9</v>
      </c>
      <c r="L421" s="4">
        <v>391.28</v>
      </c>
      <c r="M421" s="3" t="s">
        <v>28</v>
      </c>
      <c r="N421" s="3" t="s">
        <v>22</v>
      </c>
      <c r="O421" s="2" t="str">
        <f t="shared" si="30"/>
        <v>12-2024</v>
      </c>
      <c r="P421" t="str">
        <f t="shared" si="31"/>
        <v>2024</v>
      </c>
      <c r="Q421" s="6">
        <f t="shared" si="32"/>
        <v>6.6231532763687082E-2</v>
      </c>
      <c r="R421" t="str">
        <f t="shared" si="33"/>
        <v>Profit</v>
      </c>
      <c r="S421" t="str">
        <f t="shared" si="34"/>
        <v>Low (1-10%)</v>
      </c>
    </row>
    <row r="422" spans="1:19" x14ac:dyDescent="0.3">
      <c r="A422" s="3" t="s">
        <v>502</v>
      </c>
      <c r="B422" s="2">
        <v>45686</v>
      </c>
      <c r="C422" s="3" t="s">
        <v>75</v>
      </c>
      <c r="D422" s="3" t="s">
        <v>89</v>
      </c>
      <c r="E422" s="3" t="s">
        <v>90</v>
      </c>
      <c r="F422" s="3" t="s">
        <v>32</v>
      </c>
      <c r="G422" s="3" t="s">
        <v>112</v>
      </c>
      <c r="H422" s="3" t="s">
        <v>113</v>
      </c>
      <c r="I422" s="5">
        <v>13279.05</v>
      </c>
      <c r="J422" s="4">
        <v>9</v>
      </c>
      <c r="K422" s="1">
        <v>19</v>
      </c>
      <c r="L422" s="4">
        <v>1501.59</v>
      </c>
      <c r="M422" s="3" t="s">
        <v>28</v>
      </c>
      <c r="N422" s="3" t="s">
        <v>22</v>
      </c>
      <c r="O422" s="2" t="str">
        <f t="shared" si="30"/>
        <v>01-2025</v>
      </c>
      <c r="P422" t="str">
        <f t="shared" si="31"/>
        <v>2025</v>
      </c>
      <c r="Q422" s="6">
        <f t="shared" si="32"/>
        <v>0.11307962542501158</v>
      </c>
      <c r="R422" t="str">
        <f t="shared" si="33"/>
        <v>Profit</v>
      </c>
      <c r="S422" t="str">
        <f t="shared" si="34"/>
        <v>Mid (11-20%)</v>
      </c>
    </row>
    <row r="423" spans="1:19" x14ac:dyDescent="0.3">
      <c r="A423" s="3" t="s">
        <v>503</v>
      </c>
      <c r="B423" s="2">
        <v>45555</v>
      </c>
      <c r="C423" s="3" t="s">
        <v>50</v>
      </c>
      <c r="D423" s="3" t="s">
        <v>16</v>
      </c>
      <c r="E423" s="3" t="s">
        <v>25</v>
      </c>
      <c r="F423" s="3" t="s">
        <v>18</v>
      </c>
      <c r="G423" s="3" t="s">
        <v>19</v>
      </c>
      <c r="H423" s="3" t="s">
        <v>20</v>
      </c>
      <c r="I423" s="5">
        <v>799.85</v>
      </c>
      <c r="J423" s="4">
        <v>5</v>
      </c>
      <c r="K423" s="1">
        <v>21</v>
      </c>
      <c r="L423" s="4">
        <v>56.32</v>
      </c>
      <c r="M423" s="3" t="s">
        <v>28</v>
      </c>
      <c r="N423" s="3" t="s">
        <v>40</v>
      </c>
      <c r="O423" s="2" t="str">
        <f t="shared" si="30"/>
        <v>09-2024</v>
      </c>
      <c r="P423" t="str">
        <f t="shared" si="31"/>
        <v>2024</v>
      </c>
      <c r="Q423" s="6">
        <f t="shared" si="32"/>
        <v>7.0413202475464148E-2</v>
      </c>
      <c r="R423" t="str">
        <f t="shared" si="33"/>
        <v>Profit</v>
      </c>
      <c r="S423" t="str">
        <f t="shared" si="34"/>
        <v>High (&gt;20%)</v>
      </c>
    </row>
    <row r="424" spans="1:19" x14ac:dyDescent="0.3">
      <c r="A424" s="3" t="s">
        <v>504</v>
      </c>
      <c r="B424" s="2">
        <v>45434</v>
      </c>
      <c r="C424" s="3" t="s">
        <v>50</v>
      </c>
      <c r="D424" s="3" t="s">
        <v>16</v>
      </c>
      <c r="E424" s="3" t="s">
        <v>17</v>
      </c>
      <c r="F424" s="3" t="s">
        <v>18</v>
      </c>
      <c r="G424" s="3" t="s">
        <v>26</v>
      </c>
      <c r="H424" s="3" t="s">
        <v>27</v>
      </c>
      <c r="I424" s="5">
        <v>4185.3599999999997</v>
      </c>
      <c r="J424" s="4">
        <v>9</v>
      </c>
      <c r="K424" s="1">
        <v>27</v>
      </c>
      <c r="L424" s="4">
        <v>695.6</v>
      </c>
      <c r="M424" s="3" t="s">
        <v>28</v>
      </c>
      <c r="N424" s="3" t="s">
        <v>44</v>
      </c>
      <c r="O424" s="2" t="str">
        <f t="shared" si="30"/>
        <v>05-2024</v>
      </c>
      <c r="P424" t="str">
        <f t="shared" si="31"/>
        <v>2024</v>
      </c>
      <c r="Q424" s="6">
        <f t="shared" si="32"/>
        <v>0.16619836764340465</v>
      </c>
      <c r="R424" t="str">
        <f t="shared" si="33"/>
        <v>Profit</v>
      </c>
      <c r="S424" t="str">
        <f t="shared" si="34"/>
        <v>High (&gt;20%)</v>
      </c>
    </row>
    <row r="425" spans="1:19" x14ac:dyDescent="0.3">
      <c r="A425" s="3" t="s">
        <v>505</v>
      </c>
      <c r="B425" s="2">
        <v>45459</v>
      </c>
      <c r="C425" s="3" t="s">
        <v>70</v>
      </c>
      <c r="D425" s="3" t="s">
        <v>16</v>
      </c>
      <c r="E425" s="3" t="s">
        <v>31</v>
      </c>
      <c r="F425" s="3" t="s">
        <v>32</v>
      </c>
      <c r="G425" s="3" t="s">
        <v>58</v>
      </c>
      <c r="H425" s="3" t="s">
        <v>59</v>
      </c>
      <c r="I425" s="5">
        <v>809.01</v>
      </c>
      <c r="J425" s="4">
        <v>3</v>
      </c>
      <c r="K425" s="1">
        <v>20</v>
      </c>
      <c r="L425" s="4">
        <v>107.92</v>
      </c>
      <c r="M425" s="3" t="s">
        <v>28</v>
      </c>
      <c r="N425" s="3" t="s">
        <v>40</v>
      </c>
      <c r="O425" s="2" t="str">
        <f t="shared" si="30"/>
        <v>06-2024</v>
      </c>
      <c r="P425" t="str">
        <f t="shared" si="31"/>
        <v>2024</v>
      </c>
      <c r="Q425" s="6">
        <f t="shared" si="32"/>
        <v>0.13339760942386375</v>
      </c>
      <c r="R425" t="str">
        <f t="shared" si="33"/>
        <v>Profit</v>
      </c>
      <c r="S425" t="str">
        <f t="shared" si="34"/>
        <v>Mid (11-20%)</v>
      </c>
    </row>
    <row r="426" spans="1:19" x14ac:dyDescent="0.3">
      <c r="A426" s="3" t="s">
        <v>506</v>
      </c>
      <c r="B426" s="2">
        <v>45554</v>
      </c>
      <c r="C426" s="3" t="s">
        <v>73</v>
      </c>
      <c r="D426" s="3" t="s">
        <v>38</v>
      </c>
      <c r="E426" s="3" t="s">
        <v>39</v>
      </c>
      <c r="F426" s="3" t="s">
        <v>62</v>
      </c>
      <c r="G426" s="3" t="s">
        <v>103</v>
      </c>
      <c r="H426" s="3" t="s">
        <v>104</v>
      </c>
      <c r="I426" s="5">
        <v>3162.5</v>
      </c>
      <c r="J426" s="4">
        <v>10</v>
      </c>
      <c r="K426" s="1">
        <v>9</v>
      </c>
      <c r="L426" s="4">
        <v>612.22</v>
      </c>
      <c r="M426" s="3" t="s">
        <v>21</v>
      </c>
      <c r="N426" s="3" t="s">
        <v>40</v>
      </c>
      <c r="O426" s="2" t="str">
        <f t="shared" si="30"/>
        <v>09-2024</v>
      </c>
      <c r="P426" t="str">
        <f t="shared" si="31"/>
        <v>2024</v>
      </c>
      <c r="Q426" s="6">
        <f t="shared" si="32"/>
        <v>0.19358735177865613</v>
      </c>
      <c r="R426" t="str">
        <f t="shared" si="33"/>
        <v>Profit</v>
      </c>
      <c r="S426" t="str">
        <f t="shared" si="34"/>
        <v>Low (1-10%)</v>
      </c>
    </row>
    <row r="427" spans="1:19" x14ac:dyDescent="0.3">
      <c r="A427" s="3" t="s">
        <v>507</v>
      </c>
      <c r="B427" s="2">
        <v>45517</v>
      </c>
      <c r="C427" s="3" t="s">
        <v>133</v>
      </c>
      <c r="D427" s="3" t="s">
        <v>56</v>
      </c>
      <c r="E427" s="3" t="s">
        <v>57</v>
      </c>
      <c r="F427" s="3" t="s">
        <v>32</v>
      </c>
      <c r="G427" s="3" t="s">
        <v>47</v>
      </c>
      <c r="H427" s="3" t="s">
        <v>48</v>
      </c>
      <c r="I427" s="5">
        <v>1839.52</v>
      </c>
      <c r="J427" s="4">
        <v>8</v>
      </c>
      <c r="K427" s="1">
        <v>6</v>
      </c>
      <c r="L427" s="4">
        <v>372.79</v>
      </c>
      <c r="M427" s="3" t="s">
        <v>51</v>
      </c>
      <c r="N427" s="3" t="s">
        <v>44</v>
      </c>
      <c r="O427" s="2" t="str">
        <f t="shared" si="30"/>
        <v>08-2024</v>
      </c>
      <c r="P427" t="str">
        <f t="shared" si="31"/>
        <v>2024</v>
      </c>
      <c r="Q427" s="6">
        <f t="shared" si="32"/>
        <v>0.20265612768548319</v>
      </c>
      <c r="R427" t="str">
        <f t="shared" si="33"/>
        <v>Profit</v>
      </c>
      <c r="S427" t="str">
        <f t="shared" si="34"/>
        <v>Low (1-10%)</v>
      </c>
    </row>
    <row r="428" spans="1:19" x14ac:dyDescent="0.3">
      <c r="A428" s="3" t="s">
        <v>508</v>
      </c>
      <c r="B428" s="2">
        <v>45672</v>
      </c>
      <c r="C428" s="3" t="s">
        <v>24</v>
      </c>
      <c r="D428" s="3" t="s">
        <v>89</v>
      </c>
      <c r="E428" s="3" t="s">
        <v>90</v>
      </c>
      <c r="F428" s="3" t="s">
        <v>32</v>
      </c>
      <c r="G428" s="3" t="s">
        <v>112</v>
      </c>
      <c r="H428" s="3" t="s">
        <v>113</v>
      </c>
      <c r="I428" s="5">
        <v>14450.88</v>
      </c>
      <c r="J428" s="4">
        <v>8</v>
      </c>
      <c r="K428" s="1">
        <v>23</v>
      </c>
      <c r="L428" s="4">
        <v>1507.94</v>
      </c>
      <c r="M428" s="3" t="s">
        <v>28</v>
      </c>
      <c r="N428" s="3" t="s">
        <v>44</v>
      </c>
      <c r="O428" s="2" t="str">
        <f t="shared" si="30"/>
        <v>01-2025</v>
      </c>
      <c r="P428" t="str">
        <f t="shared" si="31"/>
        <v>2025</v>
      </c>
      <c r="Q428" s="6">
        <f t="shared" si="32"/>
        <v>0.10434935450297837</v>
      </c>
      <c r="R428" t="str">
        <f t="shared" si="33"/>
        <v>Profit</v>
      </c>
      <c r="S428" t="str">
        <f t="shared" si="34"/>
        <v>High (&gt;20%)</v>
      </c>
    </row>
    <row r="429" spans="1:19" x14ac:dyDescent="0.3">
      <c r="A429" s="3" t="s">
        <v>509</v>
      </c>
      <c r="B429" s="2">
        <v>45664</v>
      </c>
      <c r="C429" s="3" t="s">
        <v>24</v>
      </c>
      <c r="D429" s="3" t="s">
        <v>89</v>
      </c>
      <c r="E429" s="3" t="s">
        <v>116</v>
      </c>
      <c r="F429" s="3" t="s">
        <v>62</v>
      </c>
      <c r="G429" s="3" t="s">
        <v>63</v>
      </c>
      <c r="H429" s="3" t="s">
        <v>64</v>
      </c>
      <c r="I429" s="5">
        <v>3433.4</v>
      </c>
      <c r="J429" s="4">
        <v>4</v>
      </c>
      <c r="K429" s="1">
        <v>27</v>
      </c>
      <c r="L429" s="4">
        <v>295.5</v>
      </c>
      <c r="M429" s="3" t="s">
        <v>21</v>
      </c>
      <c r="N429" s="3" t="s">
        <v>44</v>
      </c>
      <c r="O429" s="2" t="str">
        <f t="shared" si="30"/>
        <v>01-2025</v>
      </c>
      <c r="P429" t="str">
        <f t="shared" si="31"/>
        <v>2025</v>
      </c>
      <c r="Q429" s="6">
        <f t="shared" si="32"/>
        <v>8.6066289974951943E-2</v>
      </c>
      <c r="R429" t="str">
        <f t="shared" si="33"/>
        <v>Profit</v>
      </c>
      <c r="S429" t="str">
        <f t="shared" si="34"/>
        <v>High (&gt;20%)</v>
      </c>
    </row>
    <row r="430" spans="1:19" x14ac:dyDescent="0.3">
      <c r="A430" s="3" t="s">
        <v>510</v>
      </c>
      <c r="B430" s="2">
        <v>45515</v>
      </c>
      <c r="C430" s="3" t="s">
        <v>84</v>
      </c>
      <c r="D430" s="3" t="s">
        <v>56</v>
      </c>
      <c r="E430" s="3" t="s">
        <v>61</v>
      </c>
      <c r="F430" s="3" t="s">
        <v>18</v>
      </c>
      <c r="G430" s="3" t="s">
        <v>19</v>
      </c>
      <c r="H430" s="3" t="s">
        <v>20</v>
      </c>
      <c r="I430" s="5">
        <v>1898.12</v>
      </c>
      <c r="J430" s="4">
        <v>1</v>
      </c>
      <c r="K430" s="1">
        <v>26</v>
      </c>
      <c r="L430" s="4">
        <v>215.71</v>
      </c>
      <c r="M430" s="3" t="s">
        <v>21</v>
      </c>
      <c r="N430" s="3" t="s">
        <v>35</v>
      </c>
      <c r="O430" s="2" t="str">
        <f t="shared" si="30"/>
        <v>08-2024</v>
      </c>
      <c r="P430" t="str">
        <f t="shared" si="31"/>
        <v>2024</v>
      </c>
      <c r="Q430" s="6">
        <f t="shared" si="32"/>
        <v>0.11364402672117675</v>
      </c>
      <c r="R430" t="str">
        <f t="shared" si="33"/>
        <v>Profit</v>
      </c>
      <c r="S430" t="str">
        <f t="shared" si="34"/>
        <v>High (&gt;20%)</v>
      </c>
    </row>
    <row r="431" spans="1:19" x14ac:dyDescent="0.3">
      <c r="A431" s="3" t="s">
        <v>511</v>
      </c>
      <c r="B431" s="2">
        <v>45484</v>
      </c>
      <c r="C431" s="3" t="s">
        <v>70</v>
      </c>
      <c r="D431" s="3" t="s">
        <v>89</v>
      </c>
      <c r="E431" s="3" t="s">
        <v>97</v>
      </c>
      <c r="F431" s="3" t="s">
        <v>62</v>
      </c>
      <c r="G431" s="3" t="s">
        <v>63</v>
      </c>
      <c r="H431" s="3" t="s">
        <v>64</v>
      </c>
      <c r="I431" s="5">
        <v>5968.56</v>
      </c>
      <c r="J431" s="4">
        <v>3</v>
      </c>
      <c r="K431" s="1">
        <v>10</v>
      </c>
      <c r="L431" s="4">
        <v>1257.33</v>
      </c>
      <c r="M431" s="3" t="s">
        <v>21</v>
      </c>
      <c r="N431" s="3" t="s">
        <v>35</v>
      </c>
      <c r="O431" s="2" t="str">
        <f t="shared" si="30"/>
        <v>07-2024</v>
      </c>
      <c r="P431" t="str">
        <f t="shared" si="31"/>
        <v>2024</v>
      </c>
      <c r="Q431" s="6">
        <f t="shared" si="32"/>
        <v>0.21065885238650525</v>
      </c>
      <c r="R431" t="str">
        <f t="shared" si="33"/>
        <v>Profit</v>
      </c>
      <c r="S431" t="str">
        <f t="shared" si="34"/>
        <v>Low (1-10%)</v>
      </c>
    </row>
    <row r="432" spans="1:19" x14ac:dyDescent="0.3">
      <c r="A432" s="3" t="s">
        <v>512</v>
      </c>
      <c r="B432" s="2">
        <v>45627</v>
      </c>
      <c r="C432" s="3" t="s">
        <v>86</v>
      </c>
      <c r="D432" s="3" t="s">
        <v>56</v>
      </c>
      <c r="E432" s="3" t="s">
        <v>57</v>
      </c>
      <c r="F432" s="3" t="s">
        <v>18</v>
      </c>
      <c r="G432" s="3" t="s">
        <v>76</v>
      </c>
      <c r="H432" s="3" t="s">
        <v>77</v>
      </c>
      <c r="I432" s="5">
        <v>3195.22</v>
      </c>
      <c r="J432" s="4">
        <v>7</v>
      </c>
      <c r="K432" s="1">
        <v>29</v>
      </c>
      <c r="L432" s="4">
        <v>439.12</v>
      </c>
      <c r="M432" s="3" t="s">
        <v>51</v>
      </c>
      <c r="N432" s="3" t="s">
        <v>44</v>
      </c>
      <c r="O432" s="2" t="str">
        <f t="shared" si="30"/>
        <v>12-2024</v>
      </c>
      <c r="P432" t="str">
        <f t="shared" si="31"/>
        <v>2024</v>
      </c>
      <c r="Q432" s="6">
        <f t="shared" si="32"/>
        <v>0.13743028649044511</v>
      </c>
      <c r="R432" t="str">
        <f t="shared" si="33"/>
        <v>Profit</v>
      </c>
      <c r="S432" t="str">
        <f t="shared" si="34"/>
        <v>High (&gt;20%)</v>
      </c>
    </row>
    <row r="433" spans="1:19" x14ac:dyDescent="0.3">
      <c r="A433" s="3" t="s">
        <v>513</v>
      </c>
      <c r="B433" s="2">
        <v>45511</v>
      </c>
      <c r="C433" s="3" t="s">
        <v>30</v>
      </c>
      <c r="D433" s="3" t="s">
        <v>89</v>
      </c>
      <c r="E433" s="3" t="s">
        <v>116</v>
      </c>
      <c r="F433" s="3" t="s">
        <v>18</v>
      </c>
      <c r="G433" s="3" t="s">
        <v>76</v>
      </c>
      <c r="H433" s="3" t="s">
        <v>77</v>
      </c>
      <c r="I433" s="5">
        <v>1828.48</v>
      </c>
      <c r="J433" s="4">
        <v>2</v>
      </c>
      <c r="K433" s="1">
        <v>15</v>
      </c>
      <c r="L433" s="4">
        <v>112.01</v>
      </c>
      <c r="M433" s="3" t="s">
        <v>21</v>
      </c>
      <c r="N433" s="3" t="s">
        <v>22</v>
      </c>
      <c r="O433" s="2" t="str">
        <f t="shared" si="30"/>
        <v>08-2024</v>
      </c>
      <c r="P433" t="str">
        <f t="shared" si="31"/>
        <v>2024</v>
      </c>
      <c r="Q433" s="6">
        <f t="shared" si="32"/>
        <v>6.1258531676583829E-2</v>
      </c>
      <c r="R433" t="str">
        <f t="shared" si="33"/>
        <v>Profit</v>
      </c>
      <c r="S433" t="str">
        <f t="shared" si="34"/>
        <v>Mid (11-20%)</v>
      </c>
    </row>
    <row r="434" spans="1:19" x14ac:dyDescent="0.3">
      <c r="A434" s="3" t="s">
        <v>514</v>
      </c>
      <c r="B434" s="2">
        <v>45432</v>
      </c>
      <c r="C434" s="3" t="s">
        <v>15</v>
      </c>
      <c r="D434" s="3" t="s">
        <v>16</v>
      </c>
      <c r="E434" s="3" t="s">
        <v>31</v>
      </c>
      <c r="F434" s="3" t="s">
        <v>18</v>
      </c>
      <c r="G434" s="3" t="s">
        <v>19</v>
      </c>
      <c r="H434" s="3" t="s">
        <v>20</v>
      </c>
      <c r="I434" s="5">
        <v>16129</v>
      </c>
      <c r="J434" s="4">
        <v>10</v>
      </c>
      <c r="K434" s="1">
        <v>19</v>
      </c>
      <c r="L434" s="4">
        <v>3056.75</v>
      </c>
      <c r="M434" s="3" t="s">
        <v>51</v>
      </c>
      <c r="N434" s="3" t="s">
        <v>22</v>
      </c>
      <c r="O434" s="2" t="str">
        <f t="shared" si="30"/>
        <v>05-2024</v>
      </c>
      <c r="P434" t="str">
        <f t="shared" si="31"/>
        <v>2024</v>
      </c>
      <c r="Q434" s="6">
        <f t="shared" si="32"/>
        <v>0.18951887903775808</v>
      </c>
      <c r="R434" t="str">
        <f t="shared" si="33"/>
        <v>Profit</v>
      </c>
      <c r="S434" t="str">
        <f t="shared" si="34"/>
        <v>Mid (11-20%)</v>
      </c>
    </row>
    <row r="435" spans="1:19" x14ac:dyDescent="0.3">
      <c r="A435" s="3" t="s">
        <v>515</v>
      </c>
      <c r="B435" s="2">
        <v>45757</v>
      </c>
      <c r="C435" s="3" t="s">
        <v>133</v>
      </c>
      <c r="D435" s="3" t="s">
        <v>16</v>
      </c>
      <c r="E435" s="3" t="s">
        <v>17</v>
      </c>
      <c r="F435" s="3" t="s">
        <v>18</v>
      </c>
      <c r="G435" s="3" t="s">
        <v>26</v>
      </c>
      <c r="H435" s="3" t="s">
        <v>27</v>
      </c>
      <c r="I435" s="5">
        <v>11391.66</v>
      </c>
      <c r="J435" s="4">
        <v>9</v>
      </c>
      <c r="K435" s="1">
        <v>26</v>
      </c>
      <c r="L435" s="4">
        <v>671.2</v>
      </c>
      <c r="M435" s="3" t="s">
        <v>51</v>
      </c>
      <c r="N435" s="3" t="s">
        <v>22</v>
      </c>
      <c r="O435" s="2" t="str">
        <f t="shared" si="30"/>
        <v>04-2025</v>
      </c>
      <c r="P435" t="str">
        <f t="shared" si="31"/>
        <v>2025</v>
      </c>
      <c r="Q435" s="6">
        <f t="shared" si="32"/>
        <v>5.8920297831922659E-2</v>
      </c>
      <c r="R435" t="str">
        <f t="shared" si="33"/>
        <v>Profit</v>
      </c>
      <c r="S435" t="str">
        <f t="shared" si="34"/>
        <v>High (&gt;20%)</v>
      </c>
    </row>
    <row r="436" spans="1:19" x14ac:dyDescent="0.3">
      <c r="A436" s="3" t="s">
        <v>516</v>
      </c>
      <c r="B436" s="2">
        <v>45763</v>
      </c>
      <c r="C436" s="3" t="s">
        <v>73</v>
      </c>
      <c r="D436" s="3" t="s">
        <v>16</v>
      </c>
      <c r="E436" s="3" t="s">
        <v>17</v>
      </c>
      <c r="F436" s="3" t="s">
        <v>62</v>
      </c>
      <c r="G436" s="3" t="s">
        <v>103</v>
      </c>
      <c r="H436" s="3" t="s">
        <v>104</v>
      </c>
      <c r="I436" s="5">
        <v>3618.7</v>
      </c>
      <c r="J436" s="4">
        <v>5</v>
      </c>
      <c r="K436" s="1">
        <v>16</v>
      </c>
      <c r="L436" s="4">
        <v>578.73</v>
      </c>
      <c r="M436" s="3" t="s">
        <v>51</v>
      </c>
      <c r="N436" s="3" t="s">
        <v>44</v>
      </c>
      <c r="O436" s="2" t="str">
        <f t="shared" si="30"/>
        <v>04-2025</v>
      </c>
      <c r="P436" t="str">
        <f t="shared" si="31"/>
        <v>2025</v>
      </c>
      <c r="Q436" s="6">
        <f t="shared" si="32"/>
        <v>0.15992759830878495</v>
      </c>
      <c r="R436" t="str">
        <f t="shared" si="33"/>
        <v>Profit</v>
      </c>
      <c r="S436" t="str">
        <f t="shared" si="34"/>
        <v>Mid (11-20%)</v>
      </c>
    </row>
    <row r="437" spans="1:19" x14ac:dyDescent="0.3">
      <c r="A437" s="3" t="s">
        <v>517</v>
      </c>
      <c r="B437" s="2">
        <v>45602</v>
      </c>
      <c r="C437" s="3" t="s">
        <v>37</v>
      </c>
      <c r="D437" s="3" t="s">
        <v>89</v>
      </c>
      <c r="E437" s="3" t="s">
        <v>116</v>
      </c>
      <c r="F437" s="3" t="s">
        <v>32</v>
      </c>
      <c r="G437" s="3" t="s">
        <v>58</v>
      </c>
      <c r="H437" s="3" t="s">
        <v>59</v>
      </c>
      <c r="I437" s="5">
        <v>5355.15</v>
      </c>
      <c r="J437" s="4">
        <v>5</v>
      </c>
      <c r="K437" s="1">
        <v>14</v>
      </c>
      <c r="L437" s="4">
        <v>947.2</v>
      </c>
      <c r="M437" s="3" t="s">
        <v>51</v>
      </c>
      <c r="N437" s="3" t="s">
        <v>35</v>
      </c>
      <c r="O437" s="2" t="str">
        <f t="shared" si="30"/>
        <v>11-2024</v>
      </c>
      <c r="P437" t="str">
        <f t="shared" si="31"/>
        <v>2024</v>
      </c>
      <c r="Q437" s="6">
        <f t="shared" si="32"/>
        <v>0.17687646471153937</v>
      </c>
      <c r="R437" t="str">
        <f t="shared" si="33"/>
        <v>Profit</v>
      </c>
      <c r="S437" t="str">
        <f t="shared" si="34"/>
        <v>Mid (11-20%)</v>
      </c>
    </row>
    <row r="438" spans="1:19" x14ac:dyDescent="0.3">
      <c r="A438" s="3" t="s">
        <v>518</v>
      </c>
      <c r="B438" s="2">
        <v>45775</v>
      </c>
      <c r="C438" s="3" t="s">
        <v>73</v>
      </c>
      <c r="D438" s="3" t="s">
        <v>89</v>
      </c>
      <c r="E438" s="3" t="s">
        <v>102</v>
      </c>
      <c r="F438" s="3" t="s">
        <v>32</v>
      </c>
      <c r="G438" s="3" t="s">
        <v>33</v>
      </c>
      <c r="H438" s="3" t="s">
        <v>34</v>
      </c>
      <c r="I438" s="5">
        <v>3079.56</v>
      </c>
      <c r="J438" s="4">
        <v>3</v>
      </c>
      <c r="K438" s="1">
        <v>1</v>
      </c>
      <c r="L438" s="4">
        <v>437.82</v>
      </c>
      <c r="M438" s="3" t="s">
        <v>51</v>
      </c>
      <c r="N438" s="3" t="s">
        <v>40</v>
      </c>
      <c r="O438" s="2" t="str">
        <f t="shared" si="30"/>
        <v>04-2025</v>
      </c>
      <c r="P438" t="str">
        <f t="shared" si="31"/>
        <v>2025</v>
      </c>
      <c r="Q438" s="6">
        <f t="shared" si="32"/>
        <v>0.14216966060086506</v>
      </c>
      <c r="R438" t="str">
        <f t="shared" si="33"/>
        <v>Profit</v>
      </c>
      <c r="S438" t="str">
        <f t="shared" si="34"/>
        <v>Low (1-10%)</v>
      </c>
    </row>
    <row r="439" spans="1:19" x14ac:dyDescent="0.3">
      <c r="A439" s="3" t="s">
        <v>519</v>
      </c>
      <c r="B439" s="2">
        <v>45603</v>
      </c>
      <c r="C439" s="3" t="s">
        <v>75</v>
      </c>
      <c r="D439" s="3" t="s">
        <v>38</v>
      </c>
      <c r="E439" s="3" t="s">
        <v>43</v>
      </c>
      <c r="F439" s="3" t="s">
        <v>62</v>
      </c>
      <c r="G439" s="3" t="s">
        <v>63</v>
      </c>
      <c r="H439" s="3" t="s">
        <v>64</v>
      </c>
      <c r="I439" s="5">
        <v>7547.08</v>
      </c>
      <c r="J439" s="4">
        <v>4</v>
      </c>
      <c r="K439" s="1">
        <v>30</v>
      </c>
      <c r="L439" s="4">
        <v>1319.79</v>
      </c>
      <c r="M439" s="3" t="s">
        <v>51</v>
      </c>
      <c r="N439" s="3" t="s">
        <v>22</v>
      </c>
      <c r="O439" s="2" t="str">
        <f t="shared" si="30"/>
        <v>11-2024</v>
      </c>
      <c r="P439" t="str">
        <f t="shared" si="31"/>
        <v>2024</v>
      </c>
      <c r="Q439" s="6">
        <f t="shared" si="32"/>
        <v>0.17487425600364645</v>
      </c>
      <c r="R439" t="str">
        <f t="shared" si="33"/>
        <v>Profit</v>
      </c>
      <c r="S439" t="str">
        <f t="shared" si="34"/>
        <v>High (&gt;20%)</v>
      </c>
    </row>
    <row r="440" spans="1:19" x14ac:dyDescent="0.3">
      <c r="A440" s="3" t="s">
        <v>520</v>
      </c>
      <c r="B440" s="2">
        <v>45606</v>
      </c>
      <c r="C440" s="3" t="s">
        <v>24</v>
      </c>
      <c r="D440" s="3" t="s">
        <v>56</v>
      </c>
      <c r="E440" s="3" t="s">
        <v>57</v>
      </c>
      <c r="F440" s="3" t="s">
        <v>32</v>
      </c>
      <c r="G440" s="3" t="s">
        <v>58</v>
      </c>
      <c r="H440" s="3" t="s">
        <v>59</v>
      </c>
      <c r="I440" s="5">
        <v>15011.52</v>
      </c>
      <c r="J440" s="4">
        <v>8</v>
      </c>
      <c r="K440" s="1">
        <v>11</v>
      </c>
      <c r="L440" s="4">
        <v>905.87</v>
      </c>
      <c r="M440" s="3" t="s">
        <v>28</v>
      </c>
      <c r="N440" s="3" t="s">
        <v>22</v>
      </c>
      <c r="O440" s="2" t="str">
        <f t="shared" si="30"/>
        <v>11-2024</v>
      </c>
      <c r="P440" t="str">
        <f t="shared" si="31"/>
        <v>2024</v>
      </c>
      <c r="Q440" s="6">
        <f t="shared" si="32"/>
        <v>6.0344988382255757E-2</v>
      </c>
      <c r="R440" t="str">
        <f t="shared" si="33"/>
        <v>Profit</v>
      </c>
      <c r="S440" t="str">
        <f t="shared" si="34"/>
        <v>Mid (11-20%)</v>
      </c>
    </row>
    <row r="441" spans="1:19" x14ac:dyDescent="0.3">
      <c r="A441" s="3" t="s">
        <v>521</v>
      </c>
      <c r="B441" s="2">
        <v>45664</v>
      </c>
      <c r="C441" s="3" t="s">
        <v>30</v>
      </c>
      <c r="D441" s="3" t="s">
        <v>89</v>
      </c>
      <c r="E441" s="3" t="s">
        <v>140</v>
      </c>
      <c r="F441" s="3" t="s">
        <v>32</v>
      </c>
      <c r="G441" s="3" t="s">
        <v>112</v>
      </c>
      <c r="H441" s="3" t="s">
        <v>113</v>
      </c>
      <c r="I441" s="5">
        <v>7821.18</v>
      </c>
      <c r="J441" s="4">
        <v>9</v>
      </c>
      <c r="K441" s="1">
        <v>11</v>
      </c>
      <c r="L441" s="4">
        <v>1140.8900000000001</v>
      </c>
      <c r="M441" s="3" t="s">
        <v>51</v>
      </c>
      <c r="N441" s="3" t="s">
        <v>40</v>
      </c>
      <c r="O441" s="2" t="str">
        <f t="shared" si="30"/>
        <v>01-2025</v>
      </c>
      <c r="P441" t="str">
        <f t="shared" si="31"/>
        <v>2025</v>
      </c>
      <c r="Q441" s="6">
        <f t="shared" si="32"/>
        <v>0.14587185053917695</v>
      </c>
      <c r="R441" t="str">
        <f t="shared" si="33"/>
        <v>Profit</v>
      </c>
      <c r="S441" t="str">
        <f t="shared" si="34"/>
        <v>Mid (11-20%)</v>
      </c>
    </row>
    <row r="442" spans="1:19" x14ac:dyDescent="0.3">
      <c r="A442" s="3" t="s">
        <v>522</v>
      </c>
      <c r="B442" s="2">
        <v>45749</v>
      </c>
      <c r="C442" s="3" t="s">
        <v>30</v>
      </c>
      <c r="D442" s="3" t="s">
        <v>56</v>
      </c>
      <c r="E442" s="3" t="s">
        <v>61</v>
      </c>
      <c r="F442" s="3" t="s">
        <v>62</v>
      </c>
      <c r="G442" s="3" t="s">
        <v>103</v>
      </c>
      <c r="H442" s="3" t="s">
        <v>104</v>
      </c>
      <c r="I442" s="5">
        <v>9684.2900000000009</v>
      </c>
      <c r="J442" s="4">
        <v>7</v>
      </c>
      <c r="K442" s="1">
        <v>13</v>
      </c>
      <c r="L442" s="4">
        <v>780.24</v>
      </c>
      <c r="M442" s="3" t="s">
        <v>21</v>
      </c>
      <c r="N442" s="3" t="s">
        <v>35</v>
      </c>
      <c r="O442" s="2" t="str">
        <f t="shared" si="30"/>
        <v>04-2025</v>
      </c>
      <c r="P442" t="str">
        <f t="shared" si="31"/>
        <v>2025</v>
      </c>
      <c r="Q442" s="6">
        <f t="shared" si="32"/>
        <v>8.0567599689806882E-2</v>
      </c>
      <c r="R442" t="str">
        <f t="shared" si="33"/>
        <v>Profit</v>
      </c>
      <c r="S442" t="str">
        <f t="shared" si="34"/>
        <v>Mid (11-20%)</v>
      </c>
    </row>
    <row r="443" spans="1:19" x14ac:dyDescent="0.3">
      <c r="A443" s="3" t="s">
        <v>523</v>
      </c>
      <c r="B443" s="2">
        <v>45548</v>
      </c>
      <c r="C443" s="3" t="s">
        <v>99</v>
      </c>
      <c r="D443" s="3" t="s">
        <v>16</v>
      </c>
      <c r="E443" s="3" t="s">
        <v>17</v>
      </c>
      <c r="F443" s="3" t="s">
        <v>62</v>
      </c>
      <c r="G443" s="3" t="s">
        <v>63</v>
      </c>
      <c r="H443" s="3" t="s">
        <v>64</v>
      </c>
      <c r="I443" s="5">
        <v>5386.98</v>
      </c>
      <c r="J443" s="4">
        <v>3</v>
      </c>
      <c r="K443" s="1">
        <v>8</v>
      </c>
      <c r="L443" s="4">
        <v>502.76</v>
      </c>
      <c r="M443" s="3" t="s">
        <v>21</v>
      </c>
      <c r="N443" s="3" t="s">
        <v>44</v>
      </c>
      <c r="O443" s="2" t="str">
        <f t="shared" si="30"/>
        <v>09-2024</v>
      </c>
      <c r="P443" t="str">
        <f t="shared" si="31"/>
        <v>2024</v>
      </c>
      <c r="Q443" s="6">
        <f t="shared" si="32"/>
        <v>9.3328729640726346E-2</v>
      </c>
      <c r="R443" t="str">
        <f t="shared" si="33"/>
        <v>Profit</v>
      </c>
      <c r="S443" t="str">
        <f t="shared" si="34"/>
        <v>Low (1-10%)</v>
      </c>
    </row>
    <row r="444" spans="1:19" x14ac:dyDescent="0.3">
      <c r="A444" s="3" t="s">
        <v>524</v>
      </c>
      <c r="B444" s="2">
        <v>45603</v>
      </c>
      <c r="C444" s="3" t="s">
        <v>70</v>
      </c>
      <c r="D444" s="3" t="s">
        <v>56</v>
      </c>
      <c r="E444" s="3" t="s">
        <v>57</v>
      </c>
      <c r="F444" s="3" t="s">
        <v>62</v>
      </c>
      <c r="G444" s="3" t="s">
        <v>63</v>
      </c>
      <c r="H444" s="3" t="s">
        <v>64</v>
      </c>
      <c r="I444" s="5">
        <v>806.29</v>
      </c>
      <c r="J444" s="4">
        <v>1</v>
      </c>
      <c r="K444" s="1">
        <v>16</v>
      </c>
      <c r="L444" s="4">
        <v>53.37</v>
      </c>
      <c r="M444" s="3" t="s">
        <v>21</v>
      </c>
      <c r="N444" s="3" t="s">
        <v>44</v>
      </c>
      <c r="O444" s="2" t="str">
        <f t="shared" si="30"/>
        <v>11-2024</v>
      </c>
      <c r="P444" t="str">
        <f t="shared" si="31"/>
        <v>2024</v>
      </c>
      <c r="Q444" s="6">
        <f t="shared" si="32"/>
        <v>6.619206488980392E-2</v>
      </c>
      <c r="R444" t="str">
        <f t="shared" si="33"/>
        <v>Profit</v>
      </c>
      <c r="S444" t="str">
        <f t="shared" si="34"/>
        <v>Mid (11-20%)</v>
      </c>
    </row>
    <row r="445" spans="1:19" x14ac:dyDescent="0.3">
      <c r="A445" s="3" t="s">
        <v>525</v>
      </c>
      <c r="B445" s="2">
        <v>45650</v>
      </c>
      <c r="C445" s="3" t="s">
        <v>101</v>
      </c>
      <c r="D445" s="3" t="s">
        <v>38</v>
      </c>
      <c r="E445" s="3" t="s">
        <v>53</v>
      </c>
      <c r="F445" s="3" t="s">
        <v>32</v>
      </c>
      <c r="G445" s="3" t="s">
        <v>33</v>
      </c>
      <c r="H445" s="3" t="s">
        <v>34</v>
      </c>
      <c r="I445" s="5">
        <v>1989.9</v>
      </c>
      <c r="J445" s="4">
        <v>9</v>
      </c>
      <c r="K445" s="1">
        <v>6</v>
      </c>
      <c r="L445" s="4">
        <v>261.93</v>
      </c>
      <c r="M445" s="3" t="s">
        <v>21</v>
      </c>
      <c r="N445" s="3" t="s">
        <v>22</v>
      </c>
      <c r="O445" s="2" t="str">
        <f t="shared" si="30"/>
        <v>12-2024</v>
      </c>
      <c r="P445" t="str">
        <f t="shared" si="31"/>
        <v>2024</v>
      </c>
      <c r="Q445" s="6">
        <f t="shared" si="32"/>
        <v>0.13162973013719281</v>
      </c>
      <c r="R445" t="str">
        <f t="shared" si="33"/>
        <v>Profit</v>
      </c>
      <c r="S445" t="str">
        <f t="shared" si="34"/>
        <v>Low (1-10%)</v>
      </c>
    </row>
    <row r="446" spans="1:19" x14ac:dyDescent="0.3">
      <c r="A446" s="3" t="s">
        <v>526</v>
      </c>
      <c r="B446" s="2">
        <v>45766</v>
      </c>
      <c r="C446" s="3" t="s">
        <v>99</v>
      </c>
      <c r="D446" s="3" t="s">
        <v>16</v>
      </c>
      <c r="E446" s="3" t="s">
        <v>31</v>
      </c>
      <c r="F446" s="3" t="s">
        <v>62</v>
      </c>
      <c r="G446" s="3" t="s">
        <v>80</v>
      </c>
      <c r="H446" s="3" t="s">
        <v>81</v>
      </c>
      <c r="I446" s="5">
        <v>1562.72</v>
      </c>
      <c r="J446" s="4">
        <v>8</v>
      </c>
      <c r="K446" s="1">
        <v>22</v>
      </c>
      <c r="L446" s="4">
        <v>211.59</v>
      </c>
      <c r="M446" s="3" t="s">
        <v>28</v>
      </c>
      <c r="N446" s="3" t="s">
        <v>40</v>
      </c>
      <c r="O446" s="2" t="str">
        <f t="shared" si="30"/>
        <v>04-2025</v>
      </c>
      <c r="P446" t="str">
        <f t="shared" si="31"/>
        <v>2025</v>
      </c>
      <c r="Q446" s="6">
        <f t="shared" si="32"/>
        <v>0.13539853588614723</v>
      </c>
      <c r="R446" t="str">
        <f t="shared" si="33"/>
        <v>Profit</v>
      </c>
      <c r="S446" t="str">
        <f t="shared" si="34"/>
        <v>High (&gt;20%)</v>
      </c>
    </row>
    <row r="447" spans="1:19" x14ac:dyDescent="0.3">
      <c r="A447" s="3" t="s">
        <v>527</v>
      </c>
      <c r="B447" s="2">
        <v>45509</v>
      </c>
      <c r="C447" s="3" t="s">
        <v>15</v>
      </c>
      <c r="D447" s="3" t="s">
        <v>38</v>
      </c>
      <c r="E447" s="3" t="s">
        <v>43</v>
      </c>
      <c r="F447" s="3" t="s">
        <v>32</v>
      </c>
      <c r="G447" s="3" t="s">
        <v>47</v>
      </c>
      <c r="H447" s="3" t="s">
        <v>48</v>
      </c>
      <c r="I447" s="5">
        <v>7923.72</v>
      </c>
      <c r="J447" s="4">
        <v>6</v>
      </c>
      <c r="K447" s="1">
        <v>13</v>
      </c>
      <c r="L447" s="4">
        <v>458.29</v>
      </c>
      <c r="M447" s="3" t="s">
        <v>28</v>
      </c>
      <c r="N447" s="3" t="s">
        <v>22</v>
      </c>
      <c r="O447" s="2" t="str">
        <f t="shared" si="30"/>
        <v>08-2024</v>
      </c>
      <c r="P447" t="str">
        <f t="shared" si="31"/>
        <v>2024</v>
      </c>
      <c r="Q447" s="6">
        <f t="shared" si="32"/>
        <v>5.7837732782077107E-2</v>
      </c>
      <c r="R447" t="str">
        <f t="shared" si="33"/>
        <v>Profit</v>
      </c>
      <c r="S447" t="str">
        <f t="shared" si="34"/>
        <v>Mid (11-20%)</v>
      </c>
    </row>
    <row r="448" spans="1:19" x14ac:dyDescent="0.3">
      <c r="A448" s="3" t="s">
        <v>528</v>
      </c>
      <c r="B448" s="2">
        <v>45445</v>
      </c>
      <c r="C448" s="3" t="s">
        <v>24</v>
      </c>
      <c r="D448" s="3" t="s">
        <v>56</v>
      </c>
      <c r="E448" s="3" t="s">
        <v>108</v>
      </c>
      <c r="F448" s="3" t="s">
        <v>62</v>
      </c>
      <c r="G448" s="3" t="s">
        <v>103</v>
      </c>
      <c r="H448" s="3" t="s">
        <v>104</v>
      </c>
      <c r="I448" s="5">
        <v>1859.2</v>
      </c>
      <c r="J448" s="4">
        <v>8</v>
      </c>
      <c r="K448" s="1">
        <v>3</v>
      </c>
      <c r="L448" s="4">
        <v>432.33</v>
      </c>
      <c r="M448" s="3" t="s">
        <v>51</v>
      </c>
      <c r="N448" s="3" t="s">
        <v>35</v>
      </c>
      <c r="O448" s="2" t="str">
        <f t="shared" si="30"/>
        <v>06-2024</v>
      </c>
      <c r="P448" t="str">
        <f t="shared" si="31"/>
        <v>2024</v>
      </c>
      <c r="Q448" s="6">
        <f t="shared" si="32"/>
        <v>0.23253549913941479</v>
      </c>
      <c r="R448" t="str">
        <f t="shared" si="33"/>
        <v>Profit</v>
      </c>
      <c r="S448" t="str">
        <f t="shared" si="34"/>
        <v>Low (1-10%)</v>
      </c>
    </row>
    <row r="449" spans="1:19" x14ac:dyDescent="0.3">
      <c r="A449" s="3" t="s">
        <v>529</v>
      </c>
      <c r="B449" s="2">
        <v>45607</v>
      </c>
      <c r="C449" s="3" t="s">
        <v>73</v>
      </c>
      <c r="D449" s="3" t="s">
        <v>56</v>
      </c>
      <c r="E449" s="3" t="s">
        <v>57</v>
      </c>
      <c r="F449" s="3" t="s">
        <v>32</v>
      </c>
      <c r="G449" s="3" t="s">
        <v>47</v>
      </c>
      <c r="H449" s="3" t="s">
        <v>48</v>
      </c>
      <c r="I449" s="5">
        <v>1533.83</v>
      </c>
      <c r="J449" s="4">
        <v>1</v>
      </c>
      <c r="K449" s="1">
        <v>17</v>
      </c>
      <c r="L449" s="4">
        <v>280.70999999999998</v>
      </c>
      <c r="M449" s="3" t="s">
        <v>21</v>
      </c>
      <c r="N449" s="3" t="s">
        <v>35</v>
      </c>
      <c r="O449" s="2" t="str">
        <f t="shared" si="30"/>
        <v>11-2024</v>
      </c>
      <c r="P449" t="str">
        <f t="shared" si="31"/>
        <v>2024</v>
      </c>
      <c r="Q449" s="6">
        <f t="shared" si="32"/>
        <v>0.1830124590078431</v>
      </c>
      <c r="R449" t="str">
        <f t="shared" si="33"/>
        <v>Profit</v>
      </c>
      <c r="S449" t="str">
        <f t="shared" si="34"/>
        <v>Mid (11-20%)</v>
      </c>
    </row>
    <row r="450" spans="1:19" x14ac:dyDescent="0.3">
      <c r="A450" s="3" t="s">
        <v>530</v>
      </c>
      <c r="B450" s="2">
        <v>45567</v>
      </c>
      <c r="C450" s="3" t="s">
        <v>86</v>
      </c>
      <c r="D450" s="3" t="s">
        <v>38</v>
      </c>
      <c r="E450" s="3" t="s">
        <v>71</v>
      </c>
      <c r="F450" s="3" t="s">
        <v>18</v>
      </c>
      <c r="G450" s="3" t="s">
        <v>26</v>
      </c>
      <c r="H450" s="3" t="s">
        <v>27</v>
      </c>
      <c r="I450" s="5">
        <v>547.46</v>
      </c>
      <c r="J450" s="4">
        <v>2</v>
      </c>
      <c r="K450" s="1">
        <v>10</v>
      </c>
      <c r="L450" s="4">
        <v>107.38</v>
      </c>
      <c r="M450" s="3" t="s">
        <v>21</v>
      </c>
      <c r="N450" s="3" t="s">
        <v>40</v>
      </c>
      <c r="O450" s="2" t="str">
        <f t="shared" ref="O450:O513" si="35" xml:space="preserve"> TEXT(B450,"MM-YYYY")</f>
        <v>10-2024</v>
      </c>
      <c r="P450" t="str">
        <f t="shared" ref="P450:P513" si="36">TEXT(B450,"YYYY")</f>
        <v>2024</v>
      </c>
      <c r="Q450" s="6">
        <f t="shared" ref="Q450:Q513" si="37">IFERROR(L450/I450,0)</f>
        <v>0.19614218390384683</v>
      </c>
      <c r="R450" t="str">
        <f t="shared" ref="R450:R513" si="38">IF(L450&gt;0,"Profit","Loss")</f>
        <v>Profit</v>
      </c>
      <c r="S450" t="str">
        <f t="shared" ref="S450:S513" si="39">IF(K450=0,"No Discount",IF(K450&lt;=10,"Low (1-10%)",IF(K450&lt;=20,"Mid (11-20%)","High (&gt;20%)")))</f>
        <v>Low (1-10%)</v>
      </c>
    </row>
    <row r="451" spans="1:19" x14ac:dyDescent="0.3">
      <c r="A451" s="3" t="s">
        <v>531</v>
      </c>
      <c r="B451" s="2">
        <v>45720</v>
      </c>
      <c r="C451" s="3" t="s">
        <v>73</v>
      </c>
      <c r="D451" s="3" t="s">
        <v>56</v>
      </c>
      <c r="E451" s="3" t="s">
        <v>61</v>
      </c>
      <c r="F451" s="3" t="s">
        <v>32</v>
      </c>
      <c r="G451" s="3" t="s">
        <v>33</v>
      </c>
      <c r="H451" s="3" t="s">
        <v>34</v>
      </c>
      <c r="I451" s="5">
        <v>6749.25</v>
      </c>
      <c r="J451" s="4">
        <v>5</v>
      </c>
      <c r="K451" s="1">
        <v>23</v>
      </c>
      <c r="L451" s="4">
        <v>824.83</v>
      </c>
      <c r="M451" s="3" t="s">
        <v>21</v>
      </c>
      <c r="N451" s="3" t="s">
        <v>44</v>
      </c>
      <c r="O451" s="2" t="str">
        <f t="shared" si="35"/>
        <v>03-2025</v>
      </c>
      <c r="P451" t="str">
        <f t="shared" si="36"/>
        <v>2025</v>
      </c>
      <c r="Q451" s="6">
        <f t="shared" si="37"/>
        <v>0.12221061599436975</v>
      </c>
      <c r="R451" t="str">
        <f t="shared" si="38"/>
        <v>Profit</v>
      </c>
      <c r="S451" t="str">
        <f t="shared" si="39"/>
        <v>High (&gt;20%)</v>
      </c>
    </row>
    <row r="452" spans="1:19" x14ac:dyDescent="0.3">
      <c r="A452" s="3" t="s">
        <v>532</v>
      </c>
      <c r="B452" s="2">
        <v>45718</v>
      </c>
      <c r="C452" s="3" t="s">
        <v>50</v>
      </c>
      <c r="D452" s="3" t="s">
        <v>89</v>
      </c>
      <c r="E452" s="3" t="s">
        <v>116</v>
      </c>
      <c r="F452" s="3" t="s">
        <v>32</v>
      </c>
      <c r="G452" s="3" t="s">
        <v>112</v>
      </c>
      <c r="H452" s="3" t="s">
        <v>113</v>
      </c>
      <c r="I452" s="5">
        <v>2614.7199999999998</v>
      </c>
      <c r="J452" s="4">
        <v>4</v>
      </c>
      <c r="K452" s="1">
        <v>22</v>
      </c>
      <c r="L452" s="4">
        <v>410.09</v>
      </c>
      <c r="M452" s="3" t="s">
        <v>21</v>
      </c>
      <c r="N452" s="3" t="s">
        <v>22</v>
      </c>
      <c r="O452" s="2" t="str">
        <f t="shared" si="35"/>
        <v>03-2025</v>
      </c>
      <c r="P452" t="str">
        <f t="shared" si="36"/>
        <v>2025</v>
      </c>
      <c r="Q452" s="6">
        <f t="shared" si="37"/>
        <v>0.156838973197895</v>
      </c>
      <c r="R452" t="str">
        <f t="shared" si="38"/>
        <v>Profit</v>
      </c>
      <c r="S452" t="str">
        <f t="shared" si="39"/>
        <v>High (&gt;20%)</v>
      </c>
    </row>
    <row r="453" spans="1:19" x14ac:dyDescent="0.3">
      <c r="A453" s="3" t="s">
        <v>533</v>
      </c>
      <c r="B453" s="2">
        <v>45753</v>
      </c>
      <c r="C453" s="3" t="s">
        <v>84</v>
      </c>
      <c r="D453" s="3" t="s">
        <v>38</v>
      </c>
      <c r="E453" s="3" t="s">
        <v>53</v>
      </c>
      <c r="F453" s="3" t="s">
        <v>32</v>
      </c>
      <c r="G453" s="3" t="s">
        <v>112</v>
      </c>
      <c r="H453" s="3" t="s">
        <v>113</v>
      </c>
      <c r="I453" s="5">
        <v>6753.56</v>
      </c>
      <c r="J453" s="4">
        <v>4</v>
      </c>
      <c r="K453" s="1">
        <v>20</v>
      </c>
      <c r="L453" s="4">
        <v>472.39</v>
      </c>
      <c r="M453" s="3" t="s">
        <v>28</v>
      </c>
      <c r="N453" s="3" t="s">
        <v>22</v>
      </c>
      <c r="O453" s="2" t="str">
        <f t="shared" si="35"/>
        <v>04-2025</v>
      </c>
      <c r="P453" t="str">
        <f t="shared" si="36"/>
        <v>2025</v>
      </c>
      <c r="Q453" s="6">
        <f t="shared" si="37"/>
        <v>6.9946813236278341E-2</v>
      </c>
      <c r="R453" t="str">
        <f t="shared" si="38"/>
        <v>Profit</v>
      </c>
      <c r="S453" t="str">
        <f t="shared" si="39"/>
        <v>Mid (11-20%)</v>
      </c>
    </row>
    <row r="454" spans="1:19" x14ac:dyDescent="0.3">
      <c r="A454" s="3" t="s">
        <v>534</v>
      </c>
      <c r="B454" s="2">
        <v>45552</v>
      </c>
      <c r="C454" s="3" t="s">
        <v>70</v>
      </c>
      <c r="D454" s="3" t="s">
        <v>38</v>
      </c>
      <c r="E454" s="3" t="s">
        <v>53</v>
      </c>
      <c r="F454" s="3" t="s">
        <v>18</v>
      </c>
      <c r="G454" s="3" t="s">
        <v>94</v>
      </c>
      <c r="H454" s="3" t="s">
        <v>95</v>
      </c>
      <c r="I454" s="5">
        <v>6772.96</v>
      </c>
      <c r="J454" s="4">
        <v>4</v>
      </c>
      <c r="K454" s="1">
        <v>16</v>
      </c>
      <c r="L454" s="4">
        <v>798.98</v>
      </c>
      <c r="M454" s="3" t="s">
        <v>28</v>
      </c>
      <c r="N454" s="3" t="s">
        <v>40</v>
      </c>
      <c r="O454" s="2" t="str">
        <f t="shared" si="35"/>
        <v>09-2024</v>
      </c>
      <c r="P454" t="str">
        <f t="shared" si="36"/>
        <v>2024</v>
      </c>
      <c r="Q454" s="6">
        <f t="shared" si="37"/>
        <v>0.11796614774042664</v>
      </c>
      <c r="R454" t="str">
        <f t="shared" si="38"/>
        <v>Profit</v>
      </c>
      <c r="S454" t="str">
        <f t="shared" si="39"/>
        <v>Mid (11-20%)</v>
      </c>
    </row>
    <row r="455" spans="1:19" x14ac:dyDescent="0.3">
      <c r="A455" s="3" t="s">
        <v>535</v>
      </c>
      <c r="B455" s="2">
        <v>45470</v>
      </c>
      <c r="C455" s="3" t="s">
        <v>133</v>
      </c>
      <c r="D455" s="3" t="s">
        <v>56</v>
      </c>
      <c r="E455" s="3" t="s">
        <v>57</v>
      </c>
      <c r="F455" s="3" t="s">
        <v>32</v>
      </c>
      <c r="G455" s="3" t="s">
        <v>112</v>
      </c>
      <c r="H455" s="3" t="s">
        <v>113</v>
      </c>
      <c r="I455" s="5">
        <v>10265.58</v>
      </c>
      <c r="J455" s="4">
        <v>6</v>
      </c>
      <c r="K455" s="1">
        <v>29</v>
      </c>
      <c r="L455" s="4">
        <v>798.1</v>
      </c>
      <c r="M455" s="3" t="s">
        <v>28</v>
      </c>
      <c r="N455" s="3" t="s">
        <v>44</v>
      </c>
      <c r="O455" s="2" t="str">
        <f t="shared" si="35"/>
        <v>06-2024</v>
      </c>
      <c r="P455" t="str">
        <f t="shared" si="36"/>
        <v>2024</v>
      </c>
      <c r="Q455" s="6">
        <f t="shared" si="37"/>
        <v>7.7745241866509246E-2</v>
      </c>
      <c r="R455" t="str">
        <f t="shared" si="38"/>
        <v>Profit</v>
      </c>
      <c r="S455" t="str">
        <f t="shared" si="39"/>
        <v>High (&gt;20%)</v>
      </c>
    </row>
    <row r="456" spans="1:19" x14ac:dyDescent="0.3">
      <c r="A456" s="3" t="s">
        <v>536</v>
      </c>
      <c r="B456" s="2">
        <v>45667</v>
      </c>
      <c r="C456" s="3" t="s">
        <v>50</v>
      </c>
      <c r="D456" s="3" t="s">
        <v>16</v>
      </c>
      <c r="E456" s="3" t="s">
        <v>31</v>
      </c>
      <c r="F456" s="3" t="s">
        <v>32</v>
      </c>
      <c r="G456" s="3" t="s">
        <v>58</v>
      </c>
      <c r="H456" s="3" t="s">
        <v>59</v>
      </c>
      <c r="I456" s="5">
        <v>11289.6</v>
      </c>
      <c r="J456" s="4">
        <v>7</v>
      </c>
      <c r="K456" s="1">
        <v>10</v>
      </c>
      <c r="L456" s="4">
        <v>2079.86</v>
      </c>
      <c r="M456" s="3" t="s">
        <v>28</v>
      </c>
      <c r="N456" s="3" t="s">
        <v>35</v>
      </c>
      <c r="O456" s="2" t="str">
        <f t="shared" si="35"/>
        <v>01-2025</v>
      </c>
      <c r="P456" t="str">
        <f t="shared" si="36"/>
        <v>2025</v>
      </c>
      <c r="Q456" s="6">
        <f t="shared" si="37"/>
        <v>0.1842279620181406</v>
      </c>
      <c r="R456" t="str">
        <f t="shared" si="38"/>
        <v>Profit</v>
      </c>
      <c r="S456" t="str">
        <f t="shared" si="39"/>
        <v>Low (1-10%)</v>
      </c>
    </row>
    <row r="457" spans="1:19" x14ac:dyDescent="0.3">
      <c r="A457" s="3" t="s">
        <v>537</v>
      </c>
      <c r="B457" s="2">
        <v>45778</v>
      </c>
      <c r="C457" s="3" t="s">
        <v>30</v>
      </c>
      <c r="D457" s="3" t="s">
        <v>38</v>
      </c>
      <c r="E457" s="3" t="s">
        <v>39</v>
      </c>
      <c r="F457" s="3" t="s">
        <v>18</v>
      </c>
      <c r="G457" s="3" t="s">
        <v>94</v>
      </c>
      <c r="H457" s="3" t="s">
        <v>95</v>
      </c>
      <c r="I457" s="5">
        <v>3249.63</v>
      </c>
      <c r="J457" s="4">
        <v>3</v>
      </c>
      <c r="K457" s="1">
        <v>6</v>
      </c>
      <c r="L457" s="4">
        <v>499.06</v>
      </c>
      <c r="M457" s="3" t="s">
        <v>51</v>
      </c>
      <c r="N457" s="3" t="s">
        <v>22</v>
      </c>
      <c r="O457" s="2" t="str">
        <f t="shared" si="35"/>
        <v>05-2025</v>
      </c>
      <c r="P457" t="str">
        <f t="shared" si="36"/>
        <v>2025</v>
      </c>
      <c r="Q457" s="6">
        <f t="shared" si="37"/>
        <v>0.15357440693248153</v>
      </c>
      <c r="R457" t="str">
        <f t="shared" si="38"/>
        <v>Profit</v>
      </c>
      <c r="S457" t="str">
        <f t="shared" si="39"/>
        <v>Low (1-10%)</v>
      </c>
    </row>
    <row r="458" spans="1:19" x14ac:dyDescent="0.3">
      <c r="A458" s="3" t="s">
        <v>538</v>
      </c>
      <c r="B458" s="2">
        <v>45449</v>
      </c>
      <c r="C458" s="3" t="s">
        <v>70</v>
      </c>
      <c r="D458" s="3" t="s">
        <v>56</v>
      </c>
      <c r="E458" s="3" t="s">
        <v>61</v>
      </c>
      <c r="F458" s="3" t="s">
        <v>18</v>
      </c>
      <c r="G458" s="3" t="s">
        <v>19</v>
      </c>
      <c r="H458" s="3" t="s">
        <v>20</v>
      </c>
      <c r="I458" s="5">
        <v>1781.29</v>
      </c>
      <c r="J458" s="4">
        <v>1</v>
      </c>
      <c r="K458" s="1">
        <v>15</v>
      </c>
      <c r="L458" s="4">
        <v>185.71</v>
      </c>
      <c r="M458" s="3" t="s">
        <v>21</v>
      </c>
      <c r="N458" s="3" t="s">
        <v>40</v>
      </c>
      <c r="O458" s="2" t="str">
        <f t="shared" si="35"/>
        <v>06-2024</v>
      </c>
      <c r="P458" t="str">
        <f t="shared" si="36"/>
        <v>2024</v>
      </c>
      <c r="Q458" s="6">
        <f t="shared" si="37"/>
        <v>0.10425590442881283</v>
      </c>
      <c r="R458" t="str">
        <f t="shared" si="38"/>
        <v>Profit</v>
      </c>
      <c r="S458" t="str">
        <f t="shared" si="39"/>
        <v>Mid (11-20%)</v>
      </c>
    </row>
    <row r="459" spans="1:19" x14ac:dyDescent="0.3">
      <c r="A459" s="3" t="s">
        <v>539</v>
      </c>
      <c r="B459" s="2">
        <v>45426</v>
      </c>
      <c r="C459" s="3" t="s">
        <v>15</v>
      </c>
      <c r="D459" s="3" t="s">
        <v>16</v>
      </c>
      <c r="E459" s="3" t="s">
        <v>17</v>
      </c>
      <c r="F459" s="3" t="s">
        <v>32</v>
      </c>
      <c r="G459" s="3" t="s">
        <v>112</v>
      </c>
      <c r="H459" s="3" t="s">
        <v>113</v>
      </c>
      <c r="I459" s="5">
        <v>6193.14</v>
      </c>
      <c r="J459" s="4">
        <v>6</v>
      </c>
      <c r="K459" s="1">
        <v>13</v>
      </c>
      <c r="L459" s="4">
        <v>809.53</v>
      </c>
      <c r="M459" s="3" t="s">
        <v>21</v>
      </c>
      <c r="N459" s="3" t="s">
        <v>22</v>
      </c>
      <c r="O459" s="2" t="str">
        <f t="shared" si="35"/>
        <v>05-2024</v>
      </c>
      <c r="P459" t="str">
        <f t="shared" si="36"/>
        <v>2024</v>
      </c>
      <c r="Q459" s="6">
        <f t="shared" si="37"/>
        <v>0.13071398353662278</v>
      </c>
      <c r="R459" t="str">
        <f t="shared" si="38"/>
        <v>Profit</v>
      </c>
      <c r="S459" t="str">
        <f t="shared" si="39"/>
        <v>Mid (11-20%)</v>
      </c>
    </row>
    <row r="460" spans="1:19" x14ac:dyDescent="0.3">
      <c r="A460" s="3" t="s">
        <v>540</v>
      </c>
      <c r="B460" s="2">
        <v>45578</v>
      </c>
      <c r="C460" s="3" t="s">
        <v>99</v>
      </c>
      <c r="D460" s="3" t="s">
        <v>38</v>
      </c>
      <c r="E460" s="3" t="s">
        <v>53</v>
      </c>
      <c r="F460" s="3" t="s">
        <v>32</v>
      </c>
      <c r="G460" s="3" t="s">
        <v>112</v>
      </c>
      <c r="H460" s="3" t="s">
        <v>113</v>
      </c>
      <c r="I460" s="5">
        <v>2979.78</v>
      </c>
      <c r="J460" s="4">
        <v>3</v>
      </c>
      <c r="K460" s="1">
        <v>2</v>
      </c>
      <c r="L460" s="4">
        <v>632.73</v>
      </c>
      <c r="M460" s="3" t="s">
        <v>28</v>
      </c>
      <c r="N460" s="3" t="s">
        <v>40</v>
      </c>
      <c r="O460" s="2" t="str">
        <f t="shared" si="35"/>
        <v>10-2024</v>
      </c>
      <c r="P460" t="str">
        <f t="shared" si="36"/>
        <v>2024</v>
      </c>
      <c r="Q460" s="6">
        <f t="shared" si="37"/>
        <v>0.21234117955016812</v>
      </c>
      <c r="R460" t="str">
        <f t="shared" si="38"/>
        <v>Profit</v>
      </c>
      <c r="S460" t="str">
        <f t="shared" si="39"/>
        <v>Low (1-10%)</v>
      </c>
    </row>
    <row r="461" spans="1:19" x14ac:dyDescent="0.3">
      <c r="A461" s="3" t="s">
        <v>541</v>
      </c>
      <c r="B461" s="2">
        <v>45626</v>
      </c>
      <c r="C461" s="3" t="s">
        <v>15</v>
      </c>
      <c r="D461" s="3" t="s">
        <v>89</v>
      </c>
      <c r="E461" s="3" t="s">
        <v>116</v>
      </c>
      <c r="F461" s="3" t="s">
        <v>62</v>
      </c>
      <c r="G461" s="3" t="s">
        <v>63</v>
      </c>
      <c r="H461" s="3" t="s">
        <v>64</v>
      </c>
      <c r="I461" s="5">
        <v>1562.9</v>
      </c>
      <c r="J461" s="4">
        <v>1</v>
      </c>
      <c r="K461" s="1">
        <v>11</v>
      </c>
      <c r="L461" s="4">
        <v>226.19</v>
      </c>
      <c r="M461" s="3" t="s">
        <v>21</v>
      </c>
      <c r="N461" s="3" t="s">
        <v>40</v>
      </c>
      <c r="O461" s="2" t="str">
        <f t="shared" si="35"/>
        <v>11-2024</v>
      </c>
      <c r="P461" t="str">
        <f t="shared" si="36"/>
        <v>2024</v>
      </c>
      <c r="Q461" s="6">
        <f t="shared" si="37"/>
        <v>0.14472455051506813</v>
      </c>
      <c r="R461" t="str">
        <f t="shared" si="38"/>
        <v>Profit</v>
      </c>
      <c r="S461" t="str">
        <f t="shared" si="39"/>
        <v>Mid (11-20%)</v>
      </c>
    </row>
    <row r="462" spans="1:19" x14ac:dyDescent="0.3">
      <c r="A462" s="3" t="s">
        <v>542</v>
      </c>
      <c r="B462" s="2">
        <v>45757</v>
      </c>
      <c r="C462" s="3" t="s">
        <v>99</v>
      </c>
      <c r="D462" s="3" t="s">
        <v>89</v>
      </c>
      <c r="E462" s="3" t="s">
        <v>102</v>
      </c>
      <c r="F462" s="3" t="s">
        <v>18</v>
      </c>
      <c r="G462" s="3" t="s">
        <v>19</v>
      </c>
      <c r="H462" s="3" t="s">
        <v>20</v>
      </c>
      <c r="I462" s="5">
        <v>11724.48</v>
      </c>
      <c r="J462" s="4">
        <v>8</v>
      </c>
      <c r="K462" s="1">
        <v>21</v>
      </c>
      <c r="L462" s="4">
        <v>824.02</v>
      </c>
      <c r="M462" s="3" t="s">
        <v>51</v>
      </c>
      <c r="N462" s="3" t="s">
        <v>35</v>
      </c>
      <c r="O462" s="2" t="str">
        <f t="shared" si="35"/>
        <v>04-2025</v>
      </c>
      <c r="P462" t="str">
        <f t="shared" si="36"/>
        <v>2025</v>
      </c>
      <c r="Q462" s="6">
        <f t="shared" si="37"/>
        <v>7.0282008242583044E-2</v>
      </c>
      <c r="R462" t="str">
        <f t="shared" si="38"/>
        <v>Profit</v>
      </c>
      <c r="S462" t="str">
        <f t="shared" si="39"/>
        <v>High (&gt;20%)</v>
      </c>
    </row>
    <row r="463" spans="1:19" x14ac:dyDescent="0.3">
      <c r="A463" s="3" t="s">
        <v>543</v>
      </c>
      <c r="B463" s="2">
        <v>45765</v>
      </c>
      <c r="C463" s="3" t="s">
        <v>37</v>
      </c>
      <c r="D463" s="3" t="s">
        <v>89</v>
      </c>
      <c r="E463" s="3" t="s">
        <v>90</v>
      </c>
      <c r="F463" s="3" t="s">
        <v>32</v>
      </c>
      <c r="G463" s="3" t="s">
        <v>33</v>
      </c>
      <c r="H463" s="3" t="s">
        <v>34</v>
      </c>
      <c r="I463" s="5">
        <v>6873.28</v>
      </c>
      <c r="J463" s="4">
        <v>8</v>
      </c>
      <c r="K463" s="1">
        <v>5</v>
      </c>
      <c r="L463" s="4">
        <v>942.15</v>
      </c>
      <c r="M463" s="3" t="s">
        <v>21</v>
      </c>
      <c r="N463" s="3" t="s">
        <v>40</v>
      </c>
      <c r="O463" s="2" t="str">
        <f t="shared" si="35"/>
        <v>04-2025</v>
      </c>
      <c r="P463" t="str">
        <f t="shared" si="36"/>
        <v>2025</v>
      </c>
      <c r="Q463" s="6">
        <f t="shared" si="37"/>
        <v>0.1370742934959728</v>
      </c>
      <c r="R463" t="str">
        <f t="shared" si="38"/>
        <v>Profit</v>
      </c>
      <c r="S463" t="str">
        <f t="shared" si="39"/>
        <v>Low (1-10%)</v>
      </c>
    </row>
    <row r="464" spans="1:19" x14ac:dyDescent="0.3">
      <c r="A464" s="3" t="s">
        <v>544</v>
      </c>
      <c r="B464" s="2">
        <v>45654</v>
      </c>
      <c r="C464" s="3" t="s">
        <v>15</v>
      </c>
      <c r="D464" s="3" t="s">
        <v>38</v>
      </c>
      <c r="E464" s="3" t="s">
        <v>43</v>
      </c>
      <c r="F464" s="3" t="s">
        <v>62</v>
      </c>
      <c r="G464" s="3" t="s">
        <v>80</v>
      </c>
      <c r="H464" s="3" t="s">
        <v>81</v>
      </c>
      <c r="I464" s="5">
        <v>19101.599999999999</v>
      </c>
      <c r="J464" s="4">
        <v>10</v>
      </c>
      <c r="K464" s="1">
        <v>15</v>
      </c>
      <c r="L464" s="4">
        <v>3452.88</v>
      </c>
      <c r="M464" s="3" t="s">
        <v>51</v>
      </c>
      <c r="N464" s="3" t="s">
        <v>35</v>
      </c>
      <c r="O464" s="2" t="str">
        <f t="shared" si="35"/>
        <v>12-2024</v>
      </c>
      <c r="P464" t="str">
        <f t="shared" si="36"/>
        <v>2024</v>
      </c>
      <c r="Q464" s="6">
        <f t="shared" si="37"/>
        <v>0.18076391506470665</v>
      </c>
      <c r="R464" t="str">
        <f t="shared" si="38"/>
        <v>Profit</v>
      </c>
      <c r="S464" t="str">
        <f t="shared" si="39"/>
        <v>Mid (11-20%)</v>
      </c>
    </row>
    <row r="465" spans="1:19" x14ac:dyDescent="0.3">
      <c r="A465" s="3" t="s">
        <v>545</v>
      </c>
      <c r="B465" s="2">
        <v>45730</v>
      </c>
      <c r="C465" s="3" t="s">
        <v>30</v>
      </c>
      <c r="D465" s="3" t="s">
        <v>56</v>
      </c>
      <c r="E465" s="3" t="s">
        <v>108</v>
      </c>
      <c r="F465" s="3" t="s">
        <v>32</v>
      </c>
      <c r="G465" s="3" t="s">
        <v>112</v>
      </c>
      <c r="H465" s="3" t="s">
        <v>113</v>
      </c>
      <c r="I465" s="5">
        <v>1723.88</v>
      </c>
      <c r="J465" s="4">
        <v>1</v>
      </c>
      <c r="K465" s="1">
        <v>12</v>
      </c>
      <c r="L465" s="4">
        <v>216.23</v>
      </c>
      <c r="M465" s="3" t="s">
        <v>28</v>
      </c>
      <c r="N465" s="3" t="s">
        <v>44</v>
      </c>
      <c r="O465" s="2" t="str">
        <f t="shared" si="35"/>
        <v>03-2025</v>
      </c>
      <c r="P465" t="str">
        <f t="shared" si="36"/>
        <v>2025</v>
      </c>
      <c r="Q465" s="6">
        <f t="shared" si="37"/>
        <v>0.12543216465183191</v>
      </c>
      <c r="R465" t="str">
        <f t="shared" si="38"/>
        <v>Profit</v>
      </c>
      <c r="S465" t="str">
        <f t="shared" si="39"/>
        <v>Mid (11-20%)</v>
      </c>
    </row>
    <row r="466" spans="1:19" x14ac:dyDescent="0.3">
      <c r="A466" s="3" t="s">
        <v>546</v>
      </c>
      <c r="B466" s="2">
        <v>45774</v>
      </c>
      <c r="C466" s="3" t="s">
        <v>15</v>
      </c>
      <c r="D466" s="3" t="s">
        <v>38</v>
      </c>
      <c r="E466" s="3" t="s">
        <v>53</v>
      </c>
      <c r="F466" s="3" t="s">
        <v>18</v>
      </c>
      <c r="G466" s="3" t="s">
        <v>76</v>
      </c>
      <c r="H466" s="3" t="s">
        <v>77</v>
      </c>
      <c r="I466" s="5">
        <v>4581</v>
      </c>
      <c r="J466" s="4">
        <v>10</v>
      </c>
      <c r="K466" s="1">
        <v>28</v>
      </c>
      <c r="L466" s="4">
        <v>287.27</v>
      </c>
      <c r="M466" s="3" t="s">
        <v>21</v>
      </c>
      <c r="N466" s="3" t="s">
        <v>35</v>
      </c>
      <c r="O466" s="2" t="str">
        <f t="shared" si="35"/>
        <v>04-2025</v>
      </c>
      <c r="P466" t="str">
        <f t="shared" si="36"/>
        <v>2025</v>
      </c>
      <c r="Q466" s="6">
        <f t="shared" si="37"/>
        <v>6.2709015498799384E-2</v>
      </c>
      <c r="R466" t="str">
        <f t="shared" si="38"/>
        <v>Profit</v>
      </c>
      <c r="S466" t="str">
        <f t="shared" si="39"/>
        <v>High (&gt;20%)</v>
      </c>
    </row>
    <row r="467" spans="1:19" x14ac:dyDescent="0.3">
      <c r="A467" s="3" t="s">
        <v>547</v>
      </c>
      <c r="B467" s="2">
        <v>45587</v>
      </c>
      <c r="C467" s="3" t="s">
        <v>75</v>
      </c>
      <c r="D467" s="3" t="s">
        <v>16</v>
      </c>
      <c r="E467" s="3" t="s">
        <v>17</v>
      </c>
      <c r="F467" s="3" t="s">
        <v>62</v>
      </c>
      <c r="G467" s="3" t="s">
        <v>67</v>
      </c>
      <c r="H467" s="3" t="s">
        <v>68</v>
      </c>
      <c r="I467" s="5">
        <v>3902.22</v>
      </c>
      <c r="J467" s="4">
        <v>6</v>
      </c>
      <c r="K467" s="1">
        <v>3</v>
      </c>
      <c r="L467" s="4">
        <v>863.68</v>
      </c>
      <c r="M467" s="3" t="s">
        <v>21</v>
      </c>
      <c r="N467" s="3" t="s">
        <v>22</v>
      </c>
      <c r="O467" s="2" t="str">
        <f t="shared" si="35"/>
        <v>10-2024</v>
      </c>
      <c r="P467" t="str">
        <f t="shared" si="36"/>
        <v>2024</v>
      </c>
      <c r="Q467" s="6">
        <f t="shared" si="37"/>
        <v>0.22133042216994428</v>
      </c>
      <c r="R467" t="str">
        <f t="shared" si="38"/>
        <v>Profit</v>
      </c>
      <c r="S467" t="str">
        <f t="shared" si="39"/>
        <v>Low (1-10%)</v>
      </c>
    </row>
    <row r="468" spans="1:19" x14ac:dyDescent="0.3">
      <c r="A468" s="3" t="s">
        <v>548</v>
      </c>
      <c r="B468" s="2">
        <v>45707</v>
      </c>
      <c r="C468" s="3" t="s">
        <v>15</v>
      </c>
      <c r="D468" s="3" t="s">
        <v>38</v>
      </c>
      <c r="E468" s="3" t="s">
        <v>39</v>
      </c>
      <c r="F468" s="3" t="s">
        <v>32</v>
      </c>
      <c r="G468" s="3" t="s">
        <v>33</v>
      </c>
      <c r="H468" s="3" t="s">
        <v>34</v>
      </c>
      <c r="I468" s="5">
        <v>1888.88</v>
      </c>
      <c r="J468" s="4">
        <v>7</v>
      </c>
      <c r="K468" s="1">
        <v>0</v>
      </c>
      <c r="L468" s="4">
        <v>304.52</v>
      </c>
      <c r="M468" s="3" t="s">
        <v>28</v>
      </c>
      <c r="N468" s="3" t="s">
        <v>44</v>
      </c>
      <c r="O468" s="2" t="str">
        <f t="shared" si="35"/>
        <v>02-2025</v>
      </c>
      <c r="P468" t="str">
        <f t="shared" si="36"/>
        <v>2025</v>
      </c>
      <c r="Q468" s="6">
        <f t="shared" si="37"/>
        <v>0.16121722925754942</v>
      </c>
      <c r="R468" t="str">
        <f t="shared" si="38"/>
        <v>Profit</v>
      </c>
      <c r="S468" t="str">
        <f t="shared" si="39"/>
        <v>No Discount</v>
      </c>
    </row>
    <row r="469" spans="1:19" x14ac:dyDescent="0.3">
      <c r="A469" s="3" t="s">
        <v>549</v>
      </c>
      <c r="B469" s="2">
        <v>45770</v>
      </c>
      <c r="C469" s="3" t="s">
        <v>42</v>
      </c>
      <c r="D469" s="3" t="s">
        <v>16</v>
      </c>
      <c r="E469" s="3" t="s">
        <v>31</v>
      </c>
      <c r="F469" s="3" t="s">
        <v>18</v>
      </c>
      <c r="G469" s="3" t="s">
        <v>76</v>
      </c>
      <c r="H469" s="3" t="s">
        <v>77</v>
      </c>
      <c r="I469" s="5">
        <v>1120.5899999999999</v>
      </c>
      <c r="J469" s="4">
        <v>9</v>
      </c>
      <c r="K469" s="1">
        <v>16</v>
      </c>
      <c r="L469" s="4">
        <v>102.41</v>
      </c>
      <c r="M469" s="3" t="s">
        <v>28</v>
      </c>
      <c r="N469" s="3" t="s">
        <v>22</v>
      </c>
      <c r="O469" s="2" t="str">
        <f t="shared" si="35"/>
        <v>04-2025</v>
      </c>
      <c r="P469" t="str">
        <f t="shared" si="36"/>
        <v>2025</v>
      </c>
      <c r="Q469" s="6">
        <f t="shared" si="37"/>
        <v>9.1389357392088102E-2</v>
      </c>
      <c r="R469" t="str">
        <f t="shared" si="38"/>
        <v>Profit</v>
      </c>
      <c r="S469" t="str">
        <f t="shared" si="39"/>
        <v>Mid (11-20%)</v>
      </c>
    </row>
    <row r="470" spans="1:19" x14ac:dyDescent="0.3">
      <c r="A470" s="3" t="s">
        <v>550</v>
      </c>
      <c r="B470" s="2">
        <v>45611</v>
      </c>
      <c r="C470" s="3" t="s">
        <v>37</v>
      </c>
      <c r="D470" s="3" t="s">
        <v>56</v>
      </c>
      <c r="E470" s="3" t="s">
        <v>108</v>
      </c>
      <c r="F470" s="3" t="s">
        <v>32</v>
      </c>
      <c r="G470" s="3" t="s">
        <v>112</v>
      </c>
      <c r="H470" s="3" t="s">
        <v>113</v>
      </c>
      <c r="I470" s="5">
        <v>3132.08</v>
      </c>
      <c r="J470" s="4">
        <v>7</v>
      </c>
      <c r="K470" s="1">
        <v>7.0000000000000009</v>
      </c>
      <c r="L470" s="4">
        <v>669.01</v>
      </c>
      <c r="M470" s="3" t="s">
        <v>51</v>
      </c>
      <c r="N470" s="3" t="s">
        <v>44</v>
      </c>
      <c r="O470" s="2" t="str">
        <f t="shared" si="35"/>
        <v>11-2024</v>
      </c>
      <c r="P470" t="str">
        <f t="shared" si="36"/>
        <v>2024</v>
      </c>
      <c r="Q470" s="6">
        <f t="shared" si="37"/>
        <v>0.21359926949503205</v>
      </c>
      <c r="R470" t="str">
        <f t="shared" si="38"/>
        <v>Profit</v>
      </c>
      <c r="S470" t="str">
        <f t="shared" si="39"/>
        <v>Low (1-10%)</v>
      </c>
    </row>
    <row r="471" spans="1:19" x14ac:dyDescent="0.3">
      <c r="A471" s="3" t="s">
        <v>551</v>
      </c>
      <c r="B471" s="2">
        <v>45498</v>
      </c>
      <c r="C471" s="3" t="s">
        <v>99</v>
      </c>
      <c r="D471" s="3" t="s">
        <v>56</v>
      </c>
      <c r="E471" s="3" t="s">
        <v>57</v>
      </c>
      <c r="F471" s="3" t="s">
        <v>18</v>
      </c>
      <c r="G471" s="3" t="s">
        <v>19</v>
      </c>
      <c r="H471" s="3" t="s">
        <v>20</v>
      </c>
      <c r="I471" s="5">
        <v>2402.8000000000002</v>
      </c>
      <c r="J471" s="4">
        <v>10</v>
      </c>
      <c r="K471" s="1">
        <v>19</v>
      </c>
      <c r="L471" s="4">
        <v>191.63</v>
      </c>
      <c r="M471" s="3" t="s">
        <v>28</v>
      </c>
      <c r="N471" s="3" t="s">
        <v>35</v>
      </c>
      <c r="O471" s="2" t="str">
        <f t="shared" si="35"/>
        <v>07-2024</v>
      </c>
      <c r="P471" t="str">
        <f t="shared" si="36"/>
        <v>2024</v>
      </c>
      <c r="Q471" s="6">
        <f t="shared" si="37"/>
        <v>7.9752788413517559E-2</v>
      </c>
      <c r="R471" t="str">
        <f t="shared" si="38"/>
        <v>Profit</v>
      </c>
      <c r="S471" t="str">
        <f t="shared" si="39"/>
        <v>Mid (11-20%)</v>
      </c>
    </row>
    <row r="472" spans="1:19" x14ac:dyDescent="0.3">
      <c r="A472" s="3" t="s">
        <v>552</v>
      </c>
      <c r="B472" s="2">
        <v>45763</v>
      </c>
      <c r="C472" s="3" t="s">
        <v>101</v>
      </c>
      <c r="D472" s="3" t="s">
        <v>89</v>
      </c>
      <c r="E472" s="3" t="s">
        <v>97</v>
      </c>
      <c r="F472" s="3" t="s">
        <v>62</v>
      </c>
      <c r="G472" s="3" t="s">
        <v>67</v>
      </c>
      <c r="H472" s="3" t="s">
        <v>68</v>
      </c>
      <c r="I472" s="5">
        <v>2426.02</v>
      </c>
      <c r="J472" s="4">
        <v>2</v>
      </c>
      <c r="K472" s="1">
        <v>27</v>
      </c>
      <c r="L472" s="4">
        <v>267.33</v>
      </c>
      <c r="M472" s="3" t="s">
        <v>51</v>
      </c>
      <c r="N472" s="3" t="s">
        <v>22</v>
      </c>
      <c r="O472" s="2" t="str">
        <f t="shared" si="35"/>
        <v>04-2025</v>
      </c>
      <c r="P472" t="str">
        <f t="shared" si="36"/>
        <v>2025</v>
      </c>
      <c r="Q472" s="6">
        <f t="shared" si="37"/>
        <v>0.11019282611025465</v>
      </c>
      <c r="R472" t="str">
        <f t="shared" si="38"/>
        <v>Profit</v>
      </c>
      <c r="S472" t="str">
        <f t="shared" si="39"/>
        <v>High (&gt;20%)</v>
      </c>
    </row>
    <row r="473" spans="1:19" x14ac:dyDescent="0.3">
      <c r="A473" s="3" t="s">
        <v>553</v>
      </c>
      <c r="B473" s="2">
        <v>45729</v>
      </c>
      <c r="C473" s="3" t="s">
        <v>133</v>
      </c>
      <c r="D473" s="3" t="s">
        <v>56</v>
      </c>
      <c r="E473" s="3" t="s">
        <v>61</v>
      </c>
      <c r="F473" s="3" t="s">
        <v>18</v>
      </c>
      <c r="G473" s="3" t="s">
        <v>26</v>
      </c>
      <c r="H473" s="3" t="s">
        <v>27</v>
      </c>
      <c r="I473" s="5">
        <v>2629.72</v>
      </c>
      <c r="J473" s="4">
        <v>2</v>
      </c>
      <c r="K473" s="1">
        <v>29</v>
      </c>
      <c r="L473" s="4">
        <v>430.2</v>
      </c>
      <c r="M473" s="3" t="s">
        <v>28</v>
      </c>
      <c r="N473" s="3" t="s">
        <v>40</v>
      </c>
      <c r="O473" s="2" t="str">
        <f t="shared" si="35"/>
        <v>03-2025</v>
      </c>
      <c r="P473" t="str">
        <f t="shared" si="36"/>
        <v>2025</v>
      </c>
      <c r="Q473" s="6">
        <f t="shared" si="37"/>
        <v>0.16359156107874603</v>
      </c>
      <c r="R473" t="str">
        <f t="shared" si="38"/>
        <v>Profit</v>
      </c>
      <c r="S473" t="str">
        <f t="shared" si="39"/>
        <v>High (&gt;20%)</v>
      </c>
    </row>
    <row r="474" spans="1:19" x14ac:dyDescent="0.3">
      <c r="A474" s="3" t="s">
        <v>554</v>
      </c>
      <c r="B474" s="2">
        <v>45656</v>
      </c>
      <c r="C474" s="3" t="s">
        <v>84</v>
      </c>
      <c r="D474" s="3" t="s">
        <v>38</v>
      </c>
      <c r="E474" s="3" t="s">
        <v>53</v>
      </c>
      <c r="F474" s="3" t="s">
        <v>32</v>
      </c>
      <c r="G474" s="3" t="s">
        <v>58</v>
      </c>
      <c r="H474" s="3" t="s">
        <v>59</v>
      </c>
      <c r="I474" s="5">
        <v>3678.78</v>
      </c>
      <c r="J474" s="4">
        <v>7</v>
      </c>
      <c r="K474" s="1">
        <v>28</v>
      </c>
      <c r="L474" s="4">
        <v>625.54999999999995</v>
      </c>
      <c r="M474" s="3" t="s">
        <v>28</v>
      </c>
      <c r="N474" s="3" t="s">
        <v>35</v>
      </c>
      <c r="O474" s="2" t="str">
        <f t="shared" si="35"/>
        <v>12-2024</v>
      </c>
      <c r="P474" t="str">
        <f t="shared" si="36"/>
        <v>2024</v>
      </c>
      <c r="Q474" s="6">
        <f t="shared" si="37"/>
        <v>0.1700427859235942</v>
      </c>
      <c r="R474" t="str">
        <f t="shared" si="38"/>
        <v>Profit</v>
      </c>
      <c r="S474" t="str">
        <f t="shared" si="39"/>
        <v>High (&gt;20%)</v>
      </c>
    </row>
    <row r="475" spans="1:19" x14ac:dyDescent="0.3">
      <c r="A475" s="3" t="s">
        <v>555</v>
      </c>
      <c r="B475" s="2">
        <v>45647</v>
      </c>
      <c r="C475" s="3" t="s">
        <v>75</v>
      </c>
      <c r="D475" s="3" t="s">
        <v>16</v>
      </c>
      <c r="E475" s="3" t="s">
        <v>17</v>
      </c>
      <c r="F475" s="3" t="s">
        <v>62</v>
      </c>
      <c r="G475" s="3" t="s">
        <v>80</v>
      </c>
      <c r="H475" s="3" t="s">
        <v>81</v>
      </c>
      <c r="I475" s="5">
        <v>6706</v>
      </c>
      <c r="J475" s="4">
        <v>7</v>
      </c>
      <c r="K475" s="1">
        <v>16</v>
      </c>
      <c r="L475" s="4">
        <v>1322.59</v>
      </c>
      <c r="M475" s="3" t="s">
        <v>28</v>
      </c>
      <c r="N475" s="3" t="s">
        <v>22</v>
      </c>
      <c r="O475" s="2" t="str">
        <f t="shared" si="35"/>
        <v>12-2024</v>
      </c>
      <c r="P475" t="str">
        <f t="shared" si="36"/>
        <v>2024</v>
      </c>
      <c r="Q475" s="6">
        <f t="shared" si="37"/>
        <v>0.19722487324783775</v>
      </c>
      <c r="R475" t="str">
        <f t="shared" si="38"/>
        <v>Profit</v>
      </c>
      <c r="S475" t="str">
        <f t="shared" si="39"/>
        <v>Mid (11-20%)</v>
      </c>
    </row>
    <row r="476" spans="1:19" x14ac:dyDescent="0.3">
      <c r="A476" s="3" t="s">
        <v>556</v>
      </c>
      <c r="B476" s="2">
        <v>45667</v>
      </c>
      <c r="C476" s="3" t="s">
        <v>15</v>
      </c>
      <c r="D476" s="3" t="s">
        <v>56</v>
      </c>
      <c r="E476" s="3" t="s">
        <v>61</v>
      </c>
      <c r="F476" s="3" t="s">
        <v>32</v>
      </c>
      <c r="G476" s="3" t="s">
        <v>47</v>
      </c>
      <c r="H476" s="3" t="s">
        <v>48</v>
      </c>
      <c r="I476" s="5">
        <v>11771.37</v>
      </c>
      <c r="J476" s="4">
        <v>9</v>
      </c>
      <c r="K476" s="1">
        <v>8</v>
      </c>
      <c r="L476" s="4">
        <v>554.23</v>
      </c>
      <c r="M476" s="3" t="s">
        <v>21</v>
      </c>
      <c r="N476" s="3" t="s">
        <v>40</v>
      </c>
      <c r="O476" s="2" t="str">
        <f t="shared" si="35"/>
        <v>01-2025</v>
      </c>
      <c r="P476" t="str">
        <f t="shared" si="36"/>
        <v>2025</v>
      </c>
      <c r="Q476" s="6">
        <f t="shared" si="37"/>
        <v>4.7082879902679127E-2</v>
      </c>
      <c r="R476" t="str">
        <f t="shared" si="38"/>
        <v>Profit</v>
      </c>
      <c r="S476" t="str">
        <f t="shared" si="39"/>
        <v>Low (1-10%)</v>
      </c>
    </row>
    <row r="477" spans="1:19" x14ac:dyDescent="0.3">
      <c r="A477" s="3" t="s">
        <v>557</v>
      </c>
      <c r="B477" s="2">
        <v>45540</v>
      </c>
      <c r="C477" s="3" t="s">
        <v>86</v>
      </c>
      <c r="D477" s="3" t="s">
        <v>56</v>
      </c>
      <c r="E477" s="3" t="s">
        <v>61</v>
      </c>
      <c r="F477" s="3" t="s">
        <v>18</v>
      </c>
      <c r="G477" s="3" t="s">
        <v>26</v>
      </c>
      <c r="H477" s="3" t="s">
        <v>27</v>
      </c>
      <c r="I477" s="5">
        <v>12484.64</v>
      </c>
      <c r="J477" s="4">
        <v>8</v>
      </c>
      <c r="K477" s="1">
        <v>23</v>
      </c>
      <c r="L477" s="4">
        <v>1533.35</v>
      </c>
      <c r="M477" s="3" t="s">
        <v>51</v>
      </c>
      <c r="N477" s="3" t="s">
        <v>44</v>
      </c>
      <c r="O477" s="2" t="str">
        <f t="shared" si="35"/>
        <v>09-2024</v>
      </c>
      <c r="P477" t="str">
        <f t="shared" si="36"/>
        <v>2024</v>
      </c>
      <c r="Q477" s="6">
        <f t="shared" si="37"/>
        <v>0.1228189198887593</v>
      </c>
      <c r="R477" t="str">
        <f t="shared" si="38"/>
        <v>Profit</v>
      </c>
      <c r="S477" t="str">
        <f t="shared" si="39"/>
        <v>High (&gt;20%)</v>
      </c>
    </row>
    <row r="478" spans="1:19" x14ac:dyDescent="0.3">
      <c r="A478" s="3" t="s">
        <v>558</v>
      </c>
      <c r="B478" s="2">
        <v>45530</v>
      </c>
      <c r="C478" s="3" t="s">
        <v>75</v>
      </c>
      <c r="D478" s="3" t="s">
        <v>89</v>
      </c>
      <c r="E478" s="3" t="s">
        <v>97</v>
      </c>
      <c r="F478" s="3" t="s">
        <v>32</v>
      </c>
      <c r="G478" s="3" t="s">
        <v>58</v>
      </c>
      <c r="H478" s="3" t="s">
        <v>59</v>
      </c>
      <c r="I478" s="5">
        <v>11969.04</v>
      </c>
      <c r="J478" s="4">
        <v>8</v>
      </c>
      <c r="K478" s="1">
        <v>21</v>
      </c>
      <c r="L478" s="4">
        <v>1715.91</v>
      </c>
      <c r="M478" s="3" t="s">
        <v>21</v>
      </c>
      <c r="N478" s="3" t="s">
        <v>35</v>
      </c>
      <c r="O478" s="2" t="str">
        <f t="shared" si="35"/>
        <v>08-2024</v>
      </c>
      <c r="P478" t="str">
        <f t="shared" si="36"/>
        <v>2024</v>
      </c>
      <c r="Q478" s="6">
        <f t="shared" si="37"/>
        <v>0.14336237492731246</v>
      </c>
      <c r="R478" t="str">
        <f t="shared" si="38"/>
        <v>Profit</v>
      </c>
      <c r="S478" t="str">
        <f t="shared" si="39"/>
        <v>High (&gt;20%)</v>
      </c>
    </row>
    <row r="479" spans="1:19" x14ac:dyDescent="0.3">
      <c r="A479" s="3" t="s">
        <v>559</v>
      </c>
      <c r="B479" s="2">
        <v>45465</v>
      </c>
      <c r="C479" s="3" t="s">
        <v>66</v>
      </c>
      <c r="D479" s="3" t="s">
        <v>89</v>
      </c>
      <c r="E479" s="3" t="s">
        <v>97</v>
      </c>
      <c r="F479" s="3" t="s">
        <v>32</v>
      </c>
      <c r="G479" s="3" t="s">
        <v>58</v>
      </c>
      <c r="H479" s="3" t="s">
        <v>59</v>
      </c>
      <c r="I479" s="5">
        <v>15043.5</v>
      </c>
      <c r="J479" s="4">
        <v>9</v>
      </c>
      <c r="K479" s="1">
        <v>26</v>
      </c>
      <c r="L479" s="4">
        <v>1197.47</v>
      </c>
      <c r="M479" s="3" t="s">
        <v>21</v>
      </c>
      <c r="N479" s="3" t="s">
        <v>35</v>
      </c>
      <c r="O479" s="2" t="str">
        <f t="shared" si="35"/>
        <v>06-2024</v>
      </c>
      <c r="P479" t="str">
        <f t="shared" si="36"/>
        <v>2024</v>
      </c>
      <c r="Q479" s="6">
        <f t="shared" si="37"/>
        <v>7.96004919068036E-2</v>
      </c>
      <c r="R479" t="str">
        <f t="shared" si="38"/>
        <v>Profit</v>
      </c>
      <c r="S479" t="str">
        <f t="shared" si="39"/>
        <v>High (&gt;20%)</v>
      </c>
    </row>
    <row r="480" spans="1:19" x14ac:dyDescent="0.3">
      <c r="A480" s="3" t="s">
        <v>560</v>
      </c>
      <c r="B480" s="2">
        <v>45642</v>
      </c>
      <c r="C480" s="3" t="s">
        <v>73</v>
      </c>
      <c r="D480" s="3" t="s">
        <v>38</v>
      </c>
      <c r="E480" s="3" t="s">
        <v>71</v>
      </c>
      <c r="F480" s="3" t="s">
        <v>62</v>
      </c>
      <c r="G480" s="3" t="s">
        <v>67</v>
      </c>
      <c r="H480" s="3" t="s">
        <v>68</v>
      </c>
      <c r="I480" s="5">
        <v>1383.89</v>
      </c>
      <c r="J480" s="4">
        <v>1</v>
      </c>
      <c r="K480" s="1">
        <v>29</v>
      </c>
      <c r="L480" s="4">
        <v>200.29</v>
      </c>
      <c r="M480" s="3" t="s">
        <v>51</v>
      </c>
      <c r="N480" s="3" t="s">
        <v>44</v>
      </c>
      <c r="O480" s="2" t="str">
        <f t="shared" si="35"/>
        <v>12-2024</v>
      </c>
      <c r="P480" t="str">
        <f t="shared" si="36"/>
        <v>2024</v>
      </c>
      <c r="Q480" s="6">
        <f t="shared" si="37"/>
        <v>0.14472971117646632</v>
      </c>
      <c r="R480" t="str">
        <f t="shared" si="38"/>
        <v>Profit</v>
      </c>
      <c r="S480" t="str">
        <f t="shared" si="39"/>
        <v>High (&gt;20%)</v>
      </c>
    </row>
    <row r="481" spans="1:19" x14ac:dyDescent="0.3">
      <c r="A481" s="3" t="s">
        <v>561</v>
      </c>
      <c r="B481" s="2">
        <v>45452</v>
      </c>
      <c r="C481" s="3" t="s">
        <v>73</v>
      </c>
      <c r="D481" s="3" t="s">
        <v>38</v>
      </c>
      <c r="E481" s="3" t="s">
        <v>53</v>
      </c>
      <c r="F481" s="3" t="s">
        <v>32</v>
      </c>
      <c r="G481" s="3" t="s">
        <v>33</v>
      </c>
      <c r="H481" s="3" t="s">
        <v>34</v>
      </c>
      <c r="I481" s="5">
        <v>3145.7</v>
      </c>
      <c r="J481" s="4">
        <v>2</v>
      </c>
      <c r="K481" s="1">
        <v>27</v>
      </c>
      <c r="L481" s="4">
        <v>420.84</v>
      </c>
      <c r="M481" s="3" t="s">
        <v>28</v>
      </c>
      <c r="N481" s="3" t="s">
        <v>22</v>
      </c>
      <c r="O481" s="2" t="str">
        <f t="shared" si="35"/>
        <v>06-2024</v>
      </c>
      <c r="P481" t="str">
        <f t="shared" si="36"/>
        <v>2024</v>
      </c>
      <c r="Q481" s="6">
        <f t="shared" si="37"/>
        <v>0.1337826238992911</v>
      </c>
      <c r="R481" t="str">
        <f t="shared" si="38"/>
        <v>Profit</v>
      </c>
      <c r="S481" t="str">
        <f t="shared" si="39"/>
        <v>High (&gt;20%)</v>
      </c>
    </row>
    <row r="482" spans="1:19" x14ac:dyDescent="0.3">
      <c r="A482" s="3" t="s">
        <v>562</v>
      </c>
      <c r="B482" s="2">
        <v>45759</v>
      </c>
      <c r="C482" s="3" t="s">
        <v>99</v>
      </c>
      <c r="D482" s="3" t="s">
        <v>89</v>
      </c>
      <c r="E482" s="3" t="s">
        <v>97</v>
      </c>
      <c r="F482" s="3" t="s">
        <v>62</v>
      </c>
      <c r="G482" s="3" t="s">
        <v>103</v>
      </c>
      <c r="H482" s="3" t="s">
        <v>104</v>
      </c>
      <c r="I482" s="5">
        <v>9973.44</v>
      </c>
      <c r="J482" s="4">
        <v>9</v>
      </c>
      <c r="K482" s="1">
        <v>3</v>
      </c>
      <c r="L482" s="4">
        <v>1481.17</v>
      </c>
      <c r="M482" s="3" t="s">
        <v>51</v>
      </c>
      <c r="N482" s="3" t="s">
        <v>35</v>
      </c>
      <c r="O482" s="2" t="str">
        <f t="shared" si="35"/>
        <v>04-2025</v>
      </c>
      <c r="P482" t="str">
        <f t="shared" si="36"/>
        <v>2025</v>
      </c>
      <c r="Q482" s="6">
        <f t="shared" si="37"/>
        <v>0.14851144640164277</v>
      </c>
      <c r="R482" t="str">
        <f t="shared" si="38"/>
        <v>Profit</v>
      </c>
      <c r="S482" t="str">
        <f t="shared" si="39"/>
        <v>Low (1-10%)</v>
      </c>
    </row>
    <row r="483" spans="1:19" x14ac:dyDescent="0.3">
      <c r="A483" s="3" t="s">
        <v>563</v>
      </c>
      <c r="B483" s="2">
        <v>45636</v>
      </c>
      <c r="C483" s="3" t="s">
        <v>42</v>
      </c>
      <c r="D483" s="3" t="s">
        <v>38</v>
      </c>
      <c r="E483" s="3" t="s">
        <v>71</v>
      </c>
      <c r="F483" s="3" t="s">
        <v>32</v>
      </c>
      <c r="G483" s="3" t="s">
        <v>47</v>
      </c>
      <c r="H483" s="3" t="s">
        <v>48</v>
      </c>
      <c r="I483" s="5">
        <v>761.84</v>
      </c>
      <c r="J483" s="4">
        <v>1</v>
      </c>
      <c r="K483" s="1">
        <v>3</v>
      </c>
      <c r="L483" s="4">
        <v>166.02</v>
      </c>
      <c r="M483" s="3" t="s">
        <v>28</v>
      </c>
      <c r="N483" s="3" t="s">
        <v>22</v>
      </c>
      <c r="O483" s="2" t="str">
        <f t="shared" si="35"/>
        <v>12-2024</v>
      </c>
      <c r="P483" t="str">
        <f t="shared" si="36"/>
        <v>2024</v>
      </c>
      <c r="Q483" s="6">
        <f t="shared" si="37"/>
        <v>0.21791977318072037</v>
      </c>
      <c r="R483" t="str">
        <f t="shared" si="38"/>
        <v>Profit</v>
      </c>
      <c r="S483" t="str">
        <f t="shared" si="39"/>
        <v>Low (1-10%)</v>
      </c>
    </row>
    <row r="484" spans="1:19" x14ac:dyDescent="0.3">
      <c r="A484" s="3" t="s">
        <v>564</v>
      </c>
      <c r="B484" s="2">
        <v>45501</v>
      </c>
      <c r="C484" s="3" t="s">
        <v>84</v>
      </c>
      <c r="D484" s="3" t="s">
        <v>56</v>
      </c>
      <c r="E484" s="3" t="s">
        <v>57</v>
      </c>
      <c r="F484" s="3" t="s">
        <v>32</v>
      </c>
      <c r="G484" s="3" t="s">
        <v>58</v>
      </c>
      <c r="H484" s="3" t="s">
        <v>59</v>
      </c>
      <c r="I484" s="5">
        <v>8936.15</v>
      </c>
      <c r="J484" s="4">
        <v>5</v>
      </c>
      <c r="K484" s="1">
        <v>18</v>
      </c>
      <c r="L484" s="4">
        <v>1054.9100000000001</v>
      </c>
      <c r="M484" s="3" t="s">
        <v>21</v>
      </c>
      <c r="N484" s="3" t="s">
        <v>44</v>
      </c>
      <c r="O484" s="2" t="str">
        <f t="shared" si="35"/>
        <v>07-2024</v>
      </c>
      <c r="P484" t="str">
        <f t="shared" si="36"/>
        <v>2024</v>
      </c>
      <c r="Q484" s="6">
        <f t="shared" si="37"/>
        <v>0.11804971939817484</v>
      </c>
      <c r="R484" t="str">
        <f t="shared" si="38"/>
        <v>Profit</v>
      </c>
      <c r="S484" t="str">
        <f t="shared" si="39"/>
        <v>Mid (11-20%)</v>
      </c>
    </row>
    <row r="485" spans="1:19" x14ac:dyDescent="0.3">
      <c r="A485" s="3" t="s">
        <v>565</v>
      </c>
      <c r="B485" s="2">
        <v>45561</v>
      </c>
      <c r="C485" s="3" t="s">
        <v>99</v>
      </c>
      <c r="D485" s="3" t="s">
        <v>89</v>
      </c>
      <c r="E485" s="3" t="s">
        <v>102</v>
      </c>
      <c r="F485" s="3" t="s">
        <v>18</v>
      </c>
      <c r="G485" s="3" t="s">
        <v>76</v>
      </c>
      <c r="H485" s="3" t="s">
        <v>77</v>
      </c>
      <c r="I485" s="5">
        <v>2313.46</v>
      </c>
      <c r="J485" s="4">
        <v>2</v>
      </c>
      <c r="K485" s="1">
        <v>11</v>
      </c>
      <c r="L485" s="4">
        <v>222.39</v>
      </c>
      <c r="M485" s="3" t="s">
        <v>28</v>
      </c>
      <c r="N485" s="3" t="s">
        <v>40</v>
      </c>
      <c r="O485" s="2" t="str">
        <f t="shared" si="35"/>
        <v>09-2024</v>
      </c>
      <c r="P485" t="str">
        <f t="shared" si="36"/>
        <v>2024</v>
      </c>
      <c r="Q485" s="6">
        <f t="shared" si="37"/>
        <v>9.6128742230252515E-2</v>
      </c>
      <c r="R485" t="str">
        <f t="shared" si="38"/>
        <v>Profit</v>
      </c>
      <c r="S485" t="str">
        <f t="shared" si="39"/>
        <v>Mid (11-20%)</v>
      </c>
    </row>
    <row r="486" spans="1:19" x14ac:dyDescent="0.3">
      <c r="A486" s="3" t="s">
        <v>566</v>
      </c>
      <c r="B486" s="2">
        <v>45499</v>
      </c>
      <c r="C486" s="3" t="s">
        <v>50</v>
      </c>
      <c r="D486" s="3" t="s">
        <v>89</v>
      </c>
      <c r="E486" s="3" t="s">
        <v>140</v>
      </c>
      <c r="F486" s="3" t="s">
        <v>32</v>
      </c>
      <c r="G486" s="3" t="s">
        <v>58</v>
      </c>
      <c r="H486" s="3" t="s">
        <v>59</v>
      </c>
      <c r="I486" s="5">
        <v>1281.55</v>
      </c>
      <c r="J486" s="4">
        <v>5</v>
      </c>
      <c r="K486" s="1">
        <v>10</v>
      </c>
      <c r="L486" s="4">
        <v>222.4</v>
      </c>
      <c r="M486" s="3" t="s">
        <v>21</v>
      </c>
      <c r="N486" s="3" t="s">
        <v>22</v>
      </c>
      <c r="O486" s="2" t="str">
        <f t="shared" si="35"/>
        <v>07-2024</v>
      </c>
      <c r="P486" t="str">
        <f t="shared" si="36"/>
        <v>2024</v>
      </c>
      <c r="Q486" s="6">
        <f t="shared" si="37"/>
        <v>0.17353985408294645</v>
      </c>
      <c r="R486" t="str">
        <f t="shared" si="38"/>
        <v>Profit</v>
      </c>
      <c r="S486" t="str">
        <f t="shared" si="39"/>
        <v>Low (1-10%)</v>
      </c>
    </row>
    <row r="487" spans="1:19" x14ac:dyDescent="0.3">
      <c r="A487" s="3" t="s">
        <v>567</v>
      </c>
      <c r="B487" s="2">
        <v>45504</v>
      </c>
      <c r="C487" s="3" t="s">
        <v>75</v>
      </c>
      <c r="D487" s="3" t="s">
        <v>56</v>
      </c>
      <c r="E487" s="3" t="s">
        <v>61</v>
      </c>
      <c r="F487" s="3" t="s">
        <v>18</v>
      </c>
      <c r="G487" s="3" t="s">
        <v>94</v>
      </c>
      <c r="H487" s="3" t="s">
        <v>95</v>
      </c>
      <c r="I487" s="5">
        <v>530.74</v>
      </c>
      <c r="J487" s="4">
        <v>2</v>
      </c>
      <c r="K487" s="1">
        <v>26</v>
      </c>
      <c r="L487" s="4">
        <v>28.29</v>
      </c>
      <c r="M487" s="3" t="s">
        <v>51</v>
      </c>
      <c r="N487" s="3" t="s">
        <v>22</v>
      </c>
      <c r="O487" s="2" t="str">
        <f t="shared" si="35"/>
        <v>07-2024</v>
      </c>
      <c r="P487" t="str">
        <f t="shared" si="36"/>
        <v>2024</v>
      </c>
      <c r="Q487" s="6">
        <f t="shared" si="37"/>
        <v>5.3302935523985379E-2</v>
      </c>
      <c r="R487" t="str">
        <f t="shared" si="38"/>
        <v>Profit</v>
      </c>
      <c r="S487" t="str">
        <f t="shared" si="39"/>
        <v>High (&gt;20%)</v>
      </c>
    </row>
    <row r="488" spans="1:19" x14ac:dyDescent="0.3">
      <c r="A488" s="3" t="s">
        <v>568</v>
      </c>
      <c r="B488" s="2">
        <v>45673</v>
      </c>
      <c r="C488" s="3" t="s">
        <v>101</v>
      </c>
      <c r="D488" s="3" t="s">
        <v>89</v>
      </c>
      <c r="E488" s="3" t="s">
        <v>140</v>
      </c>
      <c r="F488" s="3" t="s">
        <v>18</v>
      </c>
      <c r="G488" s="3" t="s">
        <v>26</v>
      </c>
      <c r="H488" s="3" t="s">
        <v>27</v>
      </c>
      <c r="I488" s="5">
        <v>491.79</v>
      </c>
      <c r="J488" s="4">
        <v>3</v>
      </c>
      <c r="K488" s="1">
        <v>26</v>
      </c>
      <c r="L488" s="4">
        <v>87.76</v>
      </c>
      <c r="M488" s="3" t="s">
        <v>21</v>
      </c>
      <c r="N488" s="3" t="s">
        <v>44</v>
      </c>
      <c r="O488" s="2" t="str">
        <f t="shared" si="35"/>
        <v>01-2025</v>
      </c>
      <c r="P488" t="str">
        <f t="shared" si="36"/>
        <v>2025</v>
      </c>
      <c r="Q488" s="6">
        <f t="shared" si="37"/>
        <v>0.17845015148742349</v>
      </c>
      <c r="R488" t="str">
        <f t="shared" si="38"/>
        <v>Profit</v>
      </c>
      <c r="S488" t="str">
        <f t="shared" si="39"/>
        <v>High (&gt;20%)</v>
      </c>
    </row>
    <row r="489" spans="1:19" x14ac:dyDescent="0.3">
      <c r="A489" s="3" t="s">
        <v>569</v>
      </c>
      <c r="B489" s="2">
        <v>45488</v>
      </c>
      <c r="C489" s="3" t="s">
        <v>75</v>
      </c>
      <c r="D489" s="3" t="s">
        <v>89</v>
      </c>
      <c r="E489" s="3" t="s">
        <v>140</v>
      </c>
      <c r="F489" s="3" t="s">
        <v>32</v>
      </c>
      <c r="G489" s="3" t="s">
        <v>112</v>
      </c>
      <c r="H489" s="3" t="s">
        <v>113</v>
      </c>
      <c r="I489" s="5">
        <v>3736.05</v>
      </c>
      <c r="J489" s="4">
        <v>3</v>
      </c>
      <c r="K489" s="1">
        <v>18</v>
      </c>
      <c r="L489" s="4">
        <v>717.16</v>
      </c>
      <c r="M489" s="3" t="s">
        <v>28</v>
      </c>
      <c r="N489" s="3" t="s">
        <v>44</v>
      </c>
      <c r="O489" s="2" t="str">
        <f t="shared" si="35"/>
        <v>07-2024</v>
      </c>
      <c r="P489" t="str">
        <f t="shared" si="36"/>
        <v>2024</v>
      </c>
      <c r="Q489" s="6">
        <f t="shared" si="37"/>
        <v>0.19195674576089719</v>
      </c>
      <c r="R489" t="str">
        <f t="shared" si="38"/>
        <v>Profit</v>
      </c>
      <c r="S489" t="str">
        <f t="shared" si="39"/>
        <v>Mid (11-20%)</v>
      </c>
    </row>
    <row r="490" spans="1:19" x14ac:dyDescent="0.3">
      <c r="A490" s="3" t="s">
        <v>570</v>
      </c>
      <c r="B490" s="2">
        <v>45763</v>
      </c>
      <c r="C490" s="3" t="s">
        <v>42</v>
      </c>
      <c r="D490" s="3" t="s">
        <v>56</v>
      </c>
      <c r="E490" s="3" t="s">
        <v>57</v>
      </c>
      <c r="F490" s="3" t="s">
        <v>62</v>
      </c>
      <c r="G490" s="3" t="s">
        <v>63</v>
      </c>
      <c r="H490" s="3" t="s">
        <v>64</v>
      </c>
      <c r="I490" s="5">
        <v>7353.8</v>
      </c>
      <c r="J490" s="4">
        <v>10</v>
      </c>
      <c r="K490" s="1">
        <v>3</v>
      </c>
      <c r="L490" s="4">
        <v>455.34</v>
      </c>
      <c r="M490" s="3" t="s">
        <v>21</v>
      </c>
      <c r="N490" s="3" t="s">
        <v>22</v>
      </c>
      <c r="O490" s="2" t="str">
        <f t="shared" si="35"/>
        <v>04-2025</v>
      </c>
      <c r="P490" t="str">
        <f t="shared" si="36"/>
        <v>2025</v>
      </c>
      <c r="Q490" s="6">
        <f t="shared" si="37"/>
        <v>6.1919007859881962E-2</v>
      </c>
      <c r="R490" t="str">
        <f t="shared" si="38"/>
        <v>Profit</v>
      </c>
      <c r="S490" t="str">
        <f t="shared" si="39"/>
        <v>Low (1-10%)</v>
      </c>
    </row>
    <row r="491" spans="1:19" x14ac:dyDescent="0.3">
      <c r="A491" s="3" t="s">
        <v>571</v>
      </c>
      <c r="B491" s="2">
        <v>45443</v>
      </c>
      <c r="C491" s="3" t="s">
        <v>50</v>
      </c>
      <c r="D491" s="3" t="s">
        <v>56</v>
      </c>
      <c r="E491" s="3" t="s">
        <v>61</v>
      </c>
      <c r="F491" s="3" t="s">
        <v>32</v>
      </c>
      <c r="G491" s="3" t="s">
        <v>47</v>
      </c>
      <c r="H491" s="3" t="s">
        <v>48</v>
      </c>
      <c r="I491" s="5">
        <v>1414.56</v>
      </c>
      <c r="J491" s="4">
        <v>4</v>
      </c>
      <c r="K491" s="1">
        <v>16</v>
      </c>
      <c r="L491" s="4">
        <v>234.02</v>
      </c>
      <c r="M491" s="3" t="s">
        <v>21</v>
      </c>
      <c r="N491" s="3" t="s">
        <v>44</v>
      </c>
      <c r="O491" s="2" t="str">
        <f t="shared" si="35"/>
        <v>05-2024</v>
      </c>
      <c r="P491" t="str">
        <f t="shared" si="36"/>
        <v>2024</v>
      </c>
      <c r="Q491" s="6">
        <f t="shared" si="37"/>
        <v>0.16543660219432194</v>
      </c>
      <c r="R491" t="str">
        <f t="shared" si="38"/>
        <v>Profit</v>
      </c>
      <c r="S491" t="str">
        <f t="shared" si="39"/>
        <v>Mid (11-20%)</v>
      </c>
    </row>
    <row r="492" spans="1:19" x14ac:dyDescent="0.3">
      <c r="A492" s="3" t="s">
        <v>572</v>
      </c>
      <c r="B492" s="2">
        <v>45536</v>
      </c>
      <c r="C492" s="3" t="s">
        <v>42</v>
      </c>
      <c r="D492" s="3" t="s">
        <v>38</v>
      </c>
      <c r="E492" s="3" t="s">
        <v>53</v>
      </c>
      <c r="F492" s="3" t="s">
        <v>62</v>
      </c>
      <c r="G492" s="3" t="s">
        <v>80</v>
      </c>
      <c r="H492" s="3" t="s">
        <v>81</v>
      </c>
      <c r="I492" s="5">
        <v>9984.33</v>
      </c>
      <c r="J492" s="4">
        <v>9</v>
      </c>
      <c r="K492" s="1">
        <v>21</v>
      </c>
      <c r="L492" s="4">
        <v>898.2</v>
      </c>
      <c r="M492" s="3" t="s">
        <v>28</v>
      </c>
      <c r="N492" s="3" t="s">
        <v>44</v>
      </c>
      <c r="O492" s="2" t="str">
        <f t="shared" si="35"/>
        <v>09-2024</v>
      </c>
      <c r="P492" t="str">
        <f t="shared" si="36"/>
        <v>2024</v>
      </c>
      <c r="Q492" s="6">
        <f t="shared" si="37"/>
        <v>8.9960968838169411E-2</v>
      </c>
      <c r="R492" t="str">
        <f t="shared" si="38"/>
        <v>Profit</v>
      </c>
      <c r="S492" t="str">
        <f t="shared" si="39"/>
        <v>High (&gt;20%)</v>
      </c>
    </row>
    <row r="493" spans="1:19" x14ac:dyDescent="0.3">
      <c r="A493" s="3" t="s">
        <v>573</v>
      </c>
      <c r="B493" s="2">
        <v>45451</v>
      </c>
      <c r="C493" s="3" t="s">
        <v>101</v>
      </c>
      <c r="D493" s="3" t="s">
        <v>56</v>
      </c>
      <c r="E493" s="3" t="s">
        <v>108</v>
      </c>
      <c r="F493" s="3" t="s">
        <v>62</v>
      </c>
      <c r="G493" s="3" t="s">
        <v>80</v>
      </c>
      <c r="H493" s="3" t="s">
        <v>81</v>
      </c>
      <c r="I493" s="5">
        <v>2103.2600000000002</v>
      </c>
      <c r="J493" s="4">
        <v>2</v>
      </c>
      <c r="K493" s="1">
        <v>25</v>
      </c>
      <c r="L493" s="4">
        <v>99.21</v>
      </c>
      <c r="M493" s="3" t="s">
        <v>28</v>
      </c>
      <c r="N493" s="3" t="s">
        <v>40</v>
      </c>
      <c r="O493" s="2" t="str">
        <f t="shared" si="35"/>
        <v>06-2024</v>
      </c>
      <c r="P493" t="str">
        <f t="shared" si="36"/>
        <v>2024</v>
      </c>
      <c r="Q493" s="6">
        <f t="shared" si="37"/>
        <v>4.716963190475737E-2</v>
      </c>
      <c r="R493" t="str">
        <f t="shared" si="38"/>
        <v>Profit</v>
      </c>
      <c r="S493" t="str">
        <f t="shared" si="39"/>
        <v>High (&gt;20%)</v>
      </c>
    </row>
    <row r="494" spans="1:19" x14ac:dyDescent="0.3">
      <c r="A494" s="3" t="s">
        <v>574</v>
      </c>
      <c r="B494" s="2">
        <v>45525</v>
      </c>
      <c r="C494" s="3" t="s">
        <v>66</v>
      </c>
      <c r="D494" s="3" t="s">
        <v>16</v>
      </c>
      <c r="E494" s="3" t="s">
        <v>31</v>
      </c>
      <c r="F494" s="3" t="s">
        <v>18</v>
      </c>
      <c r="G494" s="3" t="s">
        <v>94</v>
      </c>
      <c r="H494" s="3" t="s">
        <v>95</v>
      </c>
      <c r="I494" s="5">
        <v>7538.86</v>
      </c>
      <c r="J494" s="4">
        <v>7</v>
      </c>
      <c r="K494" s="1">
        <v>13</v>
      </c>
      <c r="L494" s="4">
        <v>716.85</v>
      </c>
      <c r="M494" s="3" t="s">
        <v>51</v>
      </c>
      <c r="N494" s="3" t="s">
        <v>40</v>
      </c>
      <c r="O494" s="2" t="str">
        <f t="shared" si="35"/>
        <v>08-2024</v>
      </c>
      <c r="P494" t="str">
        <f t="shared" si="36"/>
        <v>2024</v>
      </c>
      <c r="Q494" s="6">
        <f t="shared" si="37"/>
        <v>9.508732089467109E-2</v>
      </c>
      <c r="R494" t="str">
        <f t="shared" si="38"/>
        <v>Profit</v>
      </c>
      <c r="S494" t="str">
        <f t="shared" si="39"/>
        <v>Mid (11-20%)</v>
      </c>
    </row>
    <row r="495" spans="1:19" x14ac:dyDescent="0.3">
      <c r="A495" s="3" t="s">
        <v>575</v>
      </c>
      <c r="B495" s="2">
        <v>45531</v>
      </c>
      <c r="C495" s="3" t="s">
        <v>37</v>
      </c>
      <c r="D495" s="3" t="s">
        <v>56</v>
      </c>
      <c r="E495" s="3" t="s">
        <v>61</v>
      </c>
      <c r="F495" s="3" t="s">
        <v>18</v>
      </c>
      <c r="G495" s="3" t="s">
        <v>94</v>
      </c>
      <c r="H495" s="3" t="s">
        <v>95</v>
      </c>
      <c r="I495" s="5">
        <v>2970.4</v>
      </c>
      <c r="J495" s="4">
        <v>4</v>
      </c>
      <c r="K495" s="1">
        <v>6</v>
      </c>
      <c r="L495" s="4">
        <v>386.71</v>
      </c>
      <c r="M495" s="3" t="s">
        <v>28</v>
      </c>
      <c r="N495" s="3" t="s">
        <v>35</v>
      </c>
      <c r="O495" s="2" t="str">
        <f t="shared" si="35"/>
        <v>08-2024</v>
      </c>
      <c r="P495" t="str">
        <f t="shared" si="36"/>
        <v>2024</v>
      </c>
      <c r="Q495" s="6">
        <f t="shared" si="37"/>
        <v>0.13018785348774575</v>
      </c>
      <c r="R495" t="str">
        <f t="shared" si="38"/>
        <v>Profit</v>
      </c>
      <c r="S495" t="str">
        <f t="shared" si="39"/>
        <v>Low (1-10%)</v>
      </c>
    </row>
    <row r="496" spans="1:19" x14ac:dyDescent="0.3">
      <c r="A496" s="3" t="s">
        <v>576</v>
      </c>
      <c r="B496" s="2">
        <v>45655</v>
      </c>
      <c r="C496" s="3" t="s">
        <v>30</v>
      </c>
      <c r="D496" s="3" t="s">
        <v>89</v>
      </c>
      <c r="E496" s="3" t="s">
        <v>97</v>
      </c>
      <c r="F496" s="3" t="s">
        <v>18</v>
      </c>
      <c r="G496" s="3" t="s">
        <v>76</v>
      </c>
      <c r="H496" s="3" t="s">
        <v>77</v>
      </c>
      <c r="I496" s="5">
        <v>5463.93</v>
      </c>
      <c r="J496" s="4">
        <v>3</v>
      </c>
      <c r="K496" s="1">
        <v>7.0000000000000009</v>
      </c>
      <c r="L496" s="4">
        <v>754.17</v>
      </c>
      <c r="M496" s="3" t="s">
        <v>21</v>
      </c>
      <c r="N496" s="3" t="s">
        <v>44</v>
      </c>
      <c r="O496" s="2" t="str">
        <f t="shared" si="35"/>
        <v>12-2024</v>
      </c>
      <c r="P496" t="str">
        <f t="shared" si="36"/>
        <v>2024</v>
      </c>
      <c r="Q496" s="6">
        <f t="shared" si="37"/>
        <v>0.13802702450434026</v>
      </c>
      <c r="R496" t="str">
        <f t="shared" si="38"/>
        <v>Profit</v>
      </c>
      <c r="S496" t="str">
        <f t="shared" si="39"/>
        <v>Low (1-10%)</v>
      </c>
    </row>
    <row r="497" spans="1:19" x14ac:dyDescent="0.3">
      <c r="A497" s="3" t="s">
        <v>577</v>
      </c>
      <c r="B497" s="2">
        <v>45646</v>
      </c>
      <c r="C497" s="3" t="s">
        <v>15</v>
      </c>
      <c r="D497" s="3" t="s">
        <v>38</v>
      </c>
      <c r="E497" s="3" t="s">
        <v>39</v>
      </c>
      <c r="F497" s="3" t="s">
        <v>62</v>
      </c>
      <c r="G497" s="3" t="s">
        <v>103</v>
      </c>
      <c r="H497" s="3" t="s">
        <v>104</v>
      </c>
      <c r="I497" s="5">
        <v>14389.68</v>
      </c>
      <c r="J497" s="4">
        <v>8</v>
      </c>
      <c r="K497" s="1">
        <v>20</v>
      </c>
      <c r="L497" s="4">
        <v>2077</v>
      </c>
      <c r="M497" s="3" t="s">
        <v>28</v>
      </c>
      <c r="N497" s="3" t="s">
        <v>35</v>
      </c>
      <c r="O497" s="2" t="str">
        <f t="shared" si="35"/>
        <v>12-2024</v>
      </c>
      <c r="P497" t="str">
        <f t="shared" si="36"/>
        <v>2024</v>
      </c>
      <c r="Q497" s="6">
        <f t="shared" si="37"/>
        <v>0.14433955445847302</v>
      </c>
      <c r="R497" t="str">
        <f t="shared" si="38"/>
        <v>Profit</v>
      </c>
      <c r="S497" t="str">
        <f t="shared" si="39"/>
        <v>Mid (11-20%)</v>
      </c>
    </row>
    <row r="498" spans="1:19" x14ac:dyDescent="0.3">
      <c r="A498" s="3" t="s">
        <v>578</v>
      </c>
      <c r="B498" s="2">
        <v>45662</v>
      </c>
      <c r="C498" s="3" t="s">
        <v>50</v>
      </c>
      <c r="D498" s="3" t="s">
        <v>38</v>
      </c>
      <c r="E498" s="3" t="s">
        <v>53</v>
      </c>
      <c r="F498" s="3" t="s">
        <v>62</v>
      </c>
      <c r="G498" s="3" t="s">
        <v>80</v>
      </c>
      <c r="H498" s="3" t="s">
        <v>81</v>
      </c>
      <c r="I498" s="5">
        <v>4511.71</v>
      </c>
      <c r="J498" s="4">
        <v>7</v>
      </c>
      <c r="K498" s="1">
        <v>16</v>
      </c>
      <c r="L498" s="4">
        <v>356.29</v>
      </c>
      <c r="M498" s="3" t="s">
        <v>21</v>
      </c>
      <c r="N498" s="3" t="s">
        <v>44</v>
      </c>
      <c r="O498" s="2" t="str">
        <f t="shared" si="35"/>
        <v>01-2025</v>
      </c>
      <c r="P498" t="str">
        <f t="shared" si="36"/>
        <v>2025</v>
      </c>
      <c r="Q498" s="6">
        <f t="shared" si="37"/>
        <v>7.8970057915956487E-2</v>
      </c>
      <c r="R498" t="str">
        <f t="shared" si="38"/>
        <v>Profit</v>
      </c>
      <c r="S498" t="str">
        <f t="shared" si="39"/>
        <v>Mid (11-20%)</v>
      </c>
    </row>
    <row r="499" spans="1:19" x14ac:dyDescent="0.3">
      <c r="A499" s="3" t="s">
        <v>579</v>
      </c>
      <c r="B499" s="2">
        <v>45531</v>
      </c>
      <c r="C499" s="3" t="s">
        <v>50</v>
      </c>
      <c r="D499" s="3" t="s">
        <v>89</v>
      </c>
      <c r="E499" s="3" t="s">
        <v>97</v>
      </c>
      <c r="F499" s="3" t="s">
        <v>18</v>
      </c>
      <c r="G499" s="3" t="s">
        <v>76</v>
      </c>
      <c r="H499" s="3" t="s">
        <v>77</v>
      </c>
      <c r="I499" s="5">
        <v>1581.54</v>
      </c>
      <c r="J499" s="4">
        <v>6</v>
      </c>
      <c r="K499" s="1">
        <v>27</v>
      </c>
      <c r="L499" s="4">
        <v>158.66</v>
      </c>
      <c r="M499" s="3" t="s">
        <v>51</v>
      </c>
      <c r="N499" s="3" t="s">
        <v>44</v>
      </c>
      <c r="O499" s="2" t="str">
        <f t="shared" si="35"/>
        <v>08-2024</v>
      </c>
      <c r="P499" t="str">
        <f t="shared" si="36"/>
        <v>2024</v>
      </c>
      <c r="Q499" s="6">
        <f t="shared" si="37"/>
        <v>0.10031994132301428</v>
      </c>
      <c r="R499" t="str">
        <f t="shared" si="38"/>
        <v>Profit</v>
      </c>
      <c r="S499" t="str">
        <f t="shared" si="39"/>
        <v>High (&gt;20%)</v>
      </c>
    </row>
    <row r="500" spans="1:19" x14ac:dyDescent="0.3">
      <c r="A500" s="3" t="s">
        <v>580</v>
      </c>
      <c r="B500" s="2">
        <v>45720</v>
      </c>
      <c r="C500" s="3" t="s">
        <v>101</v>
      </c>
      <c r="D500" s="3" t="s">
        <v>38</v>
      </c>
      <c r="E500" s="3" t="s">
        <v>39</v>
      </c>
      <c r="F500" s="3" t="s">
        <v>18</v>
      </c>
      <c r="G500" s="3" t="s">
        <v>26</v>
      </c>
      <c r="H500" s="3" t="s">
        <v>27</v>
      </c>
      <c r="I500" s="5">
        <v>4494.21</v>
      </c>
      <c r="J500" s="4">
        <v>3</v>
      </c>
      <c r="K500" s="1">
        <v>26</v>
      </c>
      <c r="L500" s="4">
        <v>653.80999999999995</v>
      </c>
      <c r="M500" s="3" t="s">
        <v>51</v>
      </c>
      <c r="N500" s="3" t="s">
        <v>35</v>
      </c>
      <c r="O500" s="2" t="str">
        <f t="shared" si="35"/>
        <v>03-2025</v>
      </c>
      <c r="P500" t="str">
        <f t="shared" si="36"/>
        <v>2025</v>
      </c>
      <c r="Q500" s="6">
        <f t="shared" si="37"/>
        <v>0.14547829318167152</v>
      </c>
      <c r="R500" t="str">
        <f t="shared" si="38"/>
        <v>Profit</v>
      </c>
      <c r="S500" t="str">
        <f t="shared" si="39"/>
        <v>High (&gt;20%)</v>
      </c>
    </row>
    <row r="501" spans="1:19" x14ac:dyDescent="0.3">
      <c r="A501" s="3" t="s">
        <v>581</v>
      </c>
      <c r="B501" s="2">
        <v>45479</v>
      </c>
      <c r="C501" s="3" t="s">
        <v>15</v>
      </c>
      <c r="D501" s="3" t="s">
        <v>56</v>
      </c>
      <c r="E501" s="3" t="s">
        <v>61</v>
      </c>
      <c r="F501" s="3" t="s">
        <v>18</v>
      </c>
      <c r="G501" s="3" t="s">
        <v>94</v>
      </c>
      <c r="H501" s="3" t="s">
        <v>95</v>
      </c>
      <c r="I501" s="5">
        <v>6534.72</v>
      </c>
      <c r="J501" s="4">
        <v>8</v>
      </c>
      <c r="K501" s="1">
        <v>1</v>
      </c>
      <c r="L501" s="4">
        <v>1102.28</v>
      </c>
      <c r="M501" s="3" t="s">
        <v>28</v>
      </c>
      <c r="N501" s="3" t="s">
        <v>40</v>
      </c>
      <c r="O501" s="2" t="str">
        <f t="shared" si="35"/>
        <v>07-2024</v>
      </c>
      <c r="P501" t="str">
        <f t="shared" si="36"/>
        <v>2024</v>
      </c>
      <c r="Q501" s="6">
        <f t="shared" si="37"/>
        <v>0.16868052494980657</v>
      </c>
      <c r="R501" t="str">
        <f t="shared" si="38"/>
        <v>Profit</v>
      </c>
      <c r="S501" t="str">
        <f t="shared" si="39"/>
        <v>Low (1-10%)</v>
      </c>
    </row>
    <row r="502" spans="1:19" x14ac:dyDescent="0.3">
      <c r="A502" s="3" t="s">
        <v>582</v>
      </c>
      <c r="B502" s="2">
        <v>45531</v>
      </c>
      <c r="C502" s="3" t="s">
        <v>24</v>
      </c>
      <c r="D502" s="3" t="s">
        <v>89</v>
      </c>
      <c r="E502" s="3" t="s">
        <v>97</v>
      </c>
      <c r="F502" s="3" t="s">
        <v>32</v>
      </c>
      <c r="G502" s="3" t="s">
        <v>112</v>
      </c>
      <c r="H502" s="3" t="s">
        <v>113</v>
      </c>
      <c r="I502" s="5">
        <v>6106.1</v>
      </c>
      <c r="J502" s="4">
        <v>7</v>
      </c>
      <c r="K502" s="1">
        <v>14</v>
      </c>
      <c r="L502" s="4">
        <v>1300.79</v>
      </c>
      <c r="M502" s="3" t="s">
        <v>21</v>
      </c>
      <c r="N502" s="3" t="s">
        <v>22</v>
      </c>
      <c r="O502" s="2" t="str">
        <f t="shared" si="35"/>
        <v>08-2024</v>
      </c>
      <c r="P502" t="str">
        <f t="shared" si="36"/>
        <v>2024</v>
      </c>
      <c r="Q502" s="6">
        <f t="shared" si="37"/>
        <v>0.21303123106401792</v>
      </c>
      <c r="R502" t="str">
        <f t="shared" si="38"/>
        <v>Profit</v>
      </c>
      <c r="S502" t="str">
        <f t="shared" si="39"/>
        <v>Mid (11-20%)</v>
      </c>
    </row>
    <row r="503" spans="1:19" x14ac:dyDescent="0.3">
      <c r="A503" s="3" t="s">
        <v>583</v>
      </c>
      <c r="B503" s="2">
        <v>45546</v>
      </c>
      <c r="C503" s="3" t="s">
        <v>70</v>
      </c>
      <c r="D503" s="3" t="s">
        <v>38</v>
      </c>
      <c r="E503" s="3" t="s">
        <v>43</v>
      </c>
      <c r="F503" s="3" t="s">
        <v>18</v>
      </c>
      <c r="G503" s="3" t="s">
        <v>19</v>
      </c>
      <c r="H503" s="3" t="s">
        <v>20</v>
      </c>
      <c r="I503" s="5">
        <v>2830.18</v>
      </c>
      <c r="J503" s="4">
        <v>2</v>
      </c>
      <c r="K503" s="1">
        <v>10</v>
      </c>
      <c r="L503" s="4">
        <v>175.67</v>
      </c>
      <c r="M503" s="3" t="s">
        <v>51</v>
      </c>
      <c r="N503" s="3" t="s">
        <v>35</v>
      </c>
      <c r="O503" s="2" t="str">
        <f t="shared" si="35"/>
        <v>09-2024</v>
      </c>
      <c r="P503" t="str">
        <f t="shared" si="36"/>
        <v>2024</v>
      </c>
      <c r="Q503" s="6">
        <f t="shared" si="37"/>
        <v>6.2070257015454849E-2</v>
      </c>
      <c r="R503" t="str">
        <f t="shared" si="38"/>
        <v>Profit</v>
      </c>
      <c r="S503" t="str">
        <f t="shared" si="39"/>
        <v>Low (1-10%)</v>
      </c>
    </row>
    <row r="504" spans="1:19" x14ac:dyDescent="0.3">
      <c r="A504" s="3" t="s">
        <v>584</v>
      </c>
      <c r="B504" s="2">
        <v>45513</v>
      </c>
      <c r="C504" s="3" t="s">
        <v>30</v>
      </c>
      <c r="D504" s="3" t="s">
        <v>56</v>
      </c>
      <c r="E504" s="3" t="s">
        <v>61</v>
      </c>
      <c r="F504" s="3" t="s">
        <v>18</v>
      </c>
      <c r="G504" s="3" t="s">
        <v>94</v>
      </c>
      <c r="H504" s="3" t="s">
        <v>95</v>
      </c>
      <c r="I504" s="5">
        <v>437.66</v>
      </c>
      <c r="J504" s="4">
        <v>1</v>
      </c>
      <c r="K504" s="1">
        <v>19</v>
      </c>
      <c r="L504" s="4">
        <v>67.23</v>
      </c>
      <c r="M504" s="3" t="s">
        <v>28</v>
      </c>
      <c r="N504" s="3" t="s">
        <v>40</v>
      </c>
      <c r="O504" s="2" t="str">
        <f t="shared" si="35"/>
        <v>08-2024</v>
      </c>
      <c r="P504" t="str">
        <f t="shared" si="36"/>
        <v>2024</v>
      </c>
      <c r="Q504" s="6">
        <f t="shared" si="37"/>
        <v>0.15361239318192205</v>
      </c>
      <c r="R504" t="str">
        <f t="shared" si="38"/>
        <v>Profit</v>
      </c>
      <c r="S504" t="str">
        <f t="shared" si="39"/>
        <v>Mid (11-20%)</v>
      </c>
    </row>
    <row r="505" spans="1:19" x14ac:dyDescent="0.3">
      <c r="A505" s="3" t="s">
        <v>585</v>
      </c>
      <c r="B505" s="2">
        <v>45710</v>
      </c>
      <c r="C505" s="3" t="s">
        <v>66</v>
      </c>
      <c r="D505" s="3" t="s">
        <v>16</v>
      </c>
      <c r="E505" s="3" t="s">
        <v>31</v>
      </c>
      <c r="F505" s="3" t="s">
        <v>62</v>
      </c>
      <c r="G505" s="3" t="s">
        <v>63</v>
      </c>
      <c r="H505" s="3" t="s">
        <v>64</v>
      </c>
      <c r="I505" s="5">
        <v>749.52</v>
      </c>
      <c r="J505" s="4">
        <v>3</v>
      </c>
      <c r="K505" s="1">
        <v>29</v>
      </c>
      <c r="L505" s="4">
        <v>74.08</v>
      </c>
      <c r="M505" s="3" t="s">
        <v>51</v>
      </c>
      <c r="N505" s="3" t="s">
        <v>40</v>
      </c>
      <c r="O505" s="2" t="str">
        <f t="shared" si="35"/>
        <v>02-2025</v>
      </c>
      <c r="P505" t="str">
        <f t="shared" si="36"/>
        <v>2025</v>
      </c>
      <c r="Q505" s="6">
        <f t="shared" si="37"/>
        <v>9.8836588750133417E-2</v>
      </c>
      <c r="R505" t="str">
        <f t="shared" si="38"/>
        <v>Profit</v>
      </c>
      <c r="S505" t="str">
        <f t="shared" si="39"/>
        <v>High (&gt;20%)</v>
      </c>
    </row>
    <row r="506" spans="1:19" x14ac:dyDescent="0.3">
      <c r="A506" s="3" t="s">
        <v>586</v>
      </c>
      <c r="B506" s="2">
        <v>45757</v>
      </c>
      <c r="C506" s="3" t="s">
        <v>99</v>
      </c>
      <c r="D506" s="3" t="s">
        <v>38</v>
      </c>
      <c r="E506" s="3" t="s">
        <v>39</v>
      </c>
      <c r="F506" s="3" t="s">
        <v>18</v>
      </c>
      <c r="G506" s="3" t="s">
        <v>19</v>
      </c>
      <c r="H506" s="3" t="s">
        <v>20</v>
      </c>
      <c r="I506" s="5">
        <v>8828</v>
      </c>
      <c r="J506" s="4">
        <v>10</v>
      </c>
      <c r="K506" s="1">
        <v>13</v>
      </c>
      <c r="L506" s="4">
        <v>497.23</v>
      </c>
      <c r="M506" s="3" t="s">
        <v>21</v>
      </c>
      <c r="N506" s="3" t="s">
        <v>35</v>
      </c>
      <c r="O506" s="2" t="str">
        <f t="shared" si="35"/>
        <v>04-2025</v>
      </c>
      <c r="P506" t="str">
        <f t="shared" si="36"/>
        <v>2025</v>
      </c>
      <c r="Q506" s="6">
        <f t="shared" si="37"/>
        <v>5.6324195740824652E-2</v>
      </c>
      <c r="R506" t="str">
        <f t="shared" si="38"/>
        <v>Profit</v>
      </c>
      <c r="S506" t="str">
        <f t="shared" si="39"/>
        <v>Mid (11-20%)</v>
      </c>
    </row>
    <row r="507" spans="1:19" x14ac:dyDescent="0.3">
      <c r="A507" s="3" t="s">
        <v>587</v>
      </c>
      <c r="B507" s="2">
        <v>45580</v>
      </c>
      <c r="C507" s="3" t="s">
        <v>75</v>
      </c>
      <c r="D507" s="3" t="s">
        <v>16</v>
      </c>
      <c r="E507" s="3" t="s">
        <v>17</v>
      </c>
      <c r="F507" s="3" t="s">
        <v>18</v>
      </c>
      <c r="G507" s="3" t="s">
        <v>26</v>
      </c>
      <c r="H507" s="3" t="s">
        <v>27</v>
      </c>
      <c r="I507" s="5">
        <v>14981.92</v>
      </c>
      <c r="J507" s="4">
        <v>8</v>
      </c>
      <c r="K507" s="1">
        <v>7.0000000000000009</v>
      </c>
      <c r="L507" s="4">
        <v>2340.39</v>
      </c>
      <c r="M507" s="3" t="s">
        <v>21</v>
      </c>
      <c r="N507" s="3" t="s">
        <v>22</v>
      </c>
      <c r="O507" s="2" t="str">
        <f t="shared" si="35"/>
        <v>10-2024</v>
      </c>
      <c r="P507" t="str">
        <f t="shared" si="36"/>
        <v>2024</v>
      </c>
      <c r="Q507" s="6">
        <f t="shared" si="37"/>
        <v>0.15621429029123102</v>
      </c>
      <c r="R507" t="str">
        <f t="shared" si="38"/>
        <v>Profit</v>
      </c>
      <c r="S507" t="str">
        <f t="shared" si="39"/>
        <v>Low (1-10%)</v>
      </c>
    </row>
    <row r="508" spans="1:19" x14ac:dyDescent="0.3">
      <c r="A508" s="3" t="s">
        <v>588</v>
      </c>
      <c r="B508" s="2">
        <v>45514</v>
      </c>
      <c r="C508" s="3" t="s">
        <v>86</v>
      </c>
      <c r="D508" s="3" t="s">
        <v>38</v>
      </c>
      <c r="E508" s="3" t="s">
        <v>71</v>
      </c>
      <c r="F508" s="3" t="s">
        <v>62</v>
      </c>
      <c r="G508" s="3" t="s">
        <v>63</v>
      </c>
      <c r="H508" s="3" t="s">
        <v>64</v>
      </c>
      <c r="I508" s="5">
        <v>11329.52</v>
      </c>
      <c r="J508" s="4">
        <v>8</v>
      </c>
      <c r="K508" s="1">
        <v>5</v>
      </c>
      <c r="L508" s="4">
        <v>2116.16</v>
      </c>
      <c r="M508" s="3" t="s">
        <v>28</v>
      </c>
      <c r="N508" s="3" t="s">
        <v>22</v>
      </c>
      <c r="O508" s="2" t="str">
        <f t="shared" si="35"/>
        <v>08-2024</v>
      </c>
      <c r="P508" t="str">
        <f t="shared" si="36"/>
        <v>2024</v>
      </c>
      <c r="Q508" s="6">
        <f t="shared" si="37"/>
        <v>0.18678284693438024</v>
      </c>
      <c r="R508" t="str">
        <f t="shared" si="38"/>
        <v>Profit</v>
      </c>
      <c r="S508" t="str">
        <f t="shared" si="39"/>
        <v>Low (1-10%)</v>
      </c>
    </row>
    <row r="509" spans="1:19" x14ac:dyDescent="0.3">
      <c r="A509" s="3" t="s">
        <v>589</v>
      </c>
      <c r="B509" s="2">
        <v>45675</v>
      </c>
      <c r="C509" s="3" t="s">
        <v>70</v>
      </c>
      <c r="D509" s="3" t="s">
        <v>56</v>
      </c>
      <c r="E509" s="3" t="s">
        <v>108</v>
      </c>
      <c r="F509" s="3" t="s">
        <v>18</v>
      </c>
      <c r="G509" s="3" t="s">
        <v>76</v>
      </c>
      <c r="H509" s="3" t="s">
        <v>77</v>
      </c>
      <c r="I509" s="5">
        <v>9266.8799999999992</v>
      </c>
      <c r="J509" s="4">
        <v>8</v>
      </c>
      <c r="K509" s="1">
        <v>0</v>
      </c>
      <c r="L509" s="4">
        <v>1156.0999999999999</v>
      </c>
      <c r="M509" s="3" t="s">
        <v>21</v>
      </c>
      <c r="N509" s="3" t="s">
        <v>22</v>
      </c>
      <c r="O509" s="2" t="str">
        <f t="shared" si="35"/>
        <v>01-2025</v>
      </c>
      <c r="P509" t="str">
        <f t="shared" si="36"/>
        <v>2025</v>
      </c>
      <c r="Q509" s="6">
        <f t="shared" si="37"/>
        <v>0.12475612072240064</v>
      </c>
      <c r="R509" t="str">
        <f t="shared" si="38"/>
        <v>Profit</v>
      </c>
      <c r="S509" t="str">
        <f t="shared" si="39"/>
        <v>No Discount</v>
      </c>
    </row>
    <row r="510" spans="1:19" x14ac:dyDescent="0.3">
      <c r="A510" s="3" t="s">
        <v>590</v>
      </c>
      <c r="B510" s="2">
        <v>45635</v>
      </c>
      <c r="C510" s="3" t="s">
        <v>84</v>
      </c>
      <c r="D510" s="3" t="s">
        <v>56</v>
      </c>
      <c r="E510" s="3" t="s">
        <v>108</v>
      </c>
      <c r="F510" s="3" t="s">
        <v>32</v>
      </c>
      <c r="G510" s="3" t="s">
        <v>58</v>
      </c>
      <c r="H510" s="3" t="s">
        <v>59</v>
      </c>
      <c r="I510" s="5">
        <v>272.92</v>
      </c>
      <c r="J510" s="4">
        <v>1</v>
      </c>
      <c r="K510" s="1">
        <v>28</v>
      </c>
      <c r="L510" s="4">
        <v>10.89</v>
      </c>
      <c r="M510" s="3" t="s">
        <v>21</v>
      </c>
      <c r="N510" s="3" t="s">
        <v>44</v>
      </c>
      <c r="O510" s="2" t="str">
        <f t="shared" si="35"/>
        <v>12-2024</v>
      </c>
      <c r="P510" t="str">
        <f t="shared" si="36"/>
        <v>2024</v>
      </c>
      <c r="Q510" s="6">
        <f t="shared" si="37"/>
        <v>3.9901802726073576E-2</v>
      </c>
      <c r="R510" t="str">
        <f t="shared" si="38"/>
        <v>Profit</v>
      </c>
      <c r="S510" t="str">
        <f t="shared" si="39"/>
        <v>High (&gt;20%)</v>
      </c>
    </row>
    <row r="511" spans="1:19" x14ac:dyDescent="0.3">
      <c r="A511" s="3" t="s">
        <v>591</v>
      </c>
      <c r="B511" s="2">
        <v>45745</v>
      </c>
      <c r="C511" s="3" t="s">
        <v>42</v>
      </c>
      <c r="D511" s="3" t="s">
        <v>16</v>
      </c>
      <c r="E511" s="3" t="s">
        <v>25</v>
      </c>
      <c r="F511" s="3" t="s">
        <v>32</v>
      </c>
      <c r="G511" s="3" t="s">
        <v>112</v>
      </c>
      <c r="H511" s="3" t="s">
        <v>113</v>
      </c>
      <c r="I511" s="5">
        <v>4504.24</v>
      </c>
      <c r="J511" s="4">
        <v>8</v>
      </c>
      <c r="K511" s="1">
        <v>17</v>
      </c>
      <c r="L511" s="4">
        <v>247.2</v>
      </c>
      <c r="M511" s="3" t="s">
        <v>28</v>
      </c>
      <c r="N511" s="3" t="s">
        <v>35</v>
      </c>
      <c r="O511" s="2" t="str">
        <f t="shared" si="35"/>
        <v>03-2025</v>
      </c>
      <c r="P511" t="str">
        <f t="shared" si="36"/>
        <v>2025</v>
      </c>
      <c r="Q511" s="6">
        <f t="shared" si="37"/>
        <v>5.4881622648881939E-2</v>
      </c>
      <c r="R511" t="str">
        <f t="shared" si="38"/>
        <v>Profit</v>
      </c>
      <c r="S511" t="str">
        <f t="shared" si="39"/>
        <v>Mid (11-20%)</v>
      </c>
    </row>
    <row r="512" spans="1:19" x14ac:dyDescent="0.3">
      <c r="A512" s="3" t="s">
        <v>592</v>
      </c>
      <c r="B512" s="2">
        <v>45788</v>
      </c>
      <c r="C512" s="3" t="s">
        <v>37</v>
      </c>
      <c r="D512" s="3" t="s">
        <v>38</v>
      </c>
      <c r="E512" s="3" t="s">
        <v>39</v>
      </c>
      <c r="F512" s="3" t="s">
        <v>18</v>
      </c>
      <c r="G512" s="3" t="s">
        <v>26</v>
      </c>
      <c r="H512" s="3" t="s">
        <v>27</v>
      </c>
      <c r="I512" s="5">
        <v>10977.06</v>
      </c>
      <c r="J512" s="4">
        <v>6</v>
      </c>
      <c r="K512" s="1">
        <v>25</v>
      </c>
      <c r="L512" s="4">
        <v>1104.0899999999999</v>
      </c>
      <c r="M512" s="3" t="s">
        <v>28</v>
      </c>
      <c r="N512" s="3" t="s">
        <v>35</v>
      </c>
      <c r="O512" s="2" t="str">
        <f t="shared" si="35"/>
        <v>05-2025</v>
      </c>
      <c r="P512" t="str">
        <f t="shared" si="36"/>
        <v>2025</v>
      </c>
      <c r="Q512" s="6">
        <f t="shared" si="37"/>
        <v>0.10058157648769342</v>
      </c>
      <c r="R512" t="str">
        <f t="shared" si="38"/>
        <v>Profit</v>
      </c>
      <c r="S512" t="str">
        <f t="shared" si="39"/>
        <v>High (&gt;20%)</v>
      </c>
    </row>
    <row r="513" spans="1:19" x14ac:dyDescent="0.3">
      <c r="A513" s="3" t="s">
        <v>593</v>
      </c>
      <c r="B513" s="2">
        <v>45700</v>
      </c>
      <c r="C513" s="3" t="s">
        <v>37</v>
      </c>
      <c r="D513" s="3" t="s">
        <v>89</v>
      </c>
      <c r="E513" s="3" t="s">
        <v>140</v>
      </c>
      <c r="F513" s="3" t="s">
        <v>62</v>
      </c>
      <c r="G513" s="3" t="s">
        <v>103</v>
      </c>
      <c r="H513" s="3" t="s">
        <v>104</v>
      </c>
      <c r="I513" s="5">
        <v>2171.56</v>
      </c>
      <c r="J513" s="4">
        <v>2</v>
      </c>
      <c r="K513" s="1">
        <v>13</v>
      </c>
      <c r="L513" s="4">
        <v>280.95999999999998</v>
      </c>
      <c r="M513" s="3" t="s">
        <v>21</v>
      </c>
      <c r="N513" s="3" t="s">
        <v>40</v>
      </c>
      <c r="O513" s="2" t="str">
        <f t="shared" si="35"/>
        <v>02-2025</v>
      </c>
      <c r="P513" t="str">
        <f t="shared" si="36"/>
        <v>2025</v>
      </c>
      <c r="Q513" s="6">
        <f t="shared" si="37"/>
        <v>0.1293816426900477</v>
      </c>
      <c r="R513" t="str">
        <f t="shared" si="38"/>
        <v>Profit</v>
      </c>
      <c r="S513" t="str">
        <f t="shared" si="39"/>
        <v>Mid (11-20%)</v>
      </c>
    </row>
    <row r="514" spans="1:19" x14ac:dyDescent="0.3">
      <c r="A514" s="3" t="s">
        <v>594</v>
      </c>
      <c r="B514" s="2">
        <v>45738</v>
      </c>
      <c r="C514" s="3" t="s">
        <v>86</v>
      </c>
      <c r="D514" s="3" t="s">
        <v>56</v>
      </c>
      <c r="E514" s="3" t="s">
        <v>57</v>
      </c>
      <c r="F514" s="3" t="s">
        <v>18</v>
      </c>
      <c r="G514" s="3" t="s">
        <v>76</v>
      </c>
      <c r="H514" s="3" t="s">
        <v>77</v>
      </c>
      <c r="I514" s="5">
        <v>11193.66</v>
      </c>
      <c r="J514" s="4">
        <v>6</v>
      </c>
      <c r="K514" s="1">
        <v>22</v>
      </c>
      <c r="L514" s="4">
        <v>1395.31</v>
      </c>
      <c r="M514" s="3" t="s">
        <v>51</v>
      </c>
      <c r="N514" s="3" t="s">
        <v>35</v>
      </c>
      <c r="O514" s="2" t="str">
        <f t="shared" ref="O514:O577" si="40" xml:space="preserve"> TEXT(B514,"MM-YYYY")</f>
        <v>03-2025</v>
      </c>
      <c r="P514" t="str">
        <f t="shared" ref="P514:P577" si="41">TEXT(B514,"YYYY")</f>
        <v>2025</v>
      </c>
      <c r="Q514" s="6">
        <f t="shared" ref="Q514:Q577" si="42">IFERROR(L514/I514,0)</f>
        <v>0.12465181182919617</v>
      </c>
      <c r="R514" t="str">
        <f t="shared" ref="R514:R577" si="43">IF(L514&gt;0,"Profit","Loss")</f>
        <v>Profit</v>
      </c>
      <c r="S514" t="str">
        <f t="shared" ref="S514:S577" si="44">IF(K514=0,"No Discount",IF(K514&lt;=10,"Low (1-10%)",IF(K514&lt;=20,"Mid (11-20%)","High (&gt;20%)")))</f>
        <v>High (&gt;20%)</v>
      </c>
    </row>
    <row r="515" spans="1:19" x14ac:dyDescent="0.3">
      <c r="A515" s="3" t="s">
        <v>595</v>
      </c>
      <c r="B515" s="2">
        <v>45500</v>
      </c>
      <c r="C515" s="3" t="s">
        <v>75</v>
      </c>
      <c r="D515" s="3" t="s">
        <v>38</v>
      </c>
      <c r="E515" s="3" t="s">
        <v>53</v>
      </c>
      <c r="F515" s="3" t="s">
        <v>62</v>
      </c>
      <c r="G515" s="3" t="s">
        <v>63</v>
      </c>
      <c r="H515" s="3" t="s">
        <v>64</v>
      </c>
      <c r="I515" s="5">
        <v>4010.25</v>
      </c>
      <c r="J515" s="4">
        <v>3</v>
      </c>
      <c r="K515" s="1">
        <v>26</v>
      </c>
      <c r="L515" s="4">
        <v>727.88</v>
      </c>
      <c r="M515" s="3" t="s">
        <v>21</v>
      </c>
      <c r="N515" s="3" t="s">
        <v>22</v>
      </c>
      <c r="O515" s="2" t="str">
        <f t="shared" si="40"/>
        <v>07-2024</v>
      </c>
      <c r="P515" t="str">
        <f t="shared" si="41"/>
        <v>2024</v>
      </c>
      <c r="Q515" s="6">
        <f t="shared" si="42"/>
        <v>0.18150489370986847</v>
      </c>
      <c r="R515" t="str">
        <f t="shared" si="43"/>
        <v>Profit</v>
      </c>
      <c r="S515" t="str">
        <f t="shared" si="44"/>
        <v>High (&gt;20%)</v>
      </c>
    </row>
    <row r="516" spans="1:19" x14ac:dyDescent="0.3">
      <c r="A516" s="3" t="s">
        <v>596</v>
      </c>
      <c r="B516" s="2">
        <v>45487</v>
      </c>
      <c r="C516" s="3" t="s">
        <v>70</v>
      </c>
      <c r="D516" s="3" t="s">
        <v>56</v>
      </c>
      <c r="E516" s="3" t="s">
        <v>61</v>
      </c>
      <c r="F516" s="3" t="s">
        <v>62</v>
      </c>
      <c r="G516" s="3" t="s">
        <v>80</v>
      </c>
      <c r="H516" s="3" t="s">
        <v>81</v>
      </c>
      <c r="I516" s="5">
        <v>4750.32</v>
      </c>
      <c r="J516" s="4">
        <v>4</v>
      </c>
      <c r="K516" s="1">
        <v>4</v>
      </c>
      <c r="L516" s="4">
        <v>734.25</v>
      </c>
      <c r="M516" s="3" t="s">
        <v>28</v>
      </c>
      <c r="N516" s="3" t="s">
        <v>35</v>
      </c>
      <c r="O516" s="2" t="str">
        <f t="shared" si="40"/>
        <v>07-2024</v>
      </c>
      <c r="P516" t="str">
        <f t="shared" si="41"/>
        <v>2024</v>
      </c>
      <c r="Q516" s="6">
        <f t="shared" si="42"/>
        <v>0.15456853433031881</v>
      </c>
      <c r="R516" t="str">
        <f t="shared" si="43"/>
        <v>Profit</v>
      </c>
      <c r="S516" t="str">
        <f t="shared" si="44"/>
        <v>Low (1-10%)</v>
      </c>
    </row>
    <row r="517" spans="1:19" x14ac:dyDescent="0.3">
      <c r="A517" s="3" t="s">
        <v>597</v>
      </c>
      <c r="B517" s="2">
        <v>45575</v>
      </c>
      <c r="C517" s="3" t="s">
        <v>99</v>
      </c>
      <c r="D517" s="3" t="s">
        <v>56</v>
      </c>
      <c r="E517" s="3" t="s">
        <v>108</v>
      </c>
      <c r="F517" s="3" t="s">
        <v>18</v>
      </c>
      <c r="G517" s="3" t="s">
        <v>76</v>
      </c>
      <c r="H517" s="3" t="s">
        <v>77</v>
      </c>
      <c r="I517" s="5">
        <v>10634.96</v>
      </c>
      <c r="J517" s="4">
        <v>7</v>
      </c>
      <c r="K517" s="1">
        <v>26</v>
      </c>
      <c r="L517" s="4">
        <v>1835.22</v>
      </c>
      <c r="M517" s="3" t="s">
        <v>28</v>
      </c>
      <c r="N517" s="3" t="s">
        <v>35</v>
      </c>
      <c r="O517" s="2" t="str">
        <f t="shared" si="40"/>
        <v>10-2024</v>
      </c>
      <c r="P517" t="str">
        <f t="shared" si="41"/>
        <v>2024</v>
      </c>
      <c r="Q517" s="6">
        <f t="shared" si="42"/>
        <v>0.17256482393915917</v>
      </c>
      <c r="R517" t="str">
        <f t="shared" si="43"/>
        <v>Profit</v>
      </c>
      <c r="S517" t="str">
        <f t="shared" si="44"/>
        <v>High (&gt;20%)</v>
      </c>
    </row>
    <row r="518" spans="1:19" x14ac:dyDescent="0.3">
      <c r="A518" s="3" t="s">
        <v>598</v>
      </c>
      <c r="B518" s="2">
        <v>45566</v>
      </c>
      <c r="C518" s="3" t="s">
        <v>30</v>
      </c>
      <c r="D518" s="3" t="s">
        <v>56</v>
      </c>
      <c r="E518" s="3" t="s">
        <v>57</v>
      </c>
      <c r="F518" s="3" t="s">
        <v>62</v>
      </c>
      <c r="G518" s="3" t="s">
        <v>80</v>
      </c>
      <c r="H518" s="3" t="s">
        <v>81</v>
      </c>
      <c r="I518" s="5">
        <v>8077.59</v>
      </c>
      <c r="J518" s="4">
        <v>9</v>
      </c>
      <c r="K518" s="1">
        <v>14</v>
      </c>
      <c r="L518" s="4">
        <v>1715</v>
      </c>
      <c r="M518" s="3" t="s">
        <v>51</v>
      </c>
      <c r="N518" s="3" t="s">
        <v>40</v>
      </c>
      <c r="O518" s="2" t="str">
        <f t="shared" si="40"/>
        <v>10-2024</v>
      </c>
      <c r="P518" t="str">
        <f t="shared" si="41"/>
        <v>2024</v>
      </c>
      <c r="Q518" s="6">
        <f t="shared" si="42"/>
        <v>0.21231580211424447</v>
      </c>
      <c r="R518" t="str">
        <f t="shared" si="43"/>
        <v>Profit</v>
      </c>
      <c r="S518" t="str">
        <f t="shared" si="44"/>
        <v>Mid (11-20%)</v>
      </c>
    </row>
    <row r="519" spans="1:19" x14ac:dyDescent="0.3">
      <c r="A519" s="3" t="s">
        <v>599</v>
      </c>
      <c r="B519" s="2">
        <v>45517</v>
      </c>
      <c r="C519" s="3" t="s">
        <v>42</v>
      </c>
      <c r="D519" s="3" t="s">
        <v>56</v>
      </c>
      <c r="E519" s="3" t="s">
        <v>108</v>
      </c>
      <c r="F519" s="3" t="s">
        <v>18</v>
      </c>
      <c r="G519" s="3" t="s">
        <v>94</v>
      </c>
      <c r="H519" s="3" t="s">
        <v>95</v>
      </c>
      <c r="I519" s="5">
        <v>6500.83</v>
      </c>
      <c r="J519" s="4">
        <v>7</v>
      </c>
      <c r="K519" s="1">
        <v>4</v>
      </c>
      <c r="L519" s="4">
        <v>487.42</v>
      </c>
      <c r="M519" s="3" t="s">
        <v>28</v>
      </c>
      <c r="N519" s="3" t="s">
        <v>35</v>
      </c>
      <c r="O519" s="2" t="str">
        <f t="shared" si="40"/>
        <v>08-2024</v>
      </c>
      <c r="P519" t="str">
        <f t="shared" si="41"/>
        <v>2024</v>
      </c>
      <c r="Q519" s="6">
        <f t="shared" si="42"/>
        <v>7.4978118178755646E-2</v>
      </c>
      <c r="R519" t="str">
        <f t="shared" si="43"/>
        <v>Profit</v>
      </c>
      <c r="S519" t="str">
        <f t="shared" si="44"/>
        <v>Low (1-10%)</v>
      </c>
    </row>
    <row r="520" spans="1:19" x14ac:dyDescent="0.3">
      <c r="A520" s="3" t="s">
        <v>600</v>
      </c>
      <c r="B520" s="2">
        <v>45773</v>
      </c>
      <c r="C520" s="3" t="s">
        <v>101</v>
      </c>
      <c r="D520" s="3" t="s">
        <v>56</v>
      </c>
      <c r="E520" s="3" t="s">
        <v>61</v>
      </c>
      <c r="F520" s="3" t="s">
        <v>18</v>
      </c>
      <c r="G520" s="3" t="s">
        <v>26</v>
      </c>
      <c r="H520" s="3" t="s">
        <v>27</v>
      </c>
      <c r="I520" s="5">
        <v>1274.67</v>
      </c>
      <c r="J520" s="4">
        <v>1</v>
      </c>
      <c r="K520" s="1">
        <v>29</v>
      </c>
      <c r="L520" s="4">
        <v>80.58</v>
      </c>
      <c r="M520" s="3" t="s">
        <v>21</v>
      </c>
      <c r="N520" s="3" t="s">
        <v>44</v>
      </c>
      <c r="O520" s="2" t="str">
        <f t="shared" si="40"/>
        <v>04-2025</v>
      </c>
      <c r="P520" t="str">
        <f t="shared" si="41"/>
        <v>2025</v>
      </c>
      <c r="Q520" s="6">
        <f t="shared" si="42"/>
        <v>6.3216361881898844E-2</v>
      </c>
      <c r="R520" t="str">
        <f t="shared" si="43"/>
        <v>Profit</v>
      </c>
      <c r="S520" t="str">
        <f t="shared" si="44"/>
        <v>High (&gt;20%)</v>
      </c>
    </row>
    <row r="521" spans="1:19" x14ac:dyDescent="0.3">
      <c r="A521" s="3" t="s">
        <v>601</v>
      </c>
      <c r="B521" s="2">
        <v>45432</v>
      </c>
      <c r="C521" s="3" t="s">
        <v>50</v>
      </c>
      <c r="D521" s="3" t="s">
        <v>56</v>
      </c>
      <c r="E521" s="3" t="s">
        <v>57</v>
      </c>
      <c r="F521" s="3" t="s">
        <v>18</v>
      </c>
      <c r="G521" s="3" t="s">
        <v>26</v>
      </c>
      <c r="H521" s="3" t="s">
        <v>27</v>
      </c>
      <c r="I521" s="5">
        <v>691.44</v>
      </c>
      <c r="J521" s="4">
        <v>1</v>
      </c>
      <c r="K521" s="1">
        <v>7.0000000000000009</v>
      </c>
      <c r="L521" s="4">
        <v>70.819999999999993</v>
      </c>
      <c r="M521" s="3" t="s">
        <v>21</v>
      </c>
      <c r="N521" s="3" t="s">
        <v>40</v>
      </c>
      <c r="O521" s="2" t="str">
        <f t="shared" si="40"/>
        <v>05-2024</v>
      </c>
      <c r="P521" t="str">
        <f t="shared" si="41"/>
        <v>2024</v>
      </c>
      <c r="Q521" s="6">
        <f t="shared" si="42"/>
        <v>0.10242392687724168</v>
      </c>
      <c r="R521" t="str">
        <f t="shared" si="43"/>
        <v>Profit</v>
      </c>
      <c r="S521" t="str">
        <f t="shared" si="44"/>
        <v>Low (1-10%)</v>
      </c>
    </row>
    <row r="522" spans="1:19" x14ac:dyDescent="0.3">
      <c r="A522" s="3" t="s">
        <v>602</v>
      </c>
      <c r="B522" s="2">
        <v>45522</v>
      </c>
      <c r="C522" s="3" t="s">
        <v>75</v>
      </c>
      <c r="D522" s="3" t="s">
        <v>56</v>
      </c>
      <c r="E522" s="3" t="s">
        <v>57</v>
      </c>
      <c r="F522" s="3" t="s">
        <v>62</v>
      </c>
      <c r="G522" s="3" t="s">
        <v>80</v>
      </c>
      <c r="H522" s="3" t="s">
        <v>81</v>
      </c>
      <c r="I522" s="5">
        <v>4727.04</v>
      </c>
      <c r="J522" s="4">
        <v>8</v>
      </c>
      <c r="K522" s="1">
        <v>7.0000000000000009</v>
      </c>
      <c r="L522" s="4">
        <v>897.77</v>
      </c>
      <c r="M522" s="3" t="s">
        <v>51</v>
      </c>
      <c r="N522" s="3" t="s">
        <v>44</v>
      </c>
      <c r="O522" s="2" t="str">
        <f t="shared" si="40"/>
        <v>08-2024</v>
      </c>
      <c r="P522" t="str">
        <f t="shared" si="41"/>
        <v>2024</v>
      </c>
      <c r="Q522" s="6">
        <f t="shared" si="42"/>
        <v>0.18992223463308963</v>
      </c>
      <c r="R522" t="str">
        <f t="shared" si="43"/>
        <v>Profit</v>
      </c>
      <c r="S522" t="str">
        <f t="shared" si="44"/>
        <v>Low (1-10%)</v>
      </c>
    </row>
    <row r="523" spans="1:19" x14ac:dyDescent="0.3">
      <c r="A523" s="3" t="s">
        <v>603</v>
      </c>
      <c r="B523" s="2">
        <v>45587</v>
      </c>
      <c r="C523" s="3" t="s">
        <v>24</v>
      </c>
      <c r="D523" s="3" t="s">
        <v>38</v>
      </c>
      <c r="E523" s="3" t="s">
        <v>39</v>
      </c>
      <c r="F523" s="3" t="s">
        <v>62</v>
      </c>
      <c r="G523" s="3" t="s">
        <v>80</v>
      </c>
      <c r="H523" s="3" t="s">
        <v>81</v>
      </c>
      <c r="I523" s="5">
        <v>1537.62</v>
      </c>
      <c r="J523" s="4">
        <v>2</v>
      </c>
      <c r="K523" s="1">
        <v>16</v>
      </c>
      <c r="L523" s="4">
        <v>200.98</v>
      </c>
      <c r="M523" s="3" t="s">
        <v>51</v>
      </c>
      <c r="N523" s="3" t="s">
        <v>35</v>
      </c>
      <c r="O523" s="2" t="str">
        <f t="shared" si="40"/>
        <v>10-2024</v>
      </c>
      <c r="P523" t="str">
        <f t="shared" si="41"/>
        <v>2024</v>
      </c>
      <c r="Q523" s="6">
        <f t="shared" si="42"/>
        <v>0.13070849754815886</v>
      </c>
      <c r="R523" t="str">
        <f t="shared" si="43"/>
        <v>Profit</v>
      </c>
      <c r="S523" t="str">
        <f t="shared" si="44"/>
        <v>Mid (11-20%)</v>
      </c>
    </row>
    <row r="524" spans="1:19" x14ac:dyDescent="0.3">
      <c r="A524" s="3" t="s">
        <v>604</v>
      </c>
      <c r="B524" s="2">
        <v>45527</v>
      </c>
      <c r="C524" s="3" t="s">
        <v>30</v>
      </c>
      <c r="D524" s="3" t="s">
        <v>16</v>
      </c>
      <c r="E524" s="3" t="s">
        <v>17</v>
      </c>
      <c r="F524" s="3" t="s">
        <v>32</v>
      </c>
      <c r="G524" s="3" t="s">
        <v>58</v>
      </c>
      <c r="H524" s="3" t="s">
        <v>59</v>
      </c>
      <c r="I524" s="5">
        <v>1810.43</v>
      </c>
      <c r="J524" s="4">
        <v>1</v>
      </c>
      <c r="K524" s="1">
        <v>23</v>
      </c>
      <c r="L524" s="4">
        <v>137.33000000000001</v>
      </c>
      <c r="M524" s="3" t="s">
        <v>51</v>
      </c>
      <c r="N524" s="3" t="s">
        <v>40</v>
      </c>
      <c r="O524" s="2" t="str">
        <f t="shared" si="40"/>
        <v>08-2024</v>
      </c>
      <c r="P524" t="str">
        <f t="shared" si="41"/>
        <v>2024</v>
      </c>
      <c r="Q524" s="6">
        <f t="shared" si="42"/>
        <v>7.5854907397690061E-2</v>
      </c>
      <c r="R524" t="str">
        <f t="shared" si="43"/>
        <v>Profit</v>
      </c>
      <c r="S524" t="str">
        <f t="shared" si="44"/>
        <v>High (&gt;20%)</v>
      </c>
    </row>
    <row r="525" spans="1:19" x14ac:dyDescent="0.3">
      <c r="A525" s="3" t="s">
        <v>605</v>
      </c>
      <c r="B525" s="2">
        <v>45753</v>
      </c>
      <c r="C525" s="3" t="s">
        <v>99</v>
      </c>
      <c r="D525" s="3" t="s">
        <v>89</v>
      </c>
      <c r="E525" s="3" t="s">
        <v>90</v>
      </c>
      <c r="F525" s="3" t="s">
        <v>32</v>
      </c>
      <c r="G525" s="3" t="s">
        <v>112</v>
      </c>
      <c r="H525" s="3" t="s">
        <v>113</v>
      </c>
      <c r="I525" s="5">
        <v>3655.08</v>
      </c>
      <c r="J525" s="4">
        <v>6</v>
      </c>
      <c r="K525" s="1">
        <v>24</v>
      </c>
      <c r="L525" s="4">
        <v>312.39999999999998</v>
      </c>
      <c r="M525" s="3" t="s">
        <v>51</v>
      </c>
      <c r="N525" s="3" t="s">
        <v>44</v>
      </c>
      <c r="O525" s="2" t="str">
        <f t="shared" si="40"/>
        <v>04-2025</v>
      </c>
      <c r="P525" t="str">
        <f t="shared" si="41"/>
        <v>2025</v>
      </c>
      <c r="Q525" s="6">
        <f t="shared" si="42"/>
        <v>8.5470085470085472E-2</v>
      </c>
      <c r="R525" t="str">
        <f t="shared" si="43"/>
        <v>Profit</v>
      </c>
      <c r="S525" t="str">
        <f t="shared" si="44"/>
        <v>High (&gt;20%)</v>
      </c>
    </row>
    <row r="526" spans="1:19" x14ac:dyDescent="0.3">
      <c r="A526" s="3" t="s">
        <v>606</v>
      </c>
      <c r="B526" s="2">
        <v>45472</v>
      </c>
      <c r="C526" s="3" t="s">
        <v>133</v>
      </c>
      <c r="D526" s="3" t="s">
        <v>89</v>
      </c>
      <c r="E526" s="3" t="s">
        <v>90</v>
      </c>
      <c r="F526" s="3" t="s">
        <v>18</v>
      </c>
      <c r="G526" s="3" t="s">
        <v>94</v>
      </c>
      <c r="H526" s="3" t="s">
        <v>95</v>
      </c>
      <c r="I526" s="5">
        <v>13777.2</v>
      </c>
      <c r="J526" s="4">
        <v>8</v>
      </c>
      <c r="K526" s="1">
        <v>26</v>
      </c>
      <c r="L526" s="4">
        <v>1489.44</v>
      </c>
      <c r="M526" s="3" t="s">
        <v>28</v>
      </c>
      <c r="N526" s="3" t="s">
        <v>35</v>
      </c>
      <c r="O526" s="2" t="str">
        <f t="shared" si="40"/>
        <v>06-2024</v>
      </c>
      <c r="P526" t="str">
        <f t="shared" si="41"/>
        <v>2024</v>
      </c>
      <c r="Q526" s="6">
        <f t="shared" si="42"/>
        <v>0.1081090497343437</v>
      </c>
      <c r="R526" t="str">
        <f t="shared" si="43"/>
        <v>Profit</v>
      </c>
      <c r="S526" t="str">
        <f t="shared" si="44"/>
        <v>High (&gt;20%)</v>
      </c>
    </row>
    <row r="527" spans="1:19" x14ac:dyDescent="0.3">
      <c r="A527" s="3" t="s">
        <v>607</v>
      </c>
      <c r="B527" s="2">
        <v>45460</v>
      </c>
      <c r="C527" s="3" t="s">
        <v>133</v>
      </c>
      <c r="D527" s="3" t="s">
        <v>89</v>
      </c>
      <c r="E527" s="3" t="s">
        <v>140</v>
      </c>
      <c r="F527" s="3" t="s">
        <v>32</v>
      </c>
      <c r="G527" s="3" t="s">
        <v>112</v>
      </c>
      <c r="H527" s="3" t="s">
        <v>113</v>
      </c>
      <c r="I527" s="5">
        <v>885.69</v>
      </c>
      <c r="J527" s="4">
        <v>3</v>
      </c>
      <c r="K527" s="1">
        <v>9</v>
      </c>
      <c r="L527" s="4">
        <v>163.4</v>
      </c>
      <c r="M527" s="3" t="s">
        <v>21</v>
      </c>
      <c r="N527" s="3" t="s">
        <v>35</v>
      </c>
      <c r="O527" s="2" t="str">
        <f t="shared" si="40"/>
        <v>06-2024</v>
      </c>
      <c r="P527" t="str">
        <f t="shared" si="41"/>
        <v>2024</v>
      </c>
      <c r="Q527" s="6">
        <f t="shared" si="42"/>
        <v>0.18448892953516466</v>
      </c>
      <c r="R527" t="str">
        <f t="shared" si="43"/>
        <v>Profit</v>
      </c>
      <c r="S527" t="str">
        <f t="shared" si="44"/>
        <v>Low (1-10%)</v>
      </c>
    </row>
    <row r="528" spans="1:19" x14ac:dyDescent="0.3">
      <c r="A528" s="3" t="s">
        <v>608</v>
      </c>
      <c r="B528" s="2">
        <v>45453</v>
      </c>
      <c r="C528" s="3" t="s">
        <v>50</v>
      </c>
      <c r="D528" s="3" t="s">
        <v>16</v>
      </c>
      <c r="E528" s="3" t="s">
        <v>25</v>
      </c>
      <c r="F528" s="3" t="s">
        <v>32</v>
      </c>
      <c r="G528" s="3" t="s">
        <v>58</v>
      </c>
      <c r="H528" s="3" t="s">
        <v>59</v>
      </c>
      <c r="I528" s="5">
        <v>2487.84</v>
      </c>
      <c r="J528" s="4">
        <v>3</v>
      </c>
      <c r="K528" s="1">
        <v>14</v>
      </c>
      <c r="L528" s="4">
        <v>238.19</v>
      </c>
      <c r="M528" s="3" t="s">
        <v>21</v>
      </c>
      <c r="N528" s="3" t="s">
        <v>35</v>
      </c>
      <c r="O528" s="2" t="str">
        <f t="shared" si="40"/>
        <v>06-2024</v>
      </c>
      <c r="P528" t="str">
        <f t="shared" si="41"/>
        <v>2024</v>
      </c>
      <c r="Q528" s="6">
        <f t="shared" si="42"/>
        <v>9.5741687568332359E-2</v>
      </c>
      <c r="R528" t="str">
        <f t="shared" si="43"/>
        <v>Profit</v>
      </c>
      <c r="S528" t="str">
        <f t="shared" si="44"/>
        <v>Mid (11-20%)</v>
      </c>
    </row>
    <row r="529" spans="1:19" x14ac:dyDescent="0.3">
      <c r="A529" s="3" t="s">
        <v>609</v>
      </c>
      <c r="B529" s="2">
        <v>45581</v>
      </c>
      <c r="C529" s="3" t="s">
        <v>70</v>
      </c>
      <c r="D529" s="3" t="s">
        <v>38</v>
      </c>
      <c r="E529" s="3" t="s">
        <v>43</v>
      </c>
      <c r="F529" s="3" t="s">
        <v>18</v>
      </c>
      <c r="G529" s="3" t="s">
        <v>19</v>
      </c>
      <c r="H529" s="3" t="s">
        <v>20</v>
      </c>
      <c r="I529" s="5">
        <v>5495.37</v>
      </c>
      <c r="J529" s="4">
        <v>3</v>
      </c>
      <c r="K529" s="1">
        <v>23</v>
      </c>
      <c r="L529" s="4">
        <v>446.3</v>
      </c>
      <c r="M529" s="3" t="s">
        <v>51</v>
      </c>
      <c r="N529" s="3" t="s">
        <v>35</v>
      </c>
      <c r="O529" s="2" t="str">
        <f t="shared" si="40"/>
        <v>10-2024</v>
      </c>
      <c r="P529" t="str">
        <f t="shared" si="41"/>
        <v>2024</v>
      </c>
      <c r="Q529" s="6">
        <f t="shared" si="42"/>
        <v>8.1213821817275267E-2</v>
      </c>
      <c r="R529" t="str">
        <f t="shared" si="43"/>
        <v>Profit</v>
      </c>
      <c r="S529" t="str">
        <f t="shared" si="44"/>
        <v>High (&gt;20%)</v>
      </c>
    </row>
    <row r="530" spans="1:19" x14ac:dyDescent="0.3">
      <c r="A530" s="3" t="s">
        <v>610</v>
      </c>
      <c r="B530" s="2">
        <v>45437</v>
      </c>
      <c r="C530" s="3" t="s">
        <v>86</v>
      </c>
      <c r="D530" s="3" t="s">
        <v>89</v>
      </c>
      <c r="E530" s="3" t="s">
        <v>90</v>
      </c>
      <c r="F530" s="3" t="s">
        <v>18</v>
      </c>
      <c r="G530" s="3" t="s">
        <v>19</v>
      </c>
      <c r="H530" s="3" t="s">
        <v>20</v>
      </c>
      <c r="I530" s="5">
        <v>1442.88</v>
      </c>
      <c r="J530" s="4">
        <v>4</v>
      </c>
      <c r="K530" s="1">
        <v>26</v>
      </c>
      <c r="L530" s="4">
        <v>102.37</v>
      </c>
      <c r="M530" s="3" t="s">
        <v>21</v>
      </c>
      <c r="N530" s="3" t="s">
        <v>35</v>
      </c>
      <c r="O530" s="2" t="str">
        <f t="shared" si="40"/>
        <v>05-2024</v>
      </c>
      <c r="P530" t="str">
        <f t="shared" si="41"/>
        <v>2024</v>
      </c>
      <c r="Q530" s="6">
        <f t="shared" si="42"/>
        <v>7.0948381015746284E-2</v>
      </c>
      <c r="R530" t="str">
        <f t="shared" si="43"/>
        <v>Profit</v>
      </c>
      <c r="S530" t="str">
        <f t="shared" si="44"/>
        <v>High (&gt;20%)</v>
      </c>
    </row>
    <row r="531" spans="1:19" x14ac:dyDescent="0.3">
      <c r="A531" s="3" t="s">
        <v>611</v>
      </c>
      <c r="B531" s="2">
        <v>45543</v>
      </c>
      <c r="C531" s="3" t="s">
        <v>42</v>
      </c>
      <c r="D531" s="3" t="s">
        <v>16</v>
      </c>
      <c r="E531" s="3" t="s">
        <v>31</v>
      </c>
      <c r="F531" s="3" t="s">
        <v>62</v>
      </c>
      <c r="G531" s="3" t="s">
        <v>103</v>
      </c>
      <c r="H531" s="3" t="s">
        <v>104</v>
      </c>
      <c r="I531" s="5">
        <v>2633.13</v>
      </c>
      <c r="J531" s="4">
        <v>3</v>
      </c>
      <c r="K531" s="1">
        <v>25</v>
      </c>
      <c r="L531" s="4">
        <v>115.07</v>
      </c>
      <c r="M531" s="3" t="s">
        <v>21</v>
      </c>
      <c r="N531" s="3" t="s">
        <v>35</v>
      </c>
      <c r="O531" s="2" t="str">
        <f t="shared" si="40"/>
        <v>09-2024</v>
      </c>
      <c r="P531" t="str">
        <f t="shared" si="41"/>
        <v>2024</v>
      </c>
      <c r="Q531" s="6">
        <f t="shared" si="42"/>
        <v>4.3700842723298883E-2</v>
      </c>
      <c r="R531" t="str">
        <f t="shared" si="43"/>
        <v>Profit</v>
      </c>
      <c r="S531" t="str">
        <f t="shared" si="44"/>
        <v>High (&gt;20%)</v>
      </c>
    </row>
    <row r="532" spans="1:19" x14ac:dyDescent="0.3">
      <c r="A532" s="3" t="s">
        <v>612</v>
      </c>
      <c r="B532" s="2">
        <v>45608</v>
      </c>
      <c r="C532" s="3" t="s">
        <v>50</v>
      </c>
      <c r="D532" s="3" t="s">
        <v>38</v>
      </c>
      <c r="E532" s="3" t="s">
        <v>71</v>
      </c>
      <c r="F532" s="3" t="s">
        <v>32</v>
      </c>
      <c r="G532" s="3" t="s">
        <v>112</v>
      </c>
      <c r="H532" s="3" t="s">
        <v>113</v>
      </c>
      <c r="I532" s="5">
        <v>5779.32</v>
      </c>
      <c r="J532" s="4">
        <v>6</v>
      </c>
      <c r="K532" s="1">
        <v>22</v>
      </c>
      <c r="L532" s="4">
        <v>942.97</v>
      </c>
      <c r="M532" s="3" t="s">
        <v>28</v>
      </c>
      <c r="N532" s="3" t="s">
        <v>44</v>
      </c>
      <c r="O532" s="2" t="str">
        <f t="shared" si="40"/>
        <v>11-2024</v>
      </c>
      <c r="P532" t="str">
        <f t="shared" si="41"/>
        <v>2024</v>
      </c>
      <c r="Q532" s="6">
        <f t="shared" si="42"/>
        <v>0.16316279423876859</v>
      </c>
      <c r="R532" t="str">
        <f t="shared" si="43"/>
        <v>Profit</v>
      </c>
      <c r="S532" t="str">
        <f t="shared" si="44"/>
        <v>High (&gt;20%)</v>
      </c>
    </row>
    <row r="533" spans="1:19" x14ac:dyDescent="0.3">
      <c r="A533" s="3" t="s">
        <v>613</v>
      </c>
      <c r="B533" s="2">
        <v>45761</v>
      </c>
      <c r="C533" s="3" t="s">
        <v>70</v>
      </c>
      <c r="D533" s="3" t="s">
        <v>16</v>
      </c>
      <c r="E533" s="3" t="s">
        <v>25</v>
      </c>
      <c r="F533" s="3" t="s">
        <v>32</v>
      </c>
      <c r="G533" s="3" t="s">
        <v>33</v>
      </c>
      <c r="H533" s="3" t="s">
        <v>34</v>
      </c>
      <c r="I533" s="5">
        <v>7465.05</v>
      </c>
      <c r="J533" s="4">
        <v>9</v>
      </c>
      <c r="K533" s="1">
        <v>7.0000000000000009</v>
      </c>
      <c r="L533" s="4">
        <v>1321.87</v>
      </c>
      <c r="M533" s="3" t="s">
        <v>28</v>
      </c>
      <c r="N533" s="3" t="s">
        <v>22</v>
      </c>
      <c r="O533" s="2" t="str">
        <f t="shared" si="40"/>
        <v>04-2025</v>
      </c>
      <c r="P533" t="str">
        <f t="shared" si="41"/>
        <v>2025</v>
      </c>
      <c r="Q533" s="6">
        <f t="shared" si="42"/>
        <v>0.17707450050568982</v>
      </c>
      <c r="R533" t="str">
        <f t="shared" si="43"/>
        <v>Profit</v>
      </c>
      <c r="S533" t="str">
        <f t="shared" si="44"/>
        <v>Low (1-10%)</v>
      </c>
    </row>
    <row r="534" spans="1:19" x14ac:dyDescent="0.3">
      <c r="A534" s="3" t="s">
        <v>614</v>
      </c>
      <c r="B534" s="2">
        <v>45755</v>
      </c>
      <c r="C534" s="3" t="s">
        <v>30</v>
      </c>
      <c r="D534" s="3" t="s">
        <v>89</v>
      </c>
      <c r="E534" s="3" t="s">
        <v>97</v>
      </c>
      <c r="F534" s="3" t="s">
        <v>62</v>
      </c>
      <c r="G534" s="3" t="s">
        <v>67</v>
      </c>
      <c r="H534" s="3" t="s">
        <v>68</v>
      </c>
      <c r="I534" s="5">
        <v>6946.32</v>
      </c>
      <c r="J534" s="4">
        <v>8</v>
      </c>
      <c r="K534" s="1">
        <v>9</v>
      </c>
      <c r="L534" s="4">
        <v>1002.14</v>
      </c>
      <c r="M534" s="3" t="s">
        <v>51</v>
      </c>
      <c r="N534" s="3" t="s">
        <v>44</v>
      </c>
      <c r="O534" s="2" t="str">
        <f t="shared" si="40"/>
        <v>04-2025</v>
      </c>
      <c r="P534" t="str">
        <f t="shared" si="41"/>
        <v>2025</v>
      </c>
      <c r="Q534" s="6">
        <f t="shared" si="42"/>
        <v>0.14426919577560493</v>
      </c>
      <c r="R534" t="str">
        <f t="shared" si="43"/>
        <v>Profit</v>
      </c>
      <c r="S534" t="str">
        <f t="shared" si="44"/>
        <v>Low (1-10%)</v>
      </c>
    </row>
    <row r="535" spans="1:19" x14ac:dyDescent="0.3">
      <c r="A535" s="3" t="s">
        <v>615</v>
      </c>
      <c r="B535" s="2">
        <v>45650</v>
      </c>
      <c r="C535" s="3" t="s">
        <v>99</v>
      </c>
      <c r="D535" s="3" t="s">
        <v>16</v>
      </c>
      <c r="E535" s="3" t="s">
        <v>31</v>
      </c>
      <c r="F535" s="3" t="s">
        <v>62</v>
      </c>
      <c r="G535" s="3" t="s">
        <v>80</v>
      </c>
      <c r="H535" s="3" t="s">
        <v>81</v>
      </c>
      <c r="I535" s="5">
        <v>10411.74</v>
      </c>
      <c r="J535" s="4">
        <v>9</v>
      </c>
      <c r="K535" s="1">
        <v>8</v>
      </c>
      <c r="L535" s="4">
        <v>1770.95</v>
      </c>
      <c r="M535" s="3" t="s">
        <v>51</v>
      </c>
      <c r="N535" s="3" t="s">
        <v>40</v>
      </c>
      <c r="O535" s="2" t="str">
        <f t="shared" si="40"/>
        <v>12-2024</v>
      </c>
      <c r="P535" t="str">
        <f t="shared" si="41"/>
        <v>2024</v>
      </c>
      <c r="Q535" s="6">
        <f t="shared" si="42"/>
        <v>0.17009164654514999</v>
      </c>
      <c r="R535" t="str">
        <f t="shared" si="43"/>
        <v>Profit</v>
      </c>
      <c r="S535" t="str">
        <f t="shared" si="44"/>
        <v>Low (1-10%)</v>
      </c>
    </row>
    <row r="536" spans="1:19" x14ac:dyDescent="0.3">
      <c r="A536" s="3" t="s">
        <v>616</v>
      </c>
      <c r="B536" s="2">
        <v>45634</v>
      </c>
      <c r="C536" s="3" t="s">
        <v>99</v>
      </c>
      <c r="D536" s="3" t="s">
        <v>16</v>
      </c>
      <c r="E536" s="3" t="s">
        <v>31</v>
      </c>
      <c r="F536" s="3" t="s">
        <v>62</v>
      </c>
      <c r="G536" s="3" t="s">
        <v>80</v>
      </c>
      <c r="H536" s="3" t="s">
        <v>81</v>
      </c>
      <c r="I536" s="5">
        <v>1582.35</v>
      </c>
      <c r="J536" s="4">
        <v>7</v>
      </c>
      <c r="K536" s="1">
        <v>23</v>
      </c>
      <c r="L536" s="4">
        <v>68.91</v>
      </c>
      <c r="M536" s="3" t="s">
        <v>28</v>
      </c>
      <c r="N536" s="3" t="s">
        <v>40</v>
      </c>
      <c r="O536" s="2" t="str">
        <f t="shared" si="40"/>
        <v>12-2024</v>
      </c>
      <c r="P536" t="str">
        <f t="shared" si="41"/>
        <v>2024</v>
      </c>
      <c r="Q536" s="6">
        <f t="shared" si="42"/>
        <v>4.3549151578348662E-2</v>
      </c>
      <c r="R536" t="str">
        <f t="shared" si="43"/>
        <v>Profit</v>
      </c>
      <c r="S536" t="str">
        <f t="shared" si="44"/>
        <v>High (&gt;20%)</v>
      </c>
    </row>
    <row r="537" spans="1:19" x14ac:dyDescent="0.3">
      <c r="A537" s="3" t="s">
        <v>617</v>
      </c>
      <c r="B537" s="2">
        <v>45605</v>
      </c>
      <c r="C537" s="3" t="s">
        <v>24</v>
      </c>
      <c r="D537" s="3" t="s">
        <v>56</v>
      </c>
      <c r="E537" s="3" t="s">
        <v>57</v>
      </c>
      <c r="F537" s="3" t="s">
        <v>18</v>
      </c>
      <c r="G537" s="3" t="s">
        <v>26</v>
      </c>
      <c r="H537" s="3" t="s">
        <v>27</v>
      </c>
      <c r="I537" s="5">
        <v>1563.73</v>
      </c>
      <c r="J537" s="4">
        <v>7</v>
      </c>
      <c r="K537" s="1">
        <v>12</v>
      </c>
      <c r="L537" s="4">
        <v>222.25</v>
      </c>
      <c r="M537" s="3" t="s">
        <v>21</v>
      </c>
      <c r="N537" s="3" t="s">
        <v>35</v>
      </c>
      <c r="O537" s="2" t="str">
        <f t="shared" si="40"/>
        <v>11-2024</v>
      </c>
      <c r="P537" t="str">
        <f t="shared" si="41"/>
        <v>2024</v>
      </c>
      <c r="Q537" s="6">
        <f t="shared" si="42"/>
        <v>0.14212811674649717</v>
      </c>
      <c r="R537" t="str">
        <f t="shared" si="43"/>
        <v>Profit</v>
      </c>
      <c r="S537" t="str">
        <f t="shared" si="44"/>
        <v>Mid (11-20%)</v>
      </c>
    </row>
    <row r="538" spans="1:19" x14ac:dyDescent="0.3">
      <c r="A538" s="3" t="s">
        <v>618</v>
      </c>
      <c r="B538" s="2">
        <v>45650</v>
      </c>
      <c r="C538" s="3" t="s">
        <v>99</v>
      </c>
      <c r="D538" s="3" t="s">
        <v>89</v>
      </c>
      <c r="E538" s="3" t="s">
        <v>97</v>
      </c>
      <c r="F538" s="3" t="s">
        <v>32</v>
      </c>
      <c r="G538" s="3" t="s">
        <v>47</v>
      </c>
      <c r="H538" s="3" t="s">
        <v>48</v>
      </c>
      <c r="I538" s="5">
        <v>1193.28</v>
      </c>
      <c r="J538" s="4">
        <v>6</v>
      </c>
      <c r="K538" s="1">
        <v>24</v>
      </c>
      <c r="L538" s="4">
        <v>136.03</v>
      </c>
      <c r="M538" s="3" t="s">
        <v>28</v>
      </c>
      <c r="N538" s="3" t="s">
        <v>40</v>
      </c>
      <c r="O538" s="2" t="str">
        <f t="shared" si="40"/>
        <v>12-2024</v>
      </c>
      <c r="P538" t="str">
        <f t="shared" si="41"/>
        <v>2024</v>
      </c>
      <c r="Q538" s="6">
        <f t="shared" si="42"/>
        <v>0.11399671493698042</v>
      </c>
      <c r="R538" t="str">
        <f t="shared" si="43"/>
        <v>Profit</v>
      </c>
      <c r="S538" t="str">
        <f t="shared" si="44"/>
        <v>High (&gt;20%)</v>
      </c>
    </row>
    <row r="539" spans="1:19" x14ac:dyDescent="0.3">
      <c r="A539" s="3" t="s">
        <v>619</v>
      </c>
      <c r="B539" s="2">
        <v>45717</v>
      </c>
      <c r="C539" s="3" t="s">
        <v>24</v>
      </c>
      <c r="D539" s="3" t="s">
        <v>89</v>
      </c>
      <c r="E539" s="3" t="s">
        <v>102</v>
      </c>
      <c r="F539" s="3" t="s">
        <v>18</v>
      </c>
      <c r="G539" s="3" t="s">
        <v>94</v>
      </c>
      <c r="H539" s="3" t="s">
        <v>95</v>
      </c>
      <c r="I539" s="5">
        <v>7703.04</v>
      </c>
      <c r="J539" s="4">
        <v>4</v>
      </c>
      <c r="K539" s="1">
        <v>9</v>
      </c>
      <c r="L539" s="4">
        <v>723.5</v>
      </c>
      <c r="M539" s="3" t="s">
        <v>21</v>
      </c>
      <c r="N539" s="3" t="s">
        <v>22</v>
      </c>
      <c r="O539" s="2" t="str">
        <f t="shared" si="40"/>
        <v>03-2025</v>
      </c>
      <c r="P539" t="str">
        <f t="shared" si="41"/>
        <v>2025</v>
      </c>
      <c r="Q539" s="6">
        <f t="shared" si="42"/>
        <v>9.3923957294782326E-2</v>
      </c>
      <c r="R539" t="str">
        <f t="shared" si="43"/>
        <v>Profit</v>
      </c>
      <c r="S539" t="str">
        <f t="shared" si="44"/>
        <v>Low (1-10%)</v>
      </c>
    </row>
    <row r="540" spans="1:19" x14ac:dyDescent="0.3">
      <c r="A540" s="3" t="s">
        <v>620</v>
      </c>
      <c r="B540" s="2">
        <v>45573</v>
      </c>
      <c r="C540" s="3" t="s">
        <v>101</v>
      </c>
      <c r="D540" s="3" t="s">
        <v>38</v>
      </c>
      <c r="E540" s="3" t="s">
        <v>39</v>
      </c>
      <c r="F540" s="3" t="s">
        <v>18</v>
      </c>
      <c r="G540" s="3" t="s">
        <v>94</v>
      </c>
      <c r="H540" s="3" t="s">
        <v>95</v>
      </c>
      <c r="I540" s="5">
        <v>12330.24</v>
      </c>
      <c r="J540" s="4">
        <v>8</v>
      </c>
      <c r="K540" s="1">
        <v>8</v>
      </c>
      <c r="L540" s="4">
        <v>2302.37</v>
      </c>
      <c r="M540" s="3" t="s">
        <v>28</v>
      </c>
      <c r="N540" s="3" t="s">
        <v>44</v>
      </c>
      <c r="O540" s="2" t="str">
        <f t="shared" si="40"/>
        <v>10-2024</v>
      </c>
      <c r="P540" t="str">
        <f t="shared" si="41"/>
        <v>2024</v>
      </c>
      <c r="Q540" s="6">
        <f t="shared" si="42"/>
        <v>0.18672548141804213</v>
      </c>
      <c r="R540" t="str">
        <f t="shared" si="43"/>
        <v>Profit</v>
      </c>
      <c r="S540" t="str">
        <f t="shared" si="44"/>
        <v>Low (1-10%)</v>
      </c>
    </row>
    <row r="541" spans="1:19" x14ac:dyDescent="0.3">
      <c r="A541" s="3" t="s">
        <v>621</v>
      </c>
      <c r="B541" s="2">
        <v>45760</v>
      </c>
      <c r="C541" s="3" t="s">
        <v>15</v>
      </c>
      <c r="D541" s="3" t="s">
        <v>38</v>
      </c>
      <c r="E541" s="3" t="s">
        <v>53</v>
      </c>
      <c r="F541" s="3" t="s">
        <v>32</v>
      </c>
      <c r="G541" s="3" t="s">
        <v>33</v>
      </c>
      <c r="H541" s="3" t="s">
        <v>34</v>
      </c>
      <c r="I541" s="5">
        <v>11304.72</v>
      </c>
      <c r="J541" s="4">
        <v>8</v>
      </c>
      <c r="K541" s="1">
        <v>7.0000000000000009</v>
      </c>
      <c r="L541" s="4">
        <v>1564.3</v>
      </c>
      <c r="M541" s="3" t="s">
        <v>21</v>
      </c>
      <c r="N541" s="3" t="s">
        <v>44</v>
      </c>
      <c r="O541" s="2" t="str">
        <f t="shared" si="40"/>
        <v>04-2025</v>
      </c>
      <c r="P541" t="str">
        <f t="shared" si="41"/>
        <v>2025</v>
      </c>
      <c r="Q541" s="6">
        <f t="shared" si="42"/>
        <v>0.13837582885732685</v>
      </c>
      <c r="R541" t="str">
        <f t="shared" si="43"/>
        <v>Profit</v>
      </c>
      <c r="S541" t="str">
        <f t="shared" si="44"/>
        <v>Low (1-10%)</v>
      </c>
    </row>
    <row r="542" spans="1:19" x14ac:dyDescent="0.3">
      <c r="A542" s="3" t="s">
        <v>622</v>
      </c>
      <c r="B542" s="2">
        <v>45667</v>
      </c>
      <c r="C542" s="3" t="s">
        <v>99</v>
      </c>
      <c r="D542" s="3" t="s">
        <v>38</v>
      </c>
      <c r="E542" s="3" t="s">
        <v>53</v>
      </c>
      <c r="F542" s="3" t="s">
        <v>62</v>
      </c>
      <c r="G542" s="3" t="s">
        <v>103</v>
      </c>
      <c r="H542" s="3" t="s">
        <v>104</v>
      </c>
      <c r="I542" s="5">
        <v>3331.86</v>
      </c>
      <c r="J542" s="4">
        <v>2</v>
      </c>
      <c r="K542" s="1">
        <v>26</v>
      </c>
      <c r="L542" s="4">
        <v>357.4</v>
      </c>
      <c r="M542" s="3" t="s">
        <v>28</v>
      </c>
      <c r="N542" s="3" t="s">
        <v>40</v>
      </c>
      <c r="O542" s="2" t="str">
        <f t="shared" si="40"/>
        <v>01-2025</v>
      </c>
      <c r="P542" t="str">
        <f t="shared" si="41"/>
        <v>2025</v>
      </c>
      <c r="Q542" s="6">
        <f t="shared" si="42"/>
        <v>0.10726741219619071</v>
      </c>
      <c r="R542" t="str">
        <f t="shared" si="43"/>
        <v>Profit</v>
      </c>
      <c r="S542" t="str">
        <f t="shared" si="44"/>
        <v>High (&gt;20%)</v>
      </c>
    </row>
    <row r="543" spans="1:19" x14ac:dyDescent="0.3">
      <c r="A543" s="3" t="s">
        <v>623</v>
      </c>
      <c r="B543" s="2">
        <v>45619</v>
      </c>
      <c r="C543" s="3" t="s">
        <v>66</v>
      </c>
      <c r="D543" s="3" t="s">
        <v>56</v>
      </c>
      <c r="E543" s="3" t="s">
        <v>61</v>
      </c>
      <c r="F543" s="3" t="s">
        <v>32</v>
      </c>
      <c r="G543" s="3" t="s">
        <v>112</v>
      </c>
      <c r="H543" s="3" t="s">
        <v>113</v>
      </c>
      <c r="I543" s="5">
        <v>7056.28</v>
      </c>
      <c r="J543" s="4">
        <v>7</v>
      </c>
      <c r="K543" s="1">
        <v>28</v>
      </c>
      <c r="L543" s="4">
        <v>488.69</v>
      </c>
      <c r="M543" s="3" t="s">
        <v>21</v>
      </c>
      <c r="N543" s="3" t="s">
        <v>44</v>
      </c>
      <c r="O543" s="2" t="str">
        <f t="shared" si="40"/>
        <v>11-2024</v>
      </c>
      <c r="P543" t="str">
        <f t="shared" si="41"/>
        <v>2024</v>
      </c>
      <c r="Q543" s="6">
        <f t="shared" si="42"/>
        <v>6.9256038592572858E-2</v>
      </c>
      <c r="R543" t="str">
        <f t="shared" si="43"/>
        <v>Profit</v>
      </c>
      <c r="S543" t="str">
        <f t="shared" si="44"/>
        <v>High (&gt;20%)</v>
      </c>
    </row>
    <row r="544" spans="1:19" x14ac:dyDescent="0.3">
      <c r="A544" s="3" t="s">
        <v>624</v>
      </c>
      <c r="B544" s="2">
        <v>45666</v>
      </c>
      <c r="C544" s="3" t="s">
        <v>66</v>
      </c>
      <c r="D544" s="3" t="s">
        <v>89</v>
      </c>
      <c r="E544" s="3" t="s">
        <v>90</v>
      </c>
      <c r="F544" s="3" t="s">
        <v>18</v>
      </c>
      <c r="G544" s="3" t="s">
        <v>19</v>
      </c>
      <c r="H544" s="3" t="s">
        <v>20</v>
      </c>
      <c r="I544" s="5">
        <v>2086.17</v>
      </c>
      <c r="J544" s="4">
        <v>3</v>
      </c>
      <c r="K544" s="1">
        <v>3</v>
      </c>
      <c r="L544" s="4">
        <v>120.58</v>
      </c>
      <c r="M544" s="3" t="s">
        <v>21</v>
      </c>
      <c r="N544" s="3" t="s">
        <v>35</v>
      </c>
      <c r="O544" s="2" t="str">
        <f t="shared" si="40"/>
        <v>01-2025</v>
      </c>
      <c r="P544" t="str">
        <f t="shared" si="41"/>
        <v>2025</v>
      </c>
      <c r="Q544" s="6">
        <f t="shared" si="42"/>
        <v>5.7799699928577246E-2</v>
      </c>
      <c r="R544" t="str">
        <f t="shared" si="43"/>
        <v>Profit</v>
      </c>
      <c r="S544" t="str">
        <f t="shared" si="44"/>
        <v>Low (1-10%)</v>
      </c>
    </row>
    <row r="545" spans="1:19" x14ac:dyDescent="0.3">
      <c r="A545" s="3" t="s">
        <v>625</v>
      </c>
      <c r="B545" s="2">
        <v>45507</v>
      </c>
      <c r="C545" s="3" t="s">
        <v>73</v>
      </c>
      <c r="D545" s="3" t="s">
        <v>89</v>
      </c>
      <c r="E545" s="3" t="s">
        <v>97</v>
      </c>
      <c r="F545" s="3" t="s">
        <v>18</v>
      </c>
      <c r="G545" s="3" t="s">
        <v>76</v>
      </c>
      <c r="H545" s="3" t="s">
        <v>77</v>
      </c>
      <c r="I545" s="5">
        <v>837.46</v>
      </c>
      <c r="J545" s="4">
        <v>1</v>
      </c>
      <c r="K545" s="1">
        <v>25</v>
      </c>
      <c r="L545" s="4">
        <v>95.36</v>
      </c>
      <c r="M545" s="3" t="s">
        <v>51</v>
      </c>
      <c r="N545" s="3" t="s">
        <v>35</v>
      </c>
      <c r="O545" s="2" t="str">
        <f t="shared" si="40"/>
        <v>08-2024</v>
      </c>
      <c r="P545" t="str">
        <f t="shared" si="41"/>
        <v>2024</v>
      </c>
      <c r="Q545" s="6">
        <f t="shared" si="42"/>
        <v>0.11386812504477825</v>
      </c>
      <c r="R545" t="str">
        <f t="shared" si="43"/>
        <v>Profit</v>
      </c>
      <c r="S545" t="str">
        <f t="shared" si="44"/>
        <v>High (&gt;20%)</v>
      </c>
    </row>
    <row r="546" spans="1:19" x14ac:dyDescent="0.3">
      <c r="A546" s="3" t="s">
        <v>626</v>
      </c>
      <c r="B546" s="2">
        <v>45450</v>
      </c>
      <c r="C546" s="3" t="s">
        <v>30</v>
      </c>
      <c r="D546" s="3" t="s">
        <v>56</v>
      </c>
      <c r="E546" s="3" t="s">
        <v>57</v>
      </c>
      <c r="F546" s="3" t="s">
        <v>18</v>
      </c>
      <c r="G546" s="3" t="s">
        <v>26</v>
      </c>
      <c r="H546" s="3" t="s">
        <v>27</v>
      </c>
      <c r="I546" s="5">
        <v>7676.41</v>
      </c>
      <c r="J546" s="4">
        <v>7</v>
      </c>
      <c r="K546" s="1">
        <v>29</v>
      </c>
      <c r="L546" s="4">
        <v>1189.1099999999999</v>
      </c>
      <c r="M546" s="3" t="s">
        <v>51</v>
      </c>
      <c r="N546" s="3" t="s">
        <v>40</v>
      </c>
      <c r="O546" s="2" t="str">
        <f t="shared" si="40"/>
        <v>06-2024</v>
      </c>
      <c r="P546" t="str">
        <f t="shared" si="41"/>
        <v>2024</v>
      </c>
      <c r="Q546" s="6">
        <f t="shared" si="42"/>
        <v>0.1549044410082317</v>
      </c>
      <c r="R546" t="str">
        <f t="shared" si="43"/>
        <v>Profit</v>
      </c>
      <c r="S546" t="str">
        <f t="shared" si="44"/>
        <v>High (&gt;20%)</v>
      </c>
    </row>
    <row r="547" spans="1:19" x14ac:dyDescent="0.3">
      <c r="A547" s="3" t="s">
        <v>627</v>
      </c>
      <c r="B547" s="2">
        <v>45770</v>
      </c>
      <c r="C547" s="3" t="s">
        <v>66</v>
      </c>
      <c r="D547" s="3" t="s">
        <v>38</v>
      </c>
      <c r="E547" s="3" t="s">
        <v>43</v>
      </c>
      <c r="F547" s="3" t="s">
        <v>32</v>
      </c>
      <c r="G547" s="3" t="s">
        <v>47</v>
      </c>
      <c r="H547" s="3" t="s">
        <v>48</v>
      </c>
      <c r="I547" s="5">
        <v>969.92</v>
      </c>
      <c r="J547" s="4">
        <v>2</v>
      </c>
      <c r="K547" s="1">
        <v>11</v>
      </c>
      <c r="L547" s="4">
        <v>173.87</v>
      </c>
      <c r="M547" s="3" t="s">
        <v>21</v>
      </c>
      <c r="N547" s="3" t="s">
        <v>40</v>
      </c>
      <c r="O547" s="2" t="str">
        <f t="shared" si="40"/>
        <v>04-2025</v>
      </c>
      <c r="P547" t="str">
        <f t="shared" si="41"/>
        <v>2025</v>
      </c>
      <c r="Q547" s="6">
        <f t="shared" si="42"/>
        <v>0.17926220719234578</v>
      </c>
      <c r="R547" t="str">
        <f t="shared" si="43"/>
        <v>Profit</v>
      </c>
      <c r="S547" t="str">
        <f t="shared" si="44"/>
        <v>Mid (11-20%)</v>
      </c>
    </row>
    <row r="548" spans="1:19" x14ac:dyDescent="0.3">
      <c r="A548" s="3" t="s">
        <v>628</v>
      </c>
      <c r="B548" s="2">
        <v>45550</v>
      </c>
      <c r="C548" s="3" t="s">
        <v>42</v>
      </c>
      <c r="D548" s="3" t="s">
        <v>89</v>
      </c>
      <c r="E548" s="3" t="s">
        <v>90</v>
      </c>
      <c r="F548" s="3" t="s">
        <v>32</v>
      </c>
      <c r="G548" s="3" t="s">
        <v>33</v>
      </c>
      <c r="H548" s="3" t="s">
        <v>34</v>
      </c>
      <c r="I548" s="5">
        <v>12568.68</v>
      </c>
      <c r="J548" s="4">
        <v>9</v>
      </c>
      <c r="K548" s="1">
        <v>1</v>
      </c>
      <c r="L548" s="4">
        <v>1653.34</v>
      </c>
      <c r="M548" s="3" t="s">
        <v>21</v>
      </c>
      <c r="N548" s="3" t="s">
        <v>40</v>
      </c>
      <c r="O548" s="2" t="str">
        <f t="shared" si="40"/>
        <v>09-2024</v>
      </c>
      <c r="P548" t="str">
        <f t="shared" si="41"/>
        <v>2024</v>
      </c>
      <c r="Q548" s="6">
        <f t="shared" si="42"/>
        <v>0.13154444221668463</v>
      </c>
      <c r="R548" t="str">
        <f t="shared" si="43"/>
        <v>Profit</v>
      </c>
      <c r="S548" t="str">
        <f t="shared" si="44"/>
        <v>Low (1-10%)</v>
      </c>
    </row>
    <row r="549" spans="1:19" x14ac:dyDescent="0.3">
      <c r="A549" s="3" t="s">
        <v>629</v>
      </c>
      <c r="B549" s="2">
        <v>45714</v>
      </c>
      <c r="C549" s="3" t="s">
        <v>50</v>
      </c>
      <c r="D549" s="3" t="s">
        <v>89</v>
      </c>
      <c r="E549" s="3" t="s">
        <v>97</v>
      </c>
      <c r="F549" s="3" t="s">
        <v>18</v>
      </c>
      <c r="G549" s="3" t="s">
        <v>94</v>
      </c>
      <c r="H549" s="3" t="s">
        <v>95</v>
      </c>
      <c r="I549" s="5">
        <v>8860.14</v>
      </c>
      <c r="J549" s="4">
        <v>6</v>
      </c>
      <c r="K549" s="1">
        <v>4</v>
      </c>
      <c r="L549" s="4">
        <v>1403.77</v>
      </c>
      <c r="M549" s="3" t="s">
        <v>51</v>
      </c>
      <c r="N549" s="3" t="s">
        <v>44</v>
      </c>
      <c r="O549" s="2" t="str">
        <f t="shared" si="40"/>
        <v>02-2025</v>
      </c>
      <c r="P549" t="str">
        <f t="shared" si="41"/>
        <v>2025</v>
      </c>
      <c r="Q549" s="6">
        <f t="shared" si="42"/>
        <v>0.15843654840668434</v>
      </c>
      <c r="R549" t="str">
        <f t="shared" si="43"/>
        <v>Profit</v>
      </c>
      <c r="S549" t="str">
        <f t="shared" si="44"/>
        <v>Low (1-10%)</v>
      </c>
    </row>
    <row r="550" spans="1:19" x14ac:dyDescent="0.3">
      <c r="A550" s="3" t="s">
        <v>630</v>
      </c>
      <c r="B550" s="2">
        <v>45721</v>
      </c>
      <c r="C550" s="3" t="s">
        <v>99</v>
      </c>
      <c r="D550" s="3" t="s">
        <v>56</v>
      </c>
      <c r="E550" s="3" t="s">
        <v>57</v>
      </c>
      <c r="F550" s="3" t="s">
        <v>32</v>
      </c>
      <c r="G550" s="3" t="s">
        <v>33</v>
      </c>
      <c r="H550" s="3" t="s">
        <v>34</v>
      </c>
      <c r="I550" s="5">
        <v>2646.76</v>
      </c>
      <c r="J550" s="4">
        <v>2</v>
      </c>
      <c r="K550" s="1">
        <v>24</v>
      </c>
      <c r="L550" s="4">
        <v>180.54</v>
      </c>
      <c r="M550" s="3" t="s">
        <v>28</v>
      </c>
      <c r="N550" s="3" t="s">
        <v>35</v>
      </c>
      <c r="O550" s="2" t="str">
        <f t="shared" si="40"/>
        <v>03-2025</v>
      </c>
      <c r="P550" t="str">
        <f t="shared" si="41"/>
        <v>2025</v>
      </c>
      <c r="Q550" s="6">
        <f t="shared" si="42"/>
        <v>6.8211700343060941E-2</v>
      </c>
      <c r="R550" t="str">
        <f t="shared" si="43"/>
        <v>Profit</v>
      </c>
      <c r="S550" t="str">
        <f t="shared" si="44"/>
        <v>High (&gt;20%)</v>
      </c>
    </row>
    <row r="551" spans="1:19" x14ac:dyDescent="0.3">
      <c r="A551" s="3" t="s">
        <v>631</v>
      </c>
      <c r="B551" s="2">
        <v>45713</v>
      </c>
      <c r="C551" s="3" t="s">
        <v>70</v>
      </c>
      <c r="D551" s="3" t="s">
        <v>38</v>
      </c>
      <c r="E551" s="3" t="s">
        <v>53</v>
      </c>
      <c r="F551" s="3" t="s">
        <v>18</v>
      </c>
      <c r="G551" s="3" t="s">
        <v>26</v>
      </c>
      <c r="H551" s="3" t="s">
        <v>27</v>
      </c>
      <c r="I551" s="5">
        <v>1081.3</v>
      </c>
      <c r="J551" s="4">
        <v>5</v>
      </c>
      <c r="K551" s="1">
        <v>29</v>
      </c>
      <c r="L551" s="4">
        <v>99.58</v>
      </c>
      <c r="M551" s="3" t="s">
        <v>51</v>
      </c>
      <c r="N551" s="3" t="s">
        <v>22</v>
      </c>
      <c r="O551" s="2" t="str">
        <f t="shared" si="40"/>
        <v>02-2025</v>
      </c>
      <c r="P551" t="str">
        <f t="shared" si="41"/>
        <v>2025</v>
      </c>
      <c r="Q551" s="6">
        <f t="shared" si="42"/>
        <v>9.2092851197632483E-2</v>
      </c>
      <c r="R551" t="str">
        <f t="shared" si="43"/>
        <v>Profit</v>
      </c>
      <c r="S551" t="str">
        <f t="shared" si="44"/>
        <v>High (&gt;20%)</v>
      </c>
    </row>
    <row r="552" spans="1:19" x14ac:dyDescent="0.3">
      <c r="A552" s="3" t="s">
        <v>632</v>
      </c>
      <c r="B552" s="2">
        <v>45453</v>
      </c>
      <c r="C552" s="3" t="s">
        <v>15</v>
      </c>
      <c r="D552" s="3" t="s">
        <v>89</v>
      </c>
      <c r="E552" s="3" t="s">
        <v>97</v>
      </c>
      <c r="F552" s="3" t="s">
        <v>62</v>
      </c>
      <c r="G552" s="3" t="s">
        <v>67</v>
      </c>
      <c r="H552" s="3" t="s">
        <v>68</v>
      </c>
      <c r="I552" s="5">
        <v>17384.400000000001</v>
      </c>
      <c r="J552" s="4">
        <v>10</v>
      </c>
      <c r="K552" s="1">
        <v>5</v>
      </c>
      <c r="L552" s="4">
        <v>1893.67</v>
      </c>
      <c r="M552" s="3" t="s">
        <v>28</v>
      </c>
      <c r="N552" s="3" t="s">
        <v>40</v>
      </c>
      <c r="O552" s="2" t="str">
        <f t="shared" si="40"/>
        <v>06-2024</v>
      </c>
      <c r="P552" t="str">
        <f t="shared" si="41"/>
        <v>2024</v>
      </c>
      <c r="Q552" s="6">
        <f t="shared" si="42"/>
        <v>0.10892926992015829</v>
      </c>
      <c r="R552" t="str">
        <f t="shared" si="43"/>
        <v>Profit</v>
      </c>
      <c r="S552" t="str">
        <f t="shared" si="44"/>
        <v>Low (1-10%)</v>
      </c>
    </row>
    <row r="553" spans="1:19" x14ac:dyDescent="0.3">
      <c r="A553" s="3" t="s">
        <v>633</v>
      </c>
      <c r="B553" s="2">
        <v>45491</v>
      </c>
      <c r="C553" s="3" t="s">
        <v>66</v>
      </c>
      <c r="D553" s="3" t="s">
        <v>38</v>
      </c>
      <c r="E553" s="3" t="s">
        <v>39</v>
      </c>
      <c r="F553" s="3" t="s">
        <v>62</v>
      </c>
      <c r="G553" s="3" t="s">
        <v>80</v>
      </c>
      <c r="H553" s="3" t="s">
        <v>81</v>
      </c>
      <c r="I553" s="5">
        <v>3729.4</v>
      </c>
      <c r="J553" s="4">
        <v>4</v>
      </c>
      <c r="K553" s="1">
        <v>17</v>
      </c>
      <c r="L553" s="4">
        <v>471.29</v>
      </c>
      <c r="M553" s="3" t="s">
        <v>21</v>
      </c>
      <c r="N553" s="3" t="s">
        <v>40</v>
      </c>
      <c r="O553" s="2" t="str">
        <f t="shared" si="40"/>
        <v>07-2024</v>
      </c>
      <c r="P553" t="str">
        <f t="shared" si="41"/>
        <v>2024</v>
      </c>
      <c r="Q553" s="6">
        <f t="shared" si="42"/>
        <v>0.12637153429506087</v>
      </c>
      <c r="R553" t="str">
        <f t="shared" si="43"/>
        <v>Profit</v>
      </c>
      <c r="S553" t="str">
        <f t="shared" si="44"/>
        <v>Mid (11-20%)</v>
      </c>
    </row>
    <row r="554" spans="1:19" x14ac:dyDescent="0.3">
      <c r="A554" s="3" t="s">
        <v>634</v>
      </c>
      <c r="B554" s="2">
        <v>45461</v>
      </c>
      <c r="C554" s="3" t="s">
        <v>30</v>
      </c>
      <c r="D554" s="3" t="s">
        <v>38</v>
      </c>
      <c r="E554" s="3" t="s">
        <v>71</v>
      </c>
      <c r="F554" s="3" t="s">
        <v>32</v>
      </c>
      <c r="G554" s="3" t="s">
        <v>47</v>
      </c>
      <c r="H554" s="3" t="s">
        <v>48</v>
      </c>
      <c r="I554" s="5">
        <v>3866.1</v>
      </c>
      <c r="J554" s="4">
        <v>5</v>
      </c>
      <c r="K554" s="1">
        <v>27</v>
      </c>
      <c r="L554" s="4">
        <v>677.94</v>
      </c>
      <c r="M554" s="3" t="s">
        <v>21</v>
      </c>
      <c r="N554" s="3" t="s">
        <v>35</v>
      </c>
      <c r="O554" s="2" t="str">
        <f t="shared" si="40"/>
        <v>06-2024</v>
      </c>
      <c r="P554" t="str">
        <f t="shared" si="41"/>
        <v>2024</v>
      </c>
      <c r="Q554" s="6">
        <f t="shared" si="42"/>
        <v>0.17535500892372161</v>
      </c>
      <c r="R554" t="str">
        <f t="shared" si="43"/>
        <v>Profit</v>
      </c>
      <c r="S554" t="str">
        <f t="shared" si="44"/>
        <v>High (&gt;20%)</v>
      </c>
    </row>
    <row r="555" spans="1:19" x14ac:dyDescent="0.3">
      <c r="A555" s="3" t="s">
        <v>635</v>
      </c>
      <c r="B555" s="2">
        <v>45490</v>
      </c>
      <c r="C555" s="3" t="s">
        <v>75</v>
      </c>
      <c r="D555" s="3" t="s">
        <v>38</v>
      </c>
      <c r="E555" s="3" t="s">
        <v>39</v>
      </c>
      <c r="F555" s="3" t="s">
        <v>18</v>
      </c>
      <c r="G555" s="3" t="s">
        <v>94</v>
      </c>
      <c r="H555" s="3" t="s">
        <v>95</v>
      </c>
      <c r="I555" s="5">
        <v>1176.28</v>
      </c>
      <c r="J555" s="4">
        <v>7</v>
      </c>
      <c r="K555" s="1">
        <v>25</v>
      </c>
      <c r="L555" s="4">
        <v>140.07</v>
      </c>
      <c r="M555" s="3" t="s">
        <v>51</v>
      </c>
      <c r="N555" s="3" t="s">
        <v>44</v>
      </c>
      <c r="O555" s="2" t="str">
        <f t="shared" si="40"/>
        <v>07-2024</v>
      </c>
      <c r="P555" t="str">
        <f t="shared" si="41"/>
        <v>2024</v>
      </c>
      <c r="Q555" s="6">
        <f t="shared" si="42"/>
        <v>0.11907879076410378</v>
      </c>
      <c r="R555" t="str">
        <f t="shared" si="43"/>
        <v>Profit</v>
      </c>
      <c r="S555" t="str">
        <f t="shared" si="44"/>
        <v>High (&gt;20%)</v>
      </c>
    </row>
    <row r="556" spans="1:19" x14ac:dyDescent="0.3">
      <c r="A556" s="3" t="s">
        <v>636</v>
      </c>
      <c r="B556" s="2">
        <v>45615</v>
      </c>
      <c r="C556" s="3" t="s">
        <v>86</v>
      </c>
      <c r="D556" s="3" t="s">
        <v>38</v>
      </c>
      <c r="E556" s="3" t="s">
        <v>43</v>
      </c>
      <c r="F556" s="3" t="s">
        <v>62</v>
      </c>
      <c r="G556" s="3" t="s">
        <v>80</v>
      </c>
      <c r="H556" s="3" t="s">
        <v>81</v>
      </c>
      <c r="I556" s="5">
        <v>13053.96</v>
      </c>
      <c r="J556" s="4">
        <v>9</v>
      </c>
      <c r="K556" s="1">
        <v>1</v>
      </c>
      <c r="L556" s="4">
        <v>1666.06</v>
      </c>
      <c r="M556" s="3" t="s">
        <v>51</v>
      </c>
      <c r="N556" s="3" t="s">
        <v>44</v>
      </c>
      <c r="O556" s="2" t="str">
        <f t="shared" si="40"/>
        <v>11-2024</v>
      </c>
      <c r="P556" t="str">
        <f t="shared" si="41"/>
        <v>2024</v>
      </c>
      <c r="Q556" s="6">
        <f t="shared" si="42"/>
        <v>0.12762870423993947</v>
      </c>
      <c r="R556" t="str">
        <f t="shared" si="43"/>
        <v>Profit</v>
      </c>
      <c r="S556" t="str">
        <f t="shared" si="44"/>
        <v>Low (1-10%)</v>
      </c>
    </row>
    <row r="557" spans="1:19" x14ac:dyDescent="0.3">
      <c r="A557" s="3" t="s">
        <v>637</v>
      </c>
      <c r="B557" s="2">
        <v>45719</v>
      </c>
      <c r="C557" s="3" t="s">
        <v>70</v>
      </c>
      <c r="D557" s="3" t="s">
        <v>16</v>
      </c>
      <c r="E557" s="3" t="s">
        <v>17</v>
      </c>
      <c r="F557" s="3" t="s">
        <v>62</v>
      </c>
      <c r="G557" s="3" t="s">
        <v>63</v>
      </c>
      <c r="H557" s="3" t="s">
        <v>64</v>
      </c>
      <c r="I557" s="5">
        <v>442.52</v>
      </c>
      <c r="J557" s="4">
        <v>1</v>
      </c>
      <c r="K557" s="1">
        <v>18</v>
      </c>
      <c r="L557" s="4">
        <v>52.32</v>
      </c>
      <c r="M557" s="3" t="s">
        <v>51</v>
      </c>
      <c r="N557" s="3" t="s">
        <v>35</v>
      </c>
      <c r="O557" s="2" t="str">
        <f t="shared" si="40"/>
        <v>03-2025</v>
      </c>
      <c r="P557" t="str">
        <f t="shared" si="41"/>
        <v>2025</v>
      </c>
      <c r="Q557" s="6">
        <f t="shared" si="42"/>
        <v>0.11823194431890084</v>
      </c>
      <c r="R557" t="str">
        <f t="shared" si="43"/>
        <v>Profit</v>
      </c>
      <c r="S557" t="str">
        <f t="shared" si="44"/>
        <v>Mid (11-20%)</v>
      </c>
    </row>
    <row r="558" spans="1:19" x14ac:dyDescent="0.3">
      <c r="A558" s="3" t="s">
        <v>638</v>
      </c>
      <c r="B558" s="2">
        <v>45430</v>
      </c>
      <c r="C558" s="3" t="s">
        <v>99</v>
      </c>
      <c r="D558" s="3" t="s">
        <v>89</v>
      </c>
      <c r="E558" s="3" t="s">
        <v>116</v>
      </c>
      <c r="F558" s="3" t="s">
        <v>62</v>
      </c>
      <c r="G558" s="3" t="s">
        <v>67</v>
      </c>
      <c r="H558" s="3" t="s">
        <v>68</v>
      </c>
      <c r="I558" s="5">
        <v>936.36</v>
      </c>
      <c r="J558" s="4">
        <v>2</v>
      </c>
      <c r="K558" s="1">
        <v>9</v>
      </c>
      <c r="L558" s="4">
        <v>51.62</v>
      </c>
      <c r="M558" s="3" t="s">
        <v>21</v>
      </c>
      <c r="N558" s="3" t="s">
        <v>22</v>
      </c>
      <c r="O558" s="2" t="str">
        <f t="shared" si="40"/>
        <v>05-2024</v>
      </c>
      <c r="P558" t="str">
        <f t="shared" si="41"/>
        <v>2024</v>
      </c>
      <c r="Q558" s="6">
        <f t="shared" si="42"/>
        <v>5.5128369430560889E-2</v>
      </c>
      <c r="R558" t="str">
        <f t="shared" si="43"/>
        <v>Profit</v>
      </c>
      <c r="S558" t="str">
        <f t="shared" si="44"/>
        <v>Low (1-10%)</v>
      </c>
    </row>
    <row r="559" spans="1:19" x14ac:dyDescent="0.3">
      <c r="A559" s="3" t="s">
        <v>639</v>
      </c>
      <c r="B559" s="2">
        <v>45735</v>
      </c>
      <c r="C559" s="3" t="s">
        <v>86</v>
      </c>
      <c r="D559" s="3" t="s">
        <v>16</v>
      </c>
      <c r="E559" s="3" t="s">
        <v>25</v>
      </c>
      <c r="F559" s="3" t="s">
        <v>62</v>
      </c>
      <c r="G559" s="3" t="s">
        <v>103</v>
      </c>
      <c r="H559" s="3" t="s">
        <v>104</v>
      </c>
      <c r="I559" s="5">
        <v>1536.12</v>
      </c>
      <c r="J559" s="4">
        <v>3</v>
      </c>
      <c r="K559" s="1">
        <v>4</v>
      </c>
      <c r="L559" s="4">
        <v>214.72</v>
      </c>
      <c r="M559" s="3" t="s">
        <v>28</v>
      </c>
      <c r="N559" s="3" t="s">
        <v>40</v>
      </c>
      <c r="O559" s="2" t="str">
        <f t="shared" si="40"/>
        <v>03-2025</v>
      </c>
      <c r="P559" t="str">
        <f t="shared" si="41"/>
        <v>2025</v>
      </c>
      <c r="Q559" s="6">
        <f t="shared" si="42"/>
        <v>0.13978074629586232</v>
      </c>
      <c r="R559" t="str">
        <f t="shared" si="43"/>
        <v>Profit</v>
      </c>
      <c r="S559" t="str">
        <f t="shared" si="44"/>
        <v>Low (1-10%)</v>
      </c>
    </row>
    <row r="560" spans="1:19" x14ac:dyDescent="0.3">
      <c r="A560" s="3" t="s">
        <v>640</v>
      </c>
      <c r="B560" s="2">
        <v>45505</v>
      </c>
      <c r="C560" s="3" t="s">
        <v>70</v>
      </c>
      <c r="D560" s="3" t="s">
        <v>89</v>
      </c>
      <c r="E560" s="3" t="s">
        <v>90</v>
      </c>
      <c r="F560" s="3" t="s">
        <v>18</v>
      </c>
      <c r="G560" s="3" t="s">
        <v>76</v>
      </c>
      <c r="H560" s="3" t="s">
        <v>77</v>
      </c>
      <c r="I560" s="5">
        <v>3472.4</v>
      </c>
      <c r="J560" s="4">
        <v>4</v>
      </c>
      <c r="K560" s="1">
        <v>7.0000000000000009</v>
      </c>
      <c r="L560" s="4">
        <v>314.35000000000002</v>
      </c>
      <c r="M560" s="3" t="s">
        <v>21</v>
      </c>
      <c r="N560" s="3" t="s">
        <v>40</v>
      </c>
      <c r="O560" s="2" t="str">
        <f t="shared" si="40"/>
        <v>08-2024</v>
      </c>
      <c r="P560" t="str">
        <f t="shared" si="41"/>
        <v>2024</v>
      </c>
      <c r="Q560" s="6">
        <f t="shared" si="42"/>
        <v>9.0528164957954155E-2</v>
      </c>
      <c r="R560" t="str">
        <f t="shared" si="43"/>
        <v>Profit</v>
      </c>
      <c r="S560" t="str">
        <f t="shared" si="44"/>
        <v>Low (1-10%)</v>
      </c>
    </row>
    <row r="561" spans="1:19" x14ac:dyDescent="0.3">
      <c r="A561" s="3" t="s">
        <v>641</v>
      </c>
      <c r="B561" s="2">
        <v>45450</v>
      </c>
      <c r="C561" s="3" t="s">
        <v>15</v>
      </c>
      <c r="D561" s="3" t="s">
        <v>89</v>
      </c>
      <c r="E561" s="3" t="s">
        <v>97</v>
      </c>
      <c r="F561" s="3" t="s">
        <v>32</v>
      </c>
      <c r="G561" s="3" t="s">
        <v>47</v>
      </c>
      <c r="H561" s="3" t="s">
        <v>48</v>
      </c>
      <c r="I561" s="5">
        <v>4139.75</v>
      </c>
      <c r="J561" s="4">
        <v>5</v>
      </c>
      <c r="K561" s="1">
        <v>25</v>
      </c>
      <c r="L561" s="4">
        <v>667.72</v>
      </c>
      <c r="M561" s="3" t="s">
        <v>51</v>
      </c>
      <c r="N561" s="3" t="s">
        <v>35</v>
      </c>
      <c r="O561" s="2" t="str">
        <f t="shared" si="40"/>
        <v>06-2024</v>
      </c>
      <c r="P561" t="str">
        <f t="shared" si="41"/>
        <v>2024</v>
      </c>
      <c r="Q561" s="6">
        <f t="shared" si="42"/>
        <v>0.16129476417658073</v>
      </c>
      <c r="R561" t="str">
        <f t="shared" si="43"/>
        <v>Profit</v>
      </c>
      <c r="S561" t="str">
        <f t="shared" si="44"/>
        <v>High (&gt;20%)</v>
      </c>
    </row>
    <row r="562" spans="1:19" x14ac:dyDescent="0.3">
      <c r="A562" s="3" t="s">
        <v>642</v>
      </c>
      <c r="B562" s="2">
        <v>45517</v>
      </c>
      <c r="C562" s="3" t="s">
        <v>70</v>
      </c>
      <c r="D562" s="3" t="s">
        <v>38</v>
      </c>
      <c r="E562" s="3" t="s">
        <v>71</v>
      </c>
      <c r="F562" s="3" t="s">
        <v>32</v>
      </c>
      <c r="G562" s="3" t="s">
        <v>47</v>
      </c>
      <c r="H562" s="3" t="s">
        <v>48</v>
      </c>
      <c r="I562" s="5">
        <v>8556.1</v>
      </c>
      <c r="J562" s="4">
        <v>5</v>
      </c>
      <c r="K562" s="1">
        <v>19</v>
      </c>
      <c r="L562" s="4">
        <v>1058.4000000000001</v>
      </c>
      <c r="M562" s="3" t="s">
        <v>21</v>
      </c>
      <c r="N562" s="3" t="s">
        <v>40</v>
      </c>
      <c r="O562" s="2" t="str">
        <f t="shared" si="40"/>
        <v>08-2024</v>
      </c>
      <c r="P562" t="str">
        <f t="shared" si="41"/>
        <v>2024</v>
      </c>
      <c r="Q562" s="6">
        <f t="shared" si="42"/>
        <v>0.12370121901333551</v>
      </c>
      <c r="R562" t="str">
        <f t="shared" si="43"/>
        <v>Profit</v>
      </c>
      <c r="S562" t="str">
        <f t="shared" si="44"/>
        <v>Mid (11-20%)</v>
      </c>
    </row>
    <row r="563" spans="1:19" x14ac:dyDescent="0.3">
      <c r="A563" s="3" t="s">
        <v>643</v>
      </c>
      <c r="B563" s="2">
        <v>45604</v>
      </c>
      <c r="C563" s="3" t="s">
        <v>37</v>
      </c>
      <c r="D563" s="3" t="s">
        <v>16</v>
      </c>
      <c r="E563" s="3" t="s">
        <v>17</v>
      </c>
      <c r="F563" s="3" t="s">
        <v>32</v>
      </c>
      <c r="G563" s="3" t="s">
        <v>112</v>
      </c>
      <c r="H563" s="3" t="s">
        <v>113</v>
      </c>
      <c r="I563" s="5">
        <v>1400.44</v>
      </c>
      <c r="J563" s="4">
        <v>4</v>
      </c>
      <c r="K563" s="1">
        <v>28</v>
      </c>
      <c r="L563" s="4">
        <v>241.99</v>
      </c>
      <c r="M563" s="3" t="s">
        <v>21</v>
      </c>
      <c r="N563" s="3" t="s">
        <v>35</v>
      </c>
      <c r="O563" s="2" t="str">
        <f t="shared" si="40"/>
        <v>11-2024</v>
      </c>
      <c r="P563" t="str">
        <f t="shared" si="41"/>
        <v>2024</v>
      </c>
      <c r="Q563" s="6">
        <f t="shared" si="42"/>
        <v>0.17279569278226842</v>
      </c>
      <c r="R563" t="str">
        <f t="shared" si="43"/>
        <v>Profit</v>
      </c>
      <c r="S563" t="str">
        <f t="shared" si="44"/>
        <v>High (&gt;20%)</v>
      </c>
    </row>
    <row r="564" spans="1:19" x14ac:dyDescent="0.3">
      <c r="A564" s="3" t="s">
        <v>644</v>
      </c>
      <c r="B564" s="2">
        <v>45567</v>
      </c>
      <c r="C564" s="3" t="s">
        <v>15</v>
      </c>
      <c r="D564" s="3" t="s">
        <v>89</v>
      </c>
      <c r="E564" s="3" t="s">
        <v>116</v>
      </c>
      <c r="F564" s="3" t="s">
        <v>32</v>
      </c>
      <c r="G564" s="3" t="s">
        <v>33</v>
      </c>
      <c r="H564" s="3" t="s">
        <v>34</v>
      </c>
      <c r="I564" s="5">
        <v>4545.78</v>
      </c>
      <c r="J564" s="4">
        <v>6</v>
      </c>
      <c r="K564" s="1">
        <v>7.0000000000000009</v>
      </c>
      <c r="L564" s="4">
        <v>734.68</v>
      </c>
      <c r="M564" s="3" t="s">
        <v>51</v>
      </c>
      <c r="N564" s="3" t="s">
        <v>35</v>
      </c>
      <c r="O564" s="2" t="str">
        <f t="shared" si="40"/>
        <v>10-2024</v>
      </c>
      <c r="P564" t="str">
        <f t="shared" si="41"/>
        <v>2024</v>
      </c>
      <c r="Q564" s="6">
        <f t="shared" si="42"/>
        <v>0.16161802814918452</v>
      </c>
      <c r="R564" t="str">
        <f t="shared" si="43"/>
        <v>Profit</v>
      </c>
      <c r="S564" t="str">
        <f t="shared" si="44"/>
        <v>Low (1-10%)</v>
      </c>
    </row>
    <row r="565" spans="1:19" x14ac:dyDescent="0.3">
      <c r="A565" s="3" t="s">
        <v>645</v>
      </c>
      <c r="B565" s="2">
        <v>45716</v>
      </c>
      <c r="C565" s="3" t="s">
        <v>75</v>
      </c>
      <c r="D565" s="3" t="s">
        <v>56</v>
      </c>
      <c r="E565" s="3" t="s">
        <v>57</v>
      </c>
      <c r="F565" s="3" t="s">
        <v>32</v>
      </c>
      <c r="G565" s="3" t="s">
        <v>112</v>
      </c>
      <c r="H565" s="3" t="s">
        <v>113</v>
      </c>
      <c r="I565" s="5">
        <v>1652.52</v>
      </c>
      <c r="J565" s="4">
        <v>6</v>
      </c>
      <c r="K565" s="1">
        <v>5</v>
      </c>
      <c r="L565" s="4">
        <v>316.77999999999997</v>
      </c>
      <c r="M565" s="3" t="s">
        <v>21</v>
      </c>
      <c r="N565" s="3" t="s">
        <v>22</v>
      </c>
      <c r="O565" s="2" t="str">
        <f t="shared" si="40"/>
        <v>02-2025</v>
      </c>
      <c r="P565" t="str">
        <f t="shared" si="41"/>
        <v>2025</v>
      </c>
      <c r="Q565" s="6">
        <f t="shared" si="42"/>
        <v>0.19169510807736062</v>
      </c>
      <c r="R565" t="str">
        <f t="shared" si="43"/>
        <v>Profit</v>
      </c>
      <c r="S565" t="str">
        <f t="shared" si="44"/>
        <v>Low (1-10%)</v>
      </c>
    </row>
    <row r="566" spans="1:19" x14ac:dyDescent="0.3">
      <c r="A566" s="3" t="s">
        <v>646</v>
      </c>
      <c r="B566" s="2">
        <v>45555</v>
      </c>
      <c r="C566" s="3" t="s">
        <v>99</v>
      </c>
      <c r="D566" s="3" t="s">
        <v>89</v>
      </c>
      <c r="E566" s="3" t="s">
        <v>97</v>
      </c>
      <c r="F566" s="3" t="s">
        <v>18</v>
      </c>
      <c r="G566" s="3" t="s">
        <v>76</v>
      </c>
      <c r="H566" s="3" t="s">
        <v>77</v>
      </c>
      <c r="I566" s="5">
        <v>3630.51</v>
      </c>
      <c r="J566" s="4">
        <v>9</v>
      </c>
      <c r="K566" s="1">
        <v>5</v>
      </c>
      <c r="L566" s="4">
        <v>836.66</v>
      </c>
      <c r="M566" s="3" t="s">
        <v>51</v>
      </c>
      <c r="N566" s="3" t="s">
        <v>35</v>
      </c>
      <c r="O566" s="2" t="str">
        <f t="shared" si="40"/>
        <v>09-2024</v>
      </c>
      <c r="P566" t="str">
        <f t="shared" si="41"/>
        <v>2024</v>
      </c>
      <c r="Q566" s="6">
        <f t="shared" si="42"/>
        <v>0.23045247086497486</v>
      </c>
      <c r="R566" t="str">
        <f t="shared" si="43"/>
        <v>Profit</v>
      </c>
      <c r="S566" t="str">
        <f t="shared" si="44"/>
        <v>Low (1-10%)</v>
      </c>
    </row>
    <row r="567" spans="1:19" x14ac:dyDescent="0.3">
      <c r="A567" s="3" t="s">
        <v>647</v>
      </c>
      <c r="B567" s="2">
        <v>45462</v>
      </c>
      <c r="C567" s="3" t="s">
        <v>15</v>
      </c>
      <c r="D567" s="3" t="s">
        <v>56</v>
      </c>
      <c r="E567" s="3" t="s">
        <v>61</v>
      </c>
      <c r="F567" s="3" t="s">
        <v>18</v>
      </c>
      <c r="G567" s="3" t="s">
        <v>94</v>
      </c>
      <c r="H567" s="3" t="s">
        <v>95</v>
      </c>
      <c r="I567" s="5">
        <v>1238.2</v>
      </c>
      <c r="J567" s="4">
        <v>1</v>
      </c>
      <c r="K567" s="1">
        <v>15</v>
      </c>
      <c r="L567" s="4">
        <v>66.989999999999995</v>
      </c>
      <c r="M567" s="3" t="s">
        <v>21</v>
      </c>
      <c r="N567" s="3" t="s">
        <v>35</v>
      </c>
      <c r="O567" s="2" t="str">
        <f t="shared" si="40"/>
        <v>06-2024</v>
      </c>
      <c r="P567" t="str">
        <f t="shared" si="41"/>
        <v>2024</v>
      </c>
      <c r="Q567" s="6">
        <f t="shared" si="42"/>
        <v>5.4102729769019538E-2</v>
      </c>
      <c r="R567" t="str">
        <f t="shared" si="43"/>
        <v>Profit</v>
      </c>
      <c r="S567" t="str">
        <f t="shared" si="44"/>
        <v>Mid (11-20%)</v>
      </c>
    </row>
    <row r="568" spans="1:19" x14ac:dyDescent="0.3">
      <c r="A568" s="3" t="s">
        <v>648</v>
      </c>
      <c r="B568" s="2">
        <v>45477</v>
      </c>
      <c r="C568" s="3" t="s">
        <v>42</v>
      </c>
      <c r="D568" s="3" t="s">
        <v>89</v>
      </c>
      <c r="E568" s="3" t="s">
        <v>90</v>
      </c>
      <c r="F568" s="3" t="s">
        <v>32</v>
      </c>
      <c r="G568" s="3" t="s">
        <v>33</v>
      </c>
      <c r="H568" s="3" t="s">
        <v>34</v>
      </c>
      <c r="I568" s="5">
        <v>2098.92</v>
      </c>
      <c r="J568" s="4">
        <v>6</v>
      </c>
      <c r="K568" s="1">
        <v>24</v>
      </c>
      <c r="L568" s="4">
        <v>376.02</v>
      </c>
      <c r="M568" s="3" t="s">
        <v>28</v>
      </c>
      <c r="N568" s="3" t="s">
        <v>22</v>
      </c>
      <c r="O568" s="2" t="str">
        <f t="shared" si="40"/>
        <v>07-2024</v>
      </c>
      <c r="P568" t="str">
        <f t="shared" si="41"/>
        <v>2024</v>
      </c>
      <c r="Q568" s="6">
        <f t="shared" si="42"/>
        <v>0.17914927677091075</v>
      </c>
      <c r="R568" t="str">
        <f t="shared" si="43"/>
        <v>Profit</v>
      </c>
      <c r="S568" t="str">
        <f t="shared" si="44"/>
        <v>High (&gt;20%)</v>
      </c>
    </row>
    <row r="569" spans="1:19" x14ac:dyDescent="0.3">
      <c r="A569" s="3" t="s">
        <v>649</v>
      </c>
      <c r="B569" s="2">
        <v>45505</v>
      </c>
      <c r="C569" s="3" t="s">
        <v>84</v>
      </c>
      <c r="D569" s="3" t="s">
        <v>16</v>
      </c>
      <c r="E569" s="3" t="s">
        <v>17</v>
      </c>
      <c r="F569" s="3" t="s">
        <v>62</v>
      </c>
      <c r="G569" s="3" t="s">
        <v>80</v>
      </c>
      <c r="H569" s="3" t="s">
        <v>81</v>
      </c>
      <c r="I569" s="5">
        <v>6905.52</v>
      </c>
      <c r="J569" s="4">
        <v>6</v>
      </c>
      <c r="K569" s="1">
        <v>21</v>
      </c>
      <c r="L569" s="4">
        <v>752.44</v>
      </c>
      <c r="M569" s="3" t="s">
        <v>21</v>
      </c>
      <c r="N569" s="3" t="s">
        <v>35</v>
      </c>
      <c r="O569" s="2" t="str">
        <f t="shared" si="40"/>
        <v>08-2024</v>
      </c>
      <c r="P569" t="str">
        <f t="shared" si="41"/>
        <v>2024</v>
      </c>
      <c r="Q569" s="6">
        <f t="shared" si="42"/>
        <v>0.10896210567777662</v>
      </c>
      <c r="R569" t="str">
        <f t="shared" si="43"/>
        <v>Profit</v>
      </c>
      <c r="S569" t="str">
        <f t="shared" si="44"/>
        <v>High (&gt;20%)</v>
      </c>
    </row>
    <row r="570" spans="1:19" x14ac:dyDescent="0.3">
      <c r="A570" s="3" t="s">
        <v>650</v>
      </c>
      <c r="B570" s="2">
        <v>45732</v>
      </c>
      <c r="C570" s="3" t="s">
        <v>99</v>
      </c>
      <c r="D570" s="3" t="s">
        <v>56</v>
      </c>
      <c r="E570" s="3" t="s">
        <v>61</v>
      </c>
      <c r="F570" s="3" t="s">
        <v>32</v>
      </c>
      <c r="G570" s="3" t="s">
        <v>58</v>
      </c>
      <c r="H570" s="3" t="s">
        <v>59</v>
      </c>
      <c r="I570" s="5">
        <v>12893.86</v>
      </c>
      <c r="J570" s="4">
        <v>7</v>
      </c>
      <c r="K570" s="1">
        <v>3</v>
      </c>
      <c r="L570" s="4">
        <v>1242.29</v>
      </c>
      <c r="M570" s="3" t="s">
        <v>51</v>
      </c>
      <c r="N570" s="3" t="s">
        <v>35</v>
      </c>
      <c r="O570" s="2" t="str">
        <f t="shared" si="40"/>
        <v>03-2025</v>
      </c>
      <c r="P570" t="str">
        <f t="shared" si="41"/>
        <v>2025</v>
      </c>
      <c r="Q570" s="6">
        <f t="shared" si="42"/>
        <v>9.6347408766653264E-2</v>
      </c>
      <c r="R570" t="str">
        <f t="shared" si="43"/>
        <v>Profit</v>
      </c>
      <c r="S570" t="str">
        <f t="shared" si="44"/>
        <v>Low (1-10%)</v>
      </c>
    </row>
    <row r="571" spans="1:19" x14ac:dyDescent="0.3">
      <c r="A571" s="3" t="s">
        <v>651</v>
      </c>
      <c r="B571" s="2">
        <v>45513</v>
      </c>
      <c r="C571" s="3" t="s">
        <v>75</v>
      </c>
      <c r="D571" s="3" t="s">
        <v>16</v>
      </c>
      <c r="E571" s="3" t="s">
        <v>31</v>
      </c>
      <c r="F571" s="3" t="s">
        <v>62</v>
      </c>
      <c r="G571" s="3" t="s">
        <v>67</v>
      </c>
      <c r="H571" s="3" t="s">
        <v>68</v>
      </c>
      <c r="I571" s="5">
        <v>8175.72</v>
      </c>
      <c r="J571" s="4">
        <v>7</v>
      </c>
      <c r="K571" s="1">
        <v>30</v>
      </c>
      <c r="L571" s="4">
        <v>1221.26</v>
      </c>
      <c r="M571" s="3" t="s">
        <v>51</v>
      </c>
      <c r="N571" s="3" t="s">
        <v>22</v>
      </c>
      <c r="O571" s="2" t="str">
        <f t="shared" si="40"/>
        <v>08-2024</v>
      </c>
      <c r="P571" t="str">
        <f t="shared" si="41"/>
        <v>2024</v>
      </c>
      <c r="Q571" s="6">
        <f t="shared" si="42"/>
        <v>0.14937644635579495</v>
      </c>
      <c r="R571" t="str">
        <f t="shared" si="43"/>
        <v>Profit</v>
      </c>
      <c r="S571" t="str">
        <f t="shared" si="44"/>
        <v>High (&gt;20%)</v>
      </c>
    </row>
    <row r="572" spans="1:19" x14ac:dyDescent="0.3">
      <c r="A572" s="3" t="s">
        <v>652</v>
      </c>
      <c r="B572" s="2">
        <v>45730</v>
      </c>
      <c r="C572" s="3" t="s">
        <v>133</v>
      </c>
      <c r="D572" s="3" t="s">
        <v>89</v>
      </c>
      <c r="E572" s="3" t="s">
        <v>90</v>
      </c>
      <c r="F572" s="3" t="s">
        <v>18</v>
      </c>
      <c r="G572" s="3" t="s">
        <v>19</v>
      </c>
      <c r="H572" s="3" t="s">
        <v>20</v>
      </c>
      <c r="I572" s="5">
        <v>4367.93</v>
      </c>
      <c r="J572" s="4">
        <v>7</v>
      </c>
      <c r="K572" s="1">
        <v>9</v>
      </c>
      <c r="L572" s="4">
        <v>823.5</v>
      </c>
      <c r="M572" s="3" t="s">
        <v>21</v>
      </c>
      <c r="N572" s="3" t="s">
        <v>40</v>
      </c>
      <c r="O572" s="2" t="str">
        <f t="shared" si="40"/>
        <v>03-2025</v>
      </c>
      <c r="P572" t="str">
        <f t="shared" si="41"/>
        <v>2025</v>
      </c>
      <c r="Q572" s="6">
        <f t="shared" si="42"/>
        <v>0.18853324114626377</v>
      </c>
      <c r="R572" t="str">
        <f t="shared" si="43"/>
        <v>Profit</v>
      </c>
      <c r="S572" t="str">
        <f t="shared" si="44"/>
        <v>Low (1-10%)</v>
      </c>
    </row>
    <row r="573" spans="1:19" x14ac:dyDescent="0.3">
      <c r="A573" s="3" t="s">
        <v>653</v>
      </c>
      <c r="B573" s="2">
        <v>45555</v>
      </c>
      <c r="C573" s="3" t="s">
        <v>42</v>
      </c>
      <c r="D573" s="3" t="s">
        <v>16</v>
      </c>
      <c r="E573" s="3" t="s">
        <v>25</v>
      </c>
      <c r="F573" s="3" t="s">
        <v>62</v>
      </c>
      <c r="G573" s="3" t="s">
        <v>67</v>
      </c>
      <c r="H573" s="3" t="s">
        <v>68</v>
      </c>
      <c r="I573" s="5">
        <v>10519.28</v>
      </c>
      <c r="J573" s="4">
        <v>8</v>
      </c>
      <c r="K573" s="1">
        <v>27</v>
      </c>
      <c r="L573" s="4">
        <v>757.19</v>
      </c>
      <c r="M573" s="3" t="s">
        <v>28</v>
      </c>
      <c r="N573" s="3" t="s">
        <v>40</v>
      </c>
      <c r="O573" s="2" t="str">
        <f t="shared" si="40"/>
        <v>09-2024</v>
      </c>
      <c r="P573" t="str">
        <f t="shared" si="41"/>
        <v>2024</v>
      </c>
      <c r="Q573" s="6">
        <f t="shared" si="42"/>
        <v>7.1981162208820379E-2</v>
      </c>
      <c r="R573" t="str">
        <f t="shared" si="43"/>
        <v>Profit</v>
      </c>
      <c r="S573" t="str">
        <f t="shared" si="44"/>
        <v>High (&gt;20%)</v>
      </c>
    </row>
    <row r="574" spans="1:19" x14ac:dyDescent="0.3">
      <c r="A574" s="3" t="s">
        <v>654</v>
      </c>
      <c r="B574" s="2">
        <v>45514</v>
      </c>
      <c r="C574" s="3" t="s">
        <v>75</v>
      </c>
      <c r="D574" s="3" t="s">
        <v>38</v>
      </c>
      <c r="E574" s="3" t="s">
        <v>53</v>
      </c>
      <c r="F574" s="3" t="s">
        <v>62</v>
      </c>
      <c r="G574" s="3" t="s">
        <v>63</v>
      </c>
      <c r="H574" s="3" t="s">
        <v>64</v>
      </c>
      <c r="I574" s="5">
        <v>1444.83</v>
      </c>
      <c r="J574" s="4">
        <v>1</v>
      </c>
      <c r="K574" s="1">
        <v>21</v>
      </c>
      <c r="L574" s="4">
        <v>76.34</v>
      </c>
      <c r="M574" s="3" t="s">
        <v>28</v>
      </c>
      <c r="N574" s="3" t="s">
        <v>35</v>
      </c>
      <c r="O574" s="2" t="str">
        <f t="shared" si="40"/>
        <v>08-2024</v>
      </c>
      <c r="P574" t="str">
        <f t="shared" si="41"/>
        <v>2024</v>
      </c>
      <c r="Q574" s="6">
        <f t="shared" si="42"/>
        <v>5.2836665905331426E-2</v>
      </c>
      <c r="R574" t="str">
        <f t="shared" si="43"/>
        <v>Profit</v>
      </c>
      <c r="S574" t="str">
        <f t="shared" si="44"/>
        <v>High (&gt;20%)</v>
      </c>
    </row>
    <row r="575" spans="1:19" x14ac:dyDescent="0.3">
      <c r="A575" s="3" t="s">
        <v>655</v>
      </c>
      <c r="B575" s="2">
        <v>45564</v>
      </c>
      <c r="C575" s="3" t="s">
        <v>42</v>
      </c>
      <c r="D575" s="3" t="s">
        <v>16</v>
      </c>
      <c r="E575" s="3" t="s">
        <v>31</v>
      </c>
      <c r="F575" s="3" t="s">
        <v>32</v>
      </c>
      <c r="G575" s="3" t="s">
        <v>47</v>
      </c>
      <c r="H575" s="3" t="s">
        <v>48</v>
      </c>
      <c r="I575" s="5">
        <v>3491.76</v>
      </c>
      <c r="J575" s="4">
        <v>2</v>
      </c>
      <c r="K575" s="1">
        <v>17</v>
      </c>
      <c r="L575" s="4">
        <v>338.33</v>
      </c>
      <c r="M575" s="3" t="s">
        <v>51</v>
      </c>
      <c r="N575" s="3" t="s">
        <v>35</v>
      </c>
      <c r="O575" s="2" t="str">
        <f t="shared" si="40"/>
        <v>09-2024</v>
      </c>
      <c r="P575" t="str">
        <f t="shared" si="41"/>
        <v>2024</v>
      </c>
      <c r="Q575" s="6">
        <f t="shared" si="42"/>
        <v>9.6893830045593043E-2</v>
      </c>
      <c r="R575" t="str">
        <f t="shared" si="43"/>
        <v>Profit</v>
      </c>
      <c r="S575" t="str">
        <f t="shared" si="44"/>
        <v>Mid (11-20%)</v>
      </c>
    </row>
    <row r="576" spans="1:19" x14ac:dyDescent="0.3">
      <c r="A576" s="3" t="s">
        <v>656</v>
      </c>
      <c r="B576" s="2">
        <v>45706</v>
      </c>
      <c r="C576" s="3" t="s">
        <v>70</v>
      </c>
      <c r="D576" s="3" t="s">
        <v>16</v>
      </c>
      <c r="E576" s="3" t="s">
        <v>31</v>
      </c>
      <c r="F576" s="3" t="s">
        <v>62</v>
      </c>
      <c r="G576" s="3" t="s">
        <v>103</v>
      </c>
      <c r="H576" s="3" t="s">
        <v>104</v>
      </c>
      <c r="I576" s="5">
        <v>11430.9</v>
      </c>
      <c r="J576" s="4">
        <v>6</v>
      </c>
      <c r="K576" s="1">
        <v>11</v>
      </c>
      <c r="L576" s="4">
        <v>1144.23</v>
      </c>
      <c r="M576" s="3" t="s">
        <v>51</v>
      </c>
      <c r="N576" s="3" t="s">
        <v>35</v>
      </c>
      <c r="O576" s="2" t="str">
        <f t="shared" si="40"/>
        <v>02-2025</v>
      </c>
      <c r="P576" t="str">
        <f t="shared" si="41"/>
        <v>2025</v>
      </c>
      <c r="Q576" s="6">
        <f t="shared" si="42"/>
        <v>0.10009972968007769</v>
      </c>
      <c r="R576" t="str">
        <f t="shared" si="43"/>
        <v>Profit</v>
      </c>
      <c r="S576" t="str">
        <f t="shared" si="44"/>
        <v>Mid (11-20%)</v>
      </c>
    </row>
    <row r="577" spans="1:19" x14ac:dyDescent="0.3">
      <c r="A577" s="3" t="s">
        <v>657</v>
      </c>
      <c r="B577" s="2">
        <v>45523</v>
      </c>
      <c r="C577" s="3" t="s">
        <v>42</v>
      </c>
      <c r="D577" s="3" t="s">
        <v>16</v>
      </c>
      <c r="E577" s="3" t="s">
        <v>17</v>
      </c>
      <c r="F577" s="3" t="s">
        <v>62</v>
      </c>
      <c r="G577" s="3" t="s">
        <v>80</v>
      </c>
      <c r="H577" s="3" t="s">
        <v>81</v>
      </c>
      <c r="I577" s="5">
        <v>3166.76</v>
      </c>
      <c r="J577" s="4">
        <v>4</v>
      </c>
      <c r="K577" s="1">
        <v>21</v>
      </c>
      <c r="L577" s="4">
        <v>516.66999999999996</v>
      </c>
      <c r="M577" s="3" t="s">
        <v>28</v>
      </c>
      <c r="N577" s="3" t="s">
        <v>35</v>
      </c>
      <c r="O577" s="2" t="str">
        <f t="shared" si="40"/>
        <v>08-2024</v>
      </c>
      <c r="P577" t="str">
        <f t="shared" si="41"/>
        <v>2024</v>
      </c>
      <c r="Q577" s="6">
        <f t="shared" si="42"/>
        <v>0.16315413861486186</v>
      </c>
      <c r="R577" t="str">
        <f t="shared" si="43"/>
        <v>Profit</v>
      </c>
      <c r="S577" t="str">
        <f t="shared" si="44"/>
        <v>High (&gt;20%)</v>
      </c>
    </row>
    <row r="578" spans="1:19" x14ac:dyDescent="0.3">
      <c r="A578" s="3" t="s">
        <v>658</v>
      </c>
      <c r="B578" s="2">
        <v>45719</v>
      </c>
      <c r="C578" s="3" t="s">
        <v>50</v>
      </c>
      <c r="D578" s="3" t="s">
        <v>89</v>
      </c>
      <c r="E578" s="3" t="s">
        <v>90</v>
      </c>
      <c r="F578" s="3" t="s">
        <v>18</v>
      </c>
      <c r="G578" s="3" t="s">
        <v>76</v>
      </c>
      <c r="H578" s="3" t="s">
        <v>77</v>
      </c>
      <c r="I578" s="5">
        <v>856.76</v>
      </c>
      <c r="J578" s="4">
        <v>1</v>
      </c>
      <c r="K578" s="1">
        <v>15</v>
      </c>
      <c r="L578" s="4">
        <v>38.93</v>
      </c>
      <c r="M578" s="3" t="s">
        <v>21</v>
      </c>
      <c r="N578" s="3" t="s">
        <v>44</v>
      </c>
      <c r="O578" s="2" t="str">
        <f t="shared" ref="O578:O641" si="45" xml:space="preserve"> TEXT(B578,"MM-YYYY")</f>
        <v>03-2025</v>
      </c>
      <c r="P578" t="str">
        <f t="shared" ref="P578:P641" si="46">TEXT(B578,"YYYY")</f>
        <v>2025</v>
      </c>
      <c r="Q578" s="6">
        <f t="shared" ref="Q578:Q641" si="47">IFERROR(L578/I578,0)</f>
        <v>4.5438629254400301E-2</v>
      </c>
      <c r="R578" t="str">
        <f t="shared" ref="R578:R641" si="48">IF(L578&gt;0,"Profit","Loss")</f>
        <v>Profit</v>
      </c>
      <c r="S578" t="str">
        <f t="shared" ref="S578:S641" si="49">IF(K578=0,"No Discount",IF(K578&lt;=10,"Low (1-10%)",IF(K578&lt;=20,"Mid (11-20%)","High (&gt;20%)")))</f>
        <v>Mid (11-20%)</v>
      </c>
    </row>
    <row r="579" spans="1:19" x14ac:dyDescent="0.3">
      <c r="A579" s="3" t="s">
        <v>659</v>
      </c>
      <c r="B579" s="2">
        <v>45767</v>
      </c>
      <c r="C579" s="3" t="s">
        <v>86</v>
      </c>
      <c r="D579" s="3" t="s">
        <v>89</v>
      </c>
      <c r="E579" s="3" t="s">
        <v>140</v>
      </c>
      <c r="F579" s="3" t="s">
        <v>62</v>
      </c>
      <c r="G579" s="3" t="s">
        <v>103</v>
      </c>
      <c r="H579" s="3" t="s">
        <v>104</v>
      </c>
      <c r="I579" s="5">
        <v>1069.23</v>
      </c>
      <c r="J579" s="4">
        <v>1</v>
      </c>
      <c r="K579" s="1">
        <v>17</v>
      </c>
      <c r="L579" s="4">
        <v>193.82</v>
      </c>
      <c r="M579" s="3" t="s">
        <v>51</v>
      </c>
      <c r="N579" s="3" t="s">
        <v>35</v>
      </c>
      <c r="O579" s="2" t="str">
        <f t="shared" si="45"/>
        <v>04-2025</v>
      </c>
      <c r="P579" t="str">
        <f t="shared" si="46"/>
        <v>2025</v>
      </c>
      <c r="Q579" s="6">
        <f t="shared" si="47"/>
        <v>0.18127063400765037</v>
      </c>
      <c r="R579" t="str">
        <f t="shared" si="48"/>
        <v>Profit</v>
      </c>
      <c r="S579" t="str">
        <f t="shared" si="49"/>
        <v>Mid (11-20%)</v>
      </c>
    </row>
    <row r="580" spans="1:19" x14ac:dyDescent="0.3">
      <c r="A580" s="3" t="s">
        <v>660</v>
      </c>
      <c r="B580" s="2">
        <v>45543</v>
      </c>
      <c r="C580" s="3" t="s">
        <v>30</v>
      </c>
      <c r="D580" s="3" t="s">
        <v>56</v>
      </c>
      <c r="E580" s="3" t="s">
        <v>108</v>
      </c>
      <c r="F580" s="3" t="s">
        <v>62</v>
      </c>
      <c r="G580" s="3" t="s">
        <v>67</v>
      </c>
      <c r="H580" s="3" t="s">
        <v>68</v>
      </c>
      <c r="I580" s="5">
        <v>3036.87</v>
      </c>
      <c r="J580" s="4">
        <v>9</v>
      </c>
      <c r="K580" s="1">
        <v>4</v>
      </c>
      <c r="L580" s="4">
        <v>438.58</v>
      </c>
      <c r="M580" s="3" t="s">
        <v>28</v>
      </c>
      <c r="N580" s="3" t="s">
        <v>22</v>
      </c>
      <c r="O580" s="2" t="str">
        <f t="shared" si="45"/>
        <v>09-2024</v>
      </c>
      <c r="P580" t="str">
        <f t="shared" si="46"/>
        <v>2024</v>
      </c>
      <c r="Q580" s="6">
        <f t="shared" si="47"/>
        <v>0.14441843081857306</v>
      </c>
      <c r="R580" t="str">
        <f t="shared" si="48"/>
        <v>Profit</v>
      </c>
      <c r="S580" t="str">
        <f t="shared" si="49"/>
        <v>Low (1-10%)</v>
      </c>
    </row>
    <row r="581" spans="1:19" x14ac:dyDescent="0.3">
      <c r="A581" s="3" t="s">
        <v>661</v>
      </c>
      <c r="B581" s="2">
        <v>45690</v>
      </c>
      <c r="C581" s="3" t="s">
        <v>86</v>
      </c>
      <c r="D581" s="3" t="s">
        <v>89</v>
      </c>
      <c r="E581" s="3" t="s">
        <v>97</v>
      </c>
      <c r="F581" s="3" t="s">
        <v>18</v>
      </c>
      <c r="G581" s="3" t="s">
        <v>94</v>
      </c>
      <c r="H581" s="3" t="s">
        <v>95</v>
      </c>
      <c r="I581" s="5">
        <v>4858.2299999999996</v>
      </c>
      <c r="J581" s="4">
        <v>3</v>
      </c>
      <c r="K581" s="1">
        <v>5</v>
      </c>
      <c r="L581" s="4">
        <v>404.52</v>
      </c>
      <c r="M581" s="3" t="s">
        <v>28</v>
      </c>
      <c r="N581" s="3" t="s">
        <v>22</v>
      </c>
      <c r="O581" s="2" t="str">
        <f t="shared" si="45"/>
        <v>02-2025</v>
      </c>
      <c r="P581" t="str">
        <f t="shared" si="46"/>
        <v>2025</v>
      </c>
      <c r="Q581" s="6">
        <f t="shared" si="47"/>
        <v>8.3264892769588927E-2</v>
      </c>
      <c r="R581" t="str">
        <f t="shared" si="48"/>
        <v>Profit</v>
      </c>
      <c r="S581" t="str">
        <f t="shared" si="49"/>
        <v>Low (1-10%)</v>
      </c>
    </row>
    <row r="582" spans="1:19" x14ac:dyDescent="0.3">
      <c r="A582" s="3" t="s">
        <v>662</v>
      </c>
      <c r="B582" s="2">
        <v>45748</v>
      </c>
      <c r="C582" s="3" t="s">
        <v>73</v>
      </c>
      <c r="D582" s="3" t="s">
        <v>56</v>
      </c>
      <c r="E582" s="3" t="s">
        <v>57</v>
      </c>
      <c r="F582" s="3" t="s">
        <v>32</v>
      </c>
      <c r="G582" s="3" t="s">
        <v>58</v>
      </c>
      <c r="H582" s="3" t="s">
        <v>59</v>
      </c>
      <c r="I582" s="5">
        <v>10236.66</v>
      </c>
      <c r="J582" s="4">
        <v>6</v>
      </c>
      <c r="K582" s="1">
        <v>18</v>
      </c>
      <c r="L582" s="4">
        <v>1205.33</v>
      </c>
      <c r="M582" s="3" t="s">
        <v>28</v>
      </c>
      <c r="N582" s="3" t="s">
        <v>44</v>
      </c>
      <c r="O582" s="2" t="str">
        <f t="shared" si="45"/>
        <v>04-2025</v>
      </c>
      <c r="P582" t="str">
        <f t="shared" si="46"/>
        <v>2025</v>
      </c>
      <c r="Q582" s="6">
        <f t="shared" si="47"/>
        <v>0.11774641338092698</v>
      </c>
      <c r="R582" t="str">
        <f t="shared" si="48"/>
        <v>Profit</v>
      </c>
      <c r="S582" t="str">
        <f t="shared" si="49"/>
        <v>Mid (11-20%)</v>
      </c>
    </row>
    <row r="583" spans="1:19" x14ac:dyDescent="0.3">
      <c r="A583" s="3" t="s">
        <v>663</v>
      </c>
      <c r="B583" s="2">
        <v>45441</v>
      </c>
      <c r="C583" s="3" t="s">
        <v>37</v>
      </c>
      <c r="D583" s="3" t="s">
        <v>56</v>
      </c>
      <c r="E583" s="3" t="s">
        <v>61</v>
      </c>
      <c r="F583" s="3" t="s">
        <v>32</v>
      </c>
      <c r="G583" s="3" t="s">
        <v>33</v>
      </c>
      <c r="H583" s="3" t="s">
        <v>34</v>
      </c>
      <c r="I583" s="5">
        <v>2373.0700000000002</v>
      </c>
      <c r="J583" s="4">
        <v>7</v>
      </c>
      <c r="K583" s="1">
        <v>28</v>
      </c>
      <c r="L583" s="4">
        <v>384.75</v>
      </c>
      <c r="M583" s="3" t="s">
        <v>51</v>
      </c>
      <c r="N583" s="3" t="s">
        <v>35</v>
      </c>
      <c r="O583" s="2" t="str">
        <f t="shared" si="45"/>
        <v>05-2024</v>
      </c>
      <c r="P583" t="str">
        <f t="shared" si="46"/>
        <v>2024</v>
      </c>
      <c r="Q583" s="6">
        <f t="shared" si="47"/>
        <v>0.16213175338274891</v>
      </c>
      <c r="R583" t="str">
        <f t="shared" si="48"/>
        <v>Profit</v>
      </c>
      <c r="S583" t="str">
        <f t="shared" si="49"/>
        <v>High (&gt;20%)</v>
      </c>
    </row>
    <row r="584" spans="1:19" x14ac:dyDescent="0.3">
      <c r="A584" s="3" t="s">
        <v>664</v>
      </c>
      <c r="B584" s="2">
        <v>45779</v>
      </c>
      <c r="C584" s="3" t="s">
        <v>66</v>
      </c>
      <c r="D584" s="3" t="s">
        <v>38</v>
      </c>
      <c r="E584" s="3" t="s">
        <v>71</v>
      </c>
      <c r="F584" s="3" t="s">
        <v>32</v>
      </c>
      <c r="G584" s="3" t="s">
        <v>112</v>
      </c>
      <c r="H584" s="3" t="s">
        <v>113</v>
      </c>
      <c r="I584" s="5">
        <v>2021.7</v>
      </c>
      <c r="J584" s="4">
        <v>3</v>
      </c>
      <c r="K584" s="1">
        <v>18</v>
      </c>
      <c r="L584" s="4">
        <v>232.18</v>
      </c>
      <c r="M584" s="3" t="s">
        <v>28</v>
      </c>
      <c r="N584" s="3" t="s">
        <v>40</v>
      </c>
      <c r="O584" s="2" t="str">
        <f t="shared" si="45"/>
        <v>05-2025</v>
      </c>
      <c r="P584" t="str">
        <f t="shared" si="46"/>
        <v>2025</v>
      </c>
      <c r="Q584" s="6">
        <f t="shared" si="47"/>
        <v>0.11484394321610526</v>
      </c>
      <c r="R584" t="str">
        <f t="shared" si="48"/>
        <v>Profit</v>
      </c>
      <c r="S584" t="str">
        <f t="shared" si="49"/>
        <v>Mid (11-20%)</v>
      </c>
    </row>
    <row r="585" spans="1:19" x14ac:dyDescent="0.3">
      <c r="A585" s="3" t="s">
        <v>665</v>
      </c>
      <c r="B585" s="2">
        <v>45547</v>
      </c>
      <c r="C585" s="3" t="s">
        <v>75</v>
      </c>
      <c r="D585" s="3" t="s">
        <v>16</v>
      </c>
      <c r="E585" s="3" t="s">
        <v>31</v>
      </c>
      <c r="F585" s="3" t="s">
        <v>32</v>
      </c>
      <c r="G585" s="3" t="s">
        <v>47</v>
      </c>
      <c r="H585" s="3" t="s">
        <v>48</v>
      </c>
      <c r="I585" s="5">
        <v>6057.84</v>
      </c>
      <c r="J585" s="4">
        <v>8</v>
      </c>
      <c r="K585" s="1">
        <v>10</v>
      </c>
      <c r="L585" s="4">
        <v>644.24</v>
      </c>
      <c r="M585" s="3" t="s">
        <v>28</v>
      </c>
      <c r="N585" s="3" t="s">
        <v>40</v>
      </c>
      <c r="O585" s="2" t="str">
        <f t="shared" si="45"/>
        <v>09-2024</v>
      </c>
      <c r="P585" t="str">
        <f t="shared" si="46"/>
        <v>2024</v>
      </c>
      <c r="Q585" s="6">
        <f t="shared" si="47"/>
        <v>0.10634813728985909</v>
      </c>
      <c r="R585" t="str">
        <f t="shared" si="48"/>
        <v>Profit</v>
      </c>
      <c r="S585" t="str">
        <f t="shared" si="49"/>
        <v>Low (1-10%)</v>
      </c>
    </row>
    <row r="586" spans="1:19" x14ac:dyDescent="0.3">
      <c r="A586" s="3" t="s">
        <v>666</v>
      </c>
      <c r="B586" s="2">
        <v>45707</v>
      </c>
      <c r="C586" s="3" t="s">
        <v>30</v>
      </c>
      <c r="D586" s="3" t="s">
        <v>56</v>
      </c>
      <c r="E586" s="3" t="s">
        <v>108</v>
      </c>
      <c r="F586" s="3" t="s">
        <v>62</v>
      </c>
      <c r="G586" s="3" t="s">
        <v>103</v>
      </c>
      <c r="H586" s="3" t="s">
        <v>104</v>
      </c>
      <c r="I586" s="5">
        <v>7139.45</v>
      </c>
      <c r="J586" s="4">
        <v>5</v>
      </c>
      <c r="K586" s="1">
        <v>19</v>
      </c>
      <c r="L586" s="4">
        <v>1005.84</v>
      </c>
      <c r="M586" s="3" t="s">
        <v>21</v>
      </c>
      <c r="N586" s="3" t="s">
        <v>44</v>
      </c>
      <c r="O586" s="2" t="str">
        <f t="shared" si="45"/>
        <v>02-2025</v>
      </c>
      <c r="P586" t="str">
        <f t="shared" si="46"/>
        <v>2025</v>
      </c>
      <c r="Q586" s="6">
        <f t="shared" si="47"/>
        <v>0.14088480205057813</v>
      </c>
      <c r="R586" t="str">
        <f t="shared" si="48"/>
        <v>Profit</v>
      </c>
      <c r="S586" t="str">
        <f t="shared" si="49"/>
        <v>Mid (11-20%)</v>
      </c>
    </row>
    <row r="587" spans="1:19" x14ac:dyDescent="0.3">
      <c r="A587" s="3" t="s">
        <v>667</v>
      </c>
      <c r="B587" s="2">
        <v>45714</v>
      </c>
      <c r="C587" s="3" t="s">
        <v>15</v>
      </c>
      <c r="D587" s="3" t="s">
        <v>16</v>
      </c>
      <c r="E587" s="3" t="s">
        <v>25</v>
      </c>
      <c r="F587" s="3" t="s">
        <v>32</v>
      </c>
      <c r="G587" s="3" t="s">
        <v>112</v>
      </c>
      <c r="H587" s="3" t="s">
        <v>113</v>
      </c>
      <c r="I587" s="5">
        <v>3958.12</v>
      </c>
      <c r="J587" s="4">
        <v>2</v>
      </c>
      <c r="K587" s="1">
        <v>27</v>
      </c>
      <c r="L587" s="4">
        <v>191.19</v>
      </c>
      <c r="M587" s="3" t="s">
        <v>21</v>
      </c>
      <c r="N587" s="3" t="s">
        <v>35</v>
      </c>
      <c r="O587" s="2" t="str">
        <f t="shared" si="45"/>
        <v>02-2025</v>
      </c>
      <c r="P587" t="str">
        <f t="shared" si="46"/>
        <v>2025</v>
      </c>
      <c r="Q587" s="6">
        <f t="shared" si="47"/>
        <v>4.830323486907926E-2</v>
      </c>
      <c r="R587" t="str">
        <f t="shared" si="48"/>
        <v>Profit</v>
      </c>
      <c r="S587" t="str">
        <f t="shared" si="49"/>
        <v>High (&gt;20%)</v>
      </c>
    </row>
    <row r="588" spans="1:19" x14ac:dyDescent="0.3">
      <c r="A588" s="3" t="s">
        <v>668</v>
      </c>
      <c r="B588" s="2">
        <v>45608</v>
      </c>
      <c r="C588" s="3" t="s">
        <v>15</v>
      </c>
      <c r="D588" s="3" t="s">
        <v>16</v>
      </c>
      <c r="E588" s="3" t="s">
        <v>31</v>
      </c>
      <c r="F588" s="3" t="s">
        <v>32</v>
      </c>
      <c r="G588" s="3" t="s">
        <v>47</v>
      </c>
      <c r="H588" s="3" t="s">
        <v>48</v>
      </c>
      <c r="I588" s="5">
        <v>7614.9</v>
      </c>
      <c r="J588" s="4">
        <v>9</v>
      </c>
      <c r="K588" s="1">
        <v>14</v>
      </c>
      <c r="L588" s="4">
        <v>1454.45</v>
      </c>
      <c r="M588" s="3" t="s">
        <v>21</v>
      </c>
      <c r="N588" s="3" t="s">
        <v>40</v>
      </c>
      <c r="O588" s="2" t="str">
        <f t="shared" si="45"/>
        <v>11-2024</v>
      </c>
      <c r="P588" t="str">
        <f t="shared" si="46"/>
        <v>2024</v>
      </c>
      <c r="Q588" s="6">
        <f t="shared" si="47"/>
        <v>0.19100053841810136</v>
      </c>
      <c r="R588" t="str">
        <f t="shared" si="48"/>
        <v>Profit</v>
      </c>
      <c r="S588" t="str">
        <f t="shared" si="49"/>
        <v>Mid (11-20%)</v>
      </c>
    </row>
    <row r="589" spans="1:19" x14ac:dyDescent="0.3">
      <c r="A589" s="3" t="s">
        <v>669</v>
      </c>
      <c r="B589" s="2">
        <v>45676</v>
      </c>
      <c r="C589" s="3" t="s">
        <v>15</v>
      </c>
      <c r="D589" s="3" t="s">
        <v>38</v>
      </c>
      <c r="E589" s="3" t="s">
        <v>71</v>
      </c>
      <c r="F589" s="3" t="s">
        <v>32</v>
      </c>
      <c r="G589" s="3" t="s">
        <v>112</v>
      </c>
      <c r="H589" s="3" t="s">
        <v>113</v>
      </c>
      <c r="I589" s="5">
        <v>11656.89</v>
      </c>
      <c r="J589" s="4">
        <v>9</v>
      </c>
      <c r="K589" s="1">
        <v>7.0000000000000009</v>
      </c>
      <c r="L589" s="4">
        <v>1976.75</v>
      </c>
      <c r="M589" s="3" t="s">
        <v>51</v>
      </c>
      <c r="N589" s="3" t="s">
        <v>22</v>
      </c>
      <c r="O589" s="2" t="str">
        <f t="shared" si="45"/>
        <v>01-2025</v>
      </c>
      <c r="P589" t="str">
        <f t="shared" si="46"/>
        <v>2025</v>
      </c>
      <c r="Q589" s="6">
        <f t="shared" si="47"/>
        <v>0.16957782049929271</v>
      </c>
      <c r="R589" t="str">
        <f t="shared" si="48"/>
        <v>Profit</v>
      </c>
      <c r="S589" t="str">
        <f t="shared" si="49"/>
        <v>Low (1-10%)</v>
      </c>
    </row>
    <row r="590" spans="1:19" x14ac:dyDescent="0.3">
      <c r="A590" s="3" t="s">
        <v>670</v>
      </c>
      <c r="B590" s="2">
        <v>45511</v>
      </c>
      <c r="C590" s="3" t="s">
        <v>73</v>
      </c>
      <c r="D590" s="3" t="s">
        <v>89</v>
      </c>
      <c r="E590" s="3" t="s">
        <v>102</v>
      </c>
      <c r="F590" s="3" t="s">
        <v>32</v>
      </c>
      <c r="G590" s="3" t="s">
        <v>58</v>
      </c>
      <c r="H590" s="3" t="s">
        <v>59</v>
      </c>
      <c r="I590" s="5">
        <v>6883.2</v>
      </c>
      <c r="J590" s="4">
        <v>4</v>
      </c>
      <c r="K590" s="1">
        <v>8</v>
      </c>
      <c r="L590" s="4">
        <v>1526.41</v>
      </c>
      <c r="M590" s="3" t="s">
        <v>21</v>
      </c>
      <c r="N590" s="3" t="s">
        <v>22</v>
      </c>
      <c r="O590" s="2" t="str">
        <f t="shared" si="45"/>
        <v>08-2024</v>
      </c>
      <c r="P590" t="str">
        <f t="shared" si="46"/>
        <v>2024</v>
      </c>
      <c r="Q590" s="6">
        <f t="shared" si="47"/>
        <v>0.22175877498837751</v>
      </c>
      <c r="R590" t="str">
        <f t="shared" si="48"/>
        <v>Profit</v>
      </c>
      <c r="S590" t="str">
        <f t="shared" si="49"/>
        <v>Low (1-10%)</v>
      </c>
    </row>
    <row r="591" spans="1:19" x14ac:dyDescent="0.3">
      <c r="A591" s="3" t="s">
        <v>671</v>
      </c>
      <c r="B591" s="2">
        <v>45650</v>
      </c>
      <c r="C591" s="3" t="s">
        <v>50</v>
      </c>
      <c r="D591" s="3" t="s">
        <v>56</v>
      </c>
      <c r="E591" s="3" t="s">
        <v>108</v>
      </c>
      <c r="F591" s="3" t="s">
        <v>62</v>
      </c>
      <c r="G591" s="3" t="s">
        <v>67</v>
      </c>
      <c r="H591" s="3" t="s">
        <v>68</v>
      </c>
      <c r="I591" s="5">
        <v>6766.4</v>
      </c>
      <c r="J591" s="4">
        <v>8</v>
      </c>
      <c r="K591" s="1">
        <v>12</v>
      </c>
      <c r="L591" s="4">
        <v>779.13</v>
      </c>
      <c r="M591" s="3" t="s">
        <v>51</v>
      </c>
      <c r="N591" s="3" t="s">
        <v>35</v>
      </c>
      <c r="O591" s="2" t="str">
        <f t="shared" si="45"/>
        <v>12-2024</v>
      </c>
      <c r="P591" t="str">
        <f t="shared" si="46"/>
        <v>2024</v>
      </c>
      <c r="Q591" s="6">
        <f t="shared" si="47"/>
        <v>0.11514690234097896</v>
      </c>
      <c r="R591" t="str">
        <f t="shared" si="48"/>
        <v>Profit</v>
      </c>
      <c r="S591" t="str">
        <f t="shared" si="49"/>
        <v>Mid (11-20%)</v>
      </c>
    </row>
    <row r="592" spans="1:19" x14ac:dyDescent="0.3">
      <c r="A592" s="3" t="s">
        <v>672</v>
      </c>
      <c r="B592" s="2">
        <v>45432</v>
      </c>
      <c r="C592" s="3" t="s">
        <v>70</v>
      </c>
      <c r="D592" s="3" t="s">
        <v>38</v>
      </c>
      <c r="E592" s="3" t="s">
        <v>71</v>
      </c>
      <c r="F592" s="3" t="s">
        <v>32</v>
      </c>
      <c r="G592" s="3" t="s">
        <v>112</v>
      </c>
      <c r="H592" s="3" t="s">
        <v>113</v>
      </c>
      <c r="I592" s="5">
        <v>6433.2</v>
      </c>
      <c r="J592" s="4">
        <v>6</v>
      </c>
      <c r="K592" s="1">
        <v>25</v>
      </c>
      <c r="L592" s="4">
        <v>409.14</v>
      </c>
      <c r="M592" s="3" t="s">
        <v>21</v>
      </c>
      <c r="N592" s="3" t="s">
        <v>35</v>
      </c>
      <c r="O592" s="2" t="str">
        <f t="shared" si="45"/>
        <v>05-2024</v>
      </c>
      <c r="P592" t="str">
        <f t="shared" si="46"/>
        <v>2024</v>
      </c>
      <c r="Q592" s="6">
        <f t="shared" si="47"/>
        <v>6.3598209289311688E-2</v>
      </c>
      <c r="R592" t="str">
        <f t="shared" si="48"/>
        <v>Profit</v>
      </c>
      <c r="S592" t="str">
        <f t="shared" si="49"/>
        <v>High (&gt;20%)</v>
      </c>
    </row>
    <row r="593" spans="1:19" x14ac:dyDescent="0.3">
      <c r="A593" s="3" t="s">
        <v>673</v>
      </c>
      <c r="B593" s="2">
        <v>45760</v>
      </c>
      <c r="C593" s="3" t="s">
        <v>30</v>
      </c>
      <c r="D593" s="3" t="s">
        <v>89</v>
      </c>
      <c r="E593" s="3" t="s">
        <v>97</v>
      </c>
      <c r="F593" s="3" t="s">
        <v>18</v>
      </c>
      <c r="G593" s="3" t="s">
        <v>19</v>
      </c>
      <c r="H593" s="3" t="s">
        <v>20</v>
      </c>
      <c r="I593" s="5">
        <v>1884.54</v>
      </c>
      <c r="J593" s="4">
        <v>7</v>
      </c>
      <c r="K593" s="1">
        <v>20</v>
      </c>
      <c r="L593" s="4">
        <v>248.75</v>
      </c>
      <c r="M593" s="3" t="s">
        <v>21</v>
      </c>
      <c r="N593" s="3" t="s">
        <v>44</v>
      </c>
      <c r="O593" s="2" t="str">
        <f t="shared" si="45"/>
        <v>04-2025</v>
      </c>
      <c r="P593" t="str">
        <f t="shared" si="46"/>
        <v>2025</v>
      </c>
      <c r="Q593" s="6">
        <f t="shared" si="47"/>
        <v>0.13199507572139621</v>
      </c>
      <c r="R593" t="str">
        <f t="shared" si="48"/>
        <v>Profit</v>
      </c>
      <c r="S593" t="str">
        <f t="shared" si="49"/>
        <v>Mid (11-20%)</v>
      </c>
    </row>
    <row r="594" spans="1:19" x14ac:dyDescent="0.3">
      <c r="A594" s="3" t="s">
        <v>674</v>
      </c>
      <c r="B594" s="2">
        <v>45751</v>
      </c>
      <c r="C594" s="3" t="s">
        <v>70</v>
      </c>
      <c r="D594" s="3" t="s">
        <v>38</v>
      </c>
      <c r="E594" s="3" t="s">
        <v>53</v>
      </c>
      <c r="F594" s="3" t="s">
        <v>18</v>
      </c>
      <c r="G594" s="3" t="s">
        <v>94</v>
      </c>
      <c r="H594" s="3" t="s">
        <v>95</v>
      </c>
      <c r="I594" s="5">
        <v>11388</v>
      </c>
      <c r="J594" s="4">
        <v>8</v>
      </c>
      <c r="K594" s="1">
        <v>5</v>
      </c>
      <c r="L594" s="4">
        <v>867.85</v>
      </c>
      <c r="M594" s="3" t="s">
        <v>21</v>
      </c>
      <c r="N594" s="3" t="s">
        <v>22</v>
      </c>
      <c r="O594" s="2" t="str">
        <f t="shared" si="45"/>
        <v>04-2025</v>
      </c>
      <c r="P594" t="str">
        <f t="shared" si="46"/>
        <v>2025</v>
      </c>
      <c r="Q594" s="6">
        <f t="shared" si="47"/>
        <v>7.6207411310151033E-2</v>
      </c>
      <c r="R594" t="str">
        <f t="shared" si="48"/>
        <v>Profit</v>
      </c>
      <c r="S594" t="str">
        <f t="shared" si="49"/>
        <v>Low (1-10%)</v>
      </c>
    </row>
    <row r="595" spans="1:19" x14ac:dyDescent="0.3">
      <c r="A595" s="3" t="s">
        <v>675</v>
      </c>
      <c r="B595" s="2">
        <v>45515</v>
      </c>
      <c r="C595" s="3" t="s">
        <v>75</v>
      </c>
      <c r="D595" s="3" t="s">
        <v>89</v>
      </c>
      <c r="E595" s="3" t="s">
        <v>116</v>
      </c>
      <c r="F595" s="3" t="s">
        <v>62</v>
      </c>
      <c r="G595" s="3" t="s">
        <v>103</v>
      </c>
      <c r="H595" s="3" t="s">
        <v>104</v>
      </c>
      <c r="I595" s="5">
        <v>13398.88</v>
      </c>
      <c r="J595" s="4">
        <v>8</v>
      </c>
      <c r="K595" s="1">
        <v>18</v>
      </c>
      <c r="L595" s="4">
        <v>2078.2399999999998</v>
      </c>
      <c r="M595" s="3" t="s">
        <v>28</v>
      </c>
      <c r="N595" s="3" t="s">
        <v>35</v>
      </c>
      <c r="O595" s="2" t="str">
        <f t="shared" si="45"/>
        <v>08-2024</v>
      </c>
      <c r="P595" t="str">
        <f t="shared" si="46"/>
        <v>2024</v>
      </c>
      <c r="Q595" s="6">
        <f t="shared" si="47"/>
        <v>0.15510550135533716</v>
      </c>
      <c r="R595" t="str">
        <f t="shared" si="48"/>
        <v>Profit</v>
      </c>
      <c r="S595" t="str">
        <f t="shared" si="49"/>
        <v>Mid (11-20%)</v>
      </c>
    </row>
    <row r="596" spans="1:19" x14ac:dyDescent="0.3">
      <c r="A596" s="3" t="s">
        <v>676</v>
      </c>
      <c r="B596" s="2">
        <v>45715</v>
      </c>
      <c r="C596" s="3" t="s">
        <v>66</v>
      </c>
      <c r="D596" s="3" t="s">
        <v>38</v>
      </c>
      <c r="E596" s="3" t="s">
        <v>53</v>
      </c>
      <c r="F596" s="3" t="s">
        <v>18</v>
      </c>
      <c r="G596" s="3" t="s">
        <v>19</v>
      </c>
      <c r="H596" s="3" t="s">
        <v>20</v>
      </c>
      <c r="I596" s="5">
        <v>3769.52</v>
      </c>
      <c r="J596" s="4">
        <v>2</v>
      </c>
      <c r="K596" s="1">
        <v>6</v>
      </c>
      <c r="L596" s="4">
        <v>183.51</v>
      </c>
      <c r="M596" s="3" t="s">
        <v>51</v>
      </c>
      <c r="N596" s="3" t="s">
        <v>22</v>
      </c>
      <c r="O596" s="2" t="str">
        <f t="shared" si="45"/>
        <v>02-2025</v>
      </c>
      <c r="P596" t="str">
        <f t="shared" si="46"/>
        <v>2025</v>
      </c>
      <c r="Q596" s="6">
        <f t="shared" si="47"/>
        <v>4.8682590886903368E-2</v>
      </c>
      <c r="R596" t="str">
        <f t="shared" si="48"/>
        <v>Profit</v>
      </c>
      <c r="S596" t="str">
        <f t="shared" si="49"/>
        <v>Low (1-10%)</v>
      </c>
    </row>
    <row r="597" spans="1:19" x14ac:dyDescent="0.3">
      <c r="A597" s="3" t="s">
        <v>677</v>
      </c>
      <c r="B597" s="2">
        <v>45501</v>
      </c>
      <c r="C597" s="3" t="s">
        <v>30</v>
      </c>
      <c r="D597" s="3" t="s">
        <v>16</v>
      </c>
      <c r="E597" s="3" t="s">
        <v>25</v>
      </c>
      <c r="F597" s="3" t="s">
        <v>18</v>
      </c>
      <c r="G597" s="3" t="s">
        <v>19</v>
      </c>
      <c r="H597" s="3" t="s">
        <v>20</v>
      </c>
      <c r="I597" s="5">
        <v>5757.12</v>
      </c>
      <c r="J597" s="4">
        <v>8</v>
      </c>
      <c r="K597" s="1">
        <v>16</v>
      </c>
      <c r="L597" s="4">
        <v>919.56</v>
      </c>
      <c r="M597" s="3" t="s">
        <v>28</v>
      </c>
      <c r="N597" s="3" t="s">
        <v>44</v>
      </c>
      <c r="O597" s="2" t="str">
        <f t="shared" si="45"/>
        <v>07-2024</v>
      </c>
      <c r="P597" t="str">
        <f t="shared" si="46"/>
        <v>2024</v>
      </c>
      <c r="Q597" s="6">
        <f t="shared" si="47"/>
        <v>0.15972569618142404</v>
      </c>
      <c r="R597" t="str">
        <f t="shared" si="48"/>
        <v>Profit</v>
      </c>
      <c r="S597" t="str">
        <f t="shared" si="49"/>
        <v>Mid (11-20%)</v>
      </c>
    </row>
    <row r="598" spans="1:19" x14ac:dyDescent="0.3">
      <c r="A598" s="3" t="s">
        <v>678</v>
      </c>
      <c r="B598" s="2">
        <v>45428</v>
      </c>
      <c r="C598" s="3" t="s">
        <v>37</v>
      </c>
      <c r="D598" s="3" t="s">
        <v>16</v>
      </c>
      <c r="E598" s="3" t="s">
        <v>17</v>
      </c>
      <c r="F598" s="3" t="s">
        <v>18</v>
      </c>
      <c r="G598" s="3" t="s">
        <v>19</v>
      </c>
      <c r="H598" s="3" t="s">
        <v>20</v>
      </c>
      <c r="I598" s="5">
        <v>2788.24</v>
      </c>
      <c r="J598" s="4">
        <v>7</v>
      </c>
      <c r="K598" s="1">
        <v>7.0000000000000009</v>
      </c>
      <c r="L598" s="4">
        <v>141.96</v>
      </c>
      <c r="M598" s="3" t="s">
        <v>28</v>
      </c>
      <c r="N598" s="3" t="s">
        <v>40</v>
      </c>
      <c r="O598" s="2" t="str">
        <f t="shared" si="45"/>
        <v>05-2024</v>
      </c>
      <c r="P598" t="str">
        <f t="shared" si="46"/>
        <v>2024</v>
      </c>
      <c r="Q598" s="6">
        <f t="shared" si="47"/>
        <v>5.0913838120104443E-2</v>
      </c>
      <c r="R598" t="str">
        <f t="shared" si="48"/>
        <v>Profit</v>
      </c>
      <c r="S598" t="str">
        <f t="shared" si="49"/>
        <v>Low (1-10%)</v>
      </c>
    </row>
    <row r="599" spans="1:19" x14ac:dyDescent="0.3">
      <c r="A599" s="3" t="s">
        <v>679</v>
      </c>
      <c r="B599" s="2">
        <v>45436</v>
      </c>
      <c r="C599" s="3" t="s">
        <v>84</v>
      </c>
      <c r="D599" s="3" t="s">
        <v>38</v>
      </c>
      <c r="E599" s="3" t="s">
        <v>39</v>
      </c>
      <c r="F599" s="3" t="s">
        <v>62</v>
      </c>
      <c r="G599" s="3" t="s">
        <v>103</v>
      </c>
      <c r="H599" s="3" t="s">
        <v>104</v>
      </c>
      <c r="I599" s="5">
        <v>781.54</v>
      </c>
      <c r="J599" s="4">
        <v>1</v>
      </c>
      <c r="K599" s="1">
        <v>24</v>
      </c>
      <c r="L599" s="4">
        <v>42.9</v>
      </c>
      <c r="M599" s="3" t="s">
        <v>51</v>
      </c>
      <c r="N599" s="3" t="s">
        <v>22</v>
      </c>
      <c r="O599" s="2" t="str">
        <f t="shared" si="45"/>
        <v>05-2024</v>
      </c>
      <c r="P599" t="str">
        <f t="shared" si="46"/>
        <v>2024</v>
      </c>
      <c r="Q599" s="6">
        <f t="shared" si="47"/>
        <v>5.4891624229086167E-2</v>
      </c>
      <c r="R599" t="str">
        <f t="shared" si="48"/>
        <v>Profit</v>
      </c>
      <c r="S599" t="str">
        <f t="shared" si="49"/>
        <v>High (&gt;20%)</v>
      </c>
    </row>
    <row r="600" spans="1:19" x14ac:dyDescent="0.3">
      <c r="A600" s="3" t="s">
        <v>680</v>
      </c>
      <c r="B600" s="2">
        <v>45506</v>
      </c>
      <c r="C600" s="3" t="s">
        <v>37</v>
      </c>
      <c r="D600" s="3" t="s">
        <v>16</v>
      </c>
      <c r="E600" s="3" t="s">
        <v>25</v>
      </c>
      <c r="F600" s="3" t="s">
        <v>18</v>
      </c>
      <c r="G600" s="3" t="s">
        <v>76</v>
      </c>
      <c r="H600" s="3" t="s">
        <v>77</v>
      </c>
      <c r="I600" s="5">
        <v>10760.54</v>
      </c>
      <c r="J600" s="4">
        <v>7</v>
      </c>
      <c r="K600" s="1">
        <v>23</v>
      </c>
      <c r="L600" s="4">
        <v>2000.97</v>
      </c>
      <c r="M600" s="3" t="s">
        <v>28</v>
      </c>
      <c r="N600" s="3" t="s">
        <v>44</v>
      </c>
      <c r="O600" s="2" t="str">
        <f t="shared" si="45"/>
        <v>08-2024</v>
      </c>
      <c r="P600" t="str">
        <f t="shared" si="46"/>
        <v>2024</v>
      </c>
      <c r="Q600" s="6">
        <f t="shared" si="47"/>
        <v>0.18595442236170304</v>
      </c>
      <c r="R600" t="str">
        <f t="shared" si="48"/>
        <v>Profit</v>
      </c>
      <c r="S600" t="str">
        <f t="shared" si="49"/>
        <v>High (&gt;20%)</v>
      </c>
    </row>
    <row r="601" spans="1:19" x14ac:dyDescent="0.3">
      <c r="A601" s="3" t="s">
        <v>681</v>
      </c>
      <c r="B601" s="2">
        <v>45456</v>
      </c>
      <c r="C601" s="3" t="s">
        <v>66</v>
      </c>
      <c r="D601" s="3" t="s">
        <v>56</v>
      </c>
      <c r="E601" s="3" t="s">
        <v>57</v>
      </c>
      <c r="F601" s="3" t="s">
        <v>18</v>
      </c>
      <c r="G601" s="3" t="s">
        <v>26</v>
      </c>
      <c r="H601" s="3" t="s">
        <v>27</v>
      </c>
      <c r="I601" s="5">
        <v>2020.76</v>
      </c>
      <c r="J601" s="4">
        <v>4</v>
      </c>
      <c r="K601" s="1">
        <v>4</v>
      </c>
      <c r="L601" s="4">
        <v>426.28</v>
      </c>
      <c r="M601" s="3" t="s">
        <v>51</v>
      </c>
      <c r="N601" s="3" t="s">
        <v>44</v>
      </c>
      <c r="O601" s="2" t="str">
        <f t="shared" si="45"/>
        <v>06-2024</v>
      </c>
      <c r="P601" t="str">
        <f t="shared" si="46"/>
        <v>2024</v>
      </c>
      <c r="Q601" s="6">
        <f t="shared" si="47"/>
        <v>0.21095033551733011</v>
      </c>
      <c r="R601" t="str">
        <f t="shared" si="48"/>
        <v>Profit</v>
      </c>
      <c r="S601" t="str">
        <f t="shared" si="49"/>
        <v>Low (1-10%)</v>
      </c>
    </row>
    <row r="602" spans="1:19" x14ac:dyDescent="0.3">
      <c r="A602" s="3" t="s">
        <v>682</v>
      </c>
      <c r="B602" s="2">
        <v>45695</v>
      </c>
      <c r="C602" s="3" t="s">
        <v>133</v>
      </c>
      <c r="D602" s="3" t="s">
        <v>16</v>
      </c>
      <c r="E602" s="3" t="s">
        <v>31</v>
      </c>
      <c r="F602" s="3" t="s">
        <v>32</v>
      </c>
      <c r="G602" s="3" t="s">
        <v>112</v>
      </c>
      <c r="H602" s="3" t="s">
        <v>113</v>
      </c>
      <c r="I602" s="5">
        <v>8489.61</v>
      </c>
      <c r="J602" s="4">
        <v>9</v>
      </c>
      <c r="K602" s="1">
        <v>27</v>
      </c>
      <c r="L602" s="4">
        <v>1169.5999999999999</v>
      </c>
      <c r="M602" s="3" t="s">
        <v>21</v>
      </c>
      <c r="N602" s="3" t="s">
        <v>35</v>
      </c>
      <c r="O602" s="2" t="str">
        <f t="shared" si="45"/>
        <v>02-2025</v>
      </c>
      <c r="P602" t="str">
        <f t="shared" si="46"/>
        <v>2025</v>
      </c>
      <c r="Q602" s="6">
        <f t="shared" si="47"/>
        <v>0.13776840161091025</v>
      </c>
      <c r="R602" t="str">
        <f t="shared" si="48"/>
        <v>Profit</v>
      </c>
      <c r="S602" t="str">
        <f t="shared" si="49"/>
        <v>High (&gt;20%)</v>
      </c>
    </row>
    <row r="603" spans="1:19" x14ac:dyDescent="0.3">
      <c r="A603" s="3" t="s">
        <v>683</v>
      </c>
      <c r="B603" s="2">
        <v>45433</v>
      </c>
      <c r="C603" s="3" t="s">
        <v>101</v>
      </c>
      <c r="D603" s="3" t="s">
        <v>38</v>
      </c>
      <c r="E603" s="3" t="s">
        <v>39</v>
      </c>
      <c r="F603" s="3" t="s">
        <v>32</v>
      </c>
      <c r="G603" s="3" t="s">
        <v>112</v>
      </c>
      <c r="H603" s="3" t="s">
        <v>113</v>
      </c>
      <c r="I603" s="5">
        <v>2632.42</v>
      </c>
      <c r="J603" s="4">
        <v>2</v>
      </c>
      <c r="K603" s="1">
        <v>11</v>
      </c>
      <c r="L603" s="4">
        <v>233</v>
      </c>
      <c r="M603" s="3" t="s">
        <v>28</v>
      </c>
      <c r="N603" s="3" t="s">
        <v>22</v>
      </c>
      <c r="O603" s="2" t="str">
        <f t="shared" si="45"/>
        <v>05-2024</v>
      </c>
      <c r="P603" t="str">
        <f t="shared" si="46"/>
        <v>2024</v>
      </c>
      <c r="Q603" s="6">
        <f t="shared" si="47"/>
        <v>8.8511711656954428E-2</v>
      </c>
      <c r="R603" t="str">
        <f t="shared" si="48"/>
        <v>Profit</v>
      </c>
      <c r="S603" t="str">
        <f t="shared" si="49"/>
        <v>Mid (11-20%)</v>
      </c>
    </row>
    <row r="604" spans="1:19" x14ac:dyDescent="0.3">
      <c r="A604" s="3" t="s">
        <v>684</v>
      </c>
      <c r="B604" s="2">
        <v>45437</v>
      </c>
      <c r="C604" s="3" t="s">
        <v>84</v>
      </c>
      <c r="D604" s="3" t="s">
        <v>16</v>
      </c>
      <c r="E604" s="3" t="s">
        <v>25</v>
      </c>
      <c r="F604" s="3" t="s">
        <v>18</v>
      </c>
      <c r="G604" s="3" t="s">
        <v>76</v>
      </c>
      <c r="H604" s="3" t="s">
        <v>77</v>
      </c>
      <c r="I604" s="5">
        <v>17339.7</v>
      </c>
      <c r="J604" s="4">
        <v>10</v>
      </c>
      <c r="K604" s="1">
        <v>2</v>
      </c>
      <c r="L604" s="4">
        <v>1648.2</v>
      </c>
      <c r="M604" s="3" t="s">
        <v>21</v>
      </c>
      <c r="N604" s="3" t="s">
        <v>40</v>
      </c>
      <c r="O604" s="2" t="str">
        <f t="shared" si="45"/>
        <v>05-2024</v>
      </c>
      <c r="P604" t="str">
        <f t="shared" si="46"/>
        <v>2024</v>
      </c>
      <c r="Q604" s="6">
        <f t="shared" si="47"/>
        <v>9.5053547639232516E-2</v>
      </c>
      <c r="R604" t="str">
        <f t="shared" si="48"/>
        <v>Profit</v>
      </c>
      <c r="S604" t="str">
        <f t="shared" si="49"/>
        <v>Low (1-10%)</v>
      </c>
    </row>
    <row r="605" spans="1:19" x14ac:dyDescent="0.3">
      <c r="A605" s="3" t="s">
        <v>685</v>
      </c>
      <c r="B605" s="2">
        <v>45565</v>
      </c>
      <c r="C605" s="3" t="s">
        <v>133</v>
      </c>
      <c r="D605" s="3" t="s">
        <v>16</v>
      </c>
      <c r="E605" s="3" t="s">
        <v>25</v>
      </c>
      <c r="F605" s="3" t="s">
        <v>32</v>
      </c>
      <c r="G605" s="3" t="s">
        <v>112</v>
      </c>
      <c r="H605" s="3" t="s">
        <v>113</v>
      </c>
      <c r="I605" s="5">
        <v>1460.66</v>
      </c>
      <c r="J605" s="4">
        <v>1</v>
      </c>
      <c r="K605" s="1">
        <v>24</v>
      </c>
      <c r="L605" s="4">
        <v>270.74</v>
      </c>
      <c r="M605" s="3" t="s">
        <v>21</v>
      </c>
      <c r="N605" s="3" t="s">
        <v>35</v>
      </c>
      <c r="O605" s="2" t="str">
        <f t="shared" si="45"/>
        <v>09-2024</v>
      </c>
      <c r="P605" t="str">
        <f t="shared" si="46"/>
        <v>2024</v>
      </c>
      <c r="Q605" s="6">
        <f t="shared" si="47"/>
        <v>0.1853545657442526</v>
      </c>
      <c r="R605" t="str">
        <f t="shared" si="48"/>
        <v>Profit</v>
      </c>
      <c r="S605" t="str">
        <f t="shared" si="49"/>
        <v>High (&gt;20%)</v>
      </c>
    </row>
    <row r="606" spans="1:19" x14ac:dyDescent="0.3">
      <c r="A606" s="3" t="s">
        <v>686</v>
      </c>
      <c r="B606" s="2">
        <v>45635</v>
      </c>
      <c r="C606" s="3" t="s">
        <v>133</v>
      </c>
      <c r="D606" s="3" t="s">
        <v>89</v>
      </c>
      <c r="E606" s="3" t="s">
        <v>102</v>
      </c>
      <c r="F606" s="3" t="s">
        <v>18</v>
      </c>
      <c r="G606" s="3" t="s">
        <v>94</v>
      </c>
      <c r="H606" s="3" t="s">
        <v>95</v>
      </c>
      <c r="I606" s="5">
        <v>1684.83</v>
      </c>
      <c r="J606" s="4">
        <v>7</v>
      </c>
      <c r="K606" s="1">
        <v>4</v>
      </c>
      <c r="L606" s="4">
        <v>149.69</v>
      </c>
      <c r="M606" s="3" t="s">
        <v>51</v>
      </c>
      <c r="N606" s="3" t="s">
        <v>40</v>
      </c>
      <c r="O606" s="2" t="str">
        <f t="shared" si="45"/>
        <v>12-2024</v>
      </c>
      <c r="P606" t="str">
        <f t="shared" si="46"/>
        <v>2024</v>
      </c>
      <c r="Q606" s="6">
        <f t="shared" si="47"/>
        <v>8.8845758919297496E-2</v>
      </c>
      <c r="R606" t="str">
        <f t="shared" si="48"/>
        <v>Profit</v>
      </c>
      <c r="S606" t="str">
        <f t="shared" si="49"/>
        <v>Low (1-10%)</v>
      </c>
    </row>
    <row r="607" spans="1:19" x14ac:dyDescent="0.3">
      <c r="A607" s="3" t="s">
        <v>687</v>
      </c>
      <c r="B607" s="2">
        <v>45609</v>
      </c>
      <c r="C607" s="3" t="s">
        <v>101</v>
      </c>
      <c r="D607" s="3" t="s">
        <v>56</v>
      </c>
      <c r="E607" s="3" t="s">
        <v>57</v>
      </c>
      <c r="F607" s="3" t="s">
        <v>32</v>
      </c>
      <c r="G607" s="3" t="s">
        <v>47</v>
      </c>
      <c r="H607" s="3" t="s">
        <v>48</v>
      </c>
      <c r="I607" s="5">
        <v>1716.78</v>
      </c>
      <c r="J607" s="4">
        <v>3</v>
      </c>
      <c r="K607" s="1">
        <v>6</v>
      </c>
      <c r="L607" s="4">
        <v>358.87</v>
      </c>
      <c r="M607" s="3" t="s">
        <v>51</v>
      </c>
      <c r="N607" s="3" t="s">
        <v>44</v>
      </c>
      <c r="O607" s="2" t="str">
        <f t="shared" si="45"/>
        <v>11-2024</v>
      </c>
      <c r="P607" t="str">
        <f t="shared" si="46"/>
        <v>2024</v>
      </c>
      <c r="Q607" s="6">
        <f t="shared" si="47"/>
        <v>0.20903668495672131</v>
      </c>
      <c r="R607" t="str">
        <f t="shared" si="48"/>
        <v>Profit</v>
      </c>
      <c r="S607" t="str">
        <f t="shared" si="49"/>
        <v>Low (1-10%)</v>
      </c>
    </row>
    <row r="608" spans="1:19" x14ac:dyDescent="0.3">
      <c r="A608" s="3" t="s">
        <v>688</v>
      </c>
      <c r="B608" s="2">
        <v>45764</v>
      </c>
      <c r="C608" s="3" t="s">
        <v>84</v>
      </c>
      <c r="D608" s="3" t="s">
        <v>89</v>
      </c>
      <c r="E608" s="3" t="s">
        <v>97</v>
      </c>
      <c r="F608" s="3" t="s">
        <v>62</v>
      </c>
      <c r="G608" s="3" t="s">
        <v>67</v>
      </c>
      <c r="H608" s="3" t="s">
        <v>68</v>
      </c>
      <c r="I608" s="5">
        <v>1598.49</v>
      </c>
      <c r="J608" s="4">
        <v>1</v>
      </c>
      <c r="K608" s="1">
        <v>11</v>
      </c>
      <c r="L608" s="4">
        <v>91.21</v>
      </c>
      <c r="M608" s="3" t="s">
        <v>21</v>
      </c>
      <c r="N608" s="3" t="s">
        <v>22</v>
      </c>
      <c r="O608" s="2" t="str">
        <f t="shared" si="45"/>
        <v>04-2025</v>
      </c>
      <c r="P608" t="str">
        <f t="shared" si="46"/>
        <v>2025</v>
      </c>
      <c r="Q608" s="6">
        <f t="shared" si="47"/>
        <v>5.7060100469818388E-2</v>
      </c>
      <c r="R608" t="str">
        <f t="shared" si="48"/>
        <v>Profit</v>
      </c>
      <c r="S608" t="str">
        <f t="shared" si="49"/>
        <v>Mid (11-20%)</v>
      </c>
    </row>
    <row r="609" spans="1:19" x14ac:dyDescent="0.3">
      <c r="A609" s="3" t="s">
        <v>689</v>
      </c>
      <c r="B609" s="2">
        <v>45567</v>
      </c>
      <c r="C609" s="3" t="s">
        <v>99</v>
      </c>
      <c r="D609" s="3" t="s">
        <v>89</v>
      </c>
      <c r="E609" s="3" t="s">
        <v>90</v>
      </c>
      <c r="F609" s="3" t="s">
        <v>18</v>
      </c>
      <c r="G609" s="3" t="s">
        <v>19</v>
      </c>
      <c r="H609" s="3" t="s">
        <v>20</v>
      </c>
      <c r="I609" s="5">
        <v>5999.95</v>
      </c>
      <c r="J609" s="4">
        <v>5</v>
      </c>
      <c r="K609" s="1">
        <v>14</v>
      </c>
      <c r="L609" s="4">
        <v>1117.8499999999999</v>
      </c>
      <c r="M609" s="3" t="s">
        <v>21</v>
      </c>
      <c r="N609" s="3" t="s">
        <v>22</v>
      </c>
      <c r="O609" s="2" t="str">
        <f t="shared" si="45"/>
        <v>10-2024</v>
      </c>
      <c r="P609" t="str">
        <f t="shared" si="46"/>
        <v>2024</v>
      </c>
      <c r="Q609" s="6">
        <f t="shared" si="47"/>
        <v>0.18630988591571596</v>
      </c>
      <c r="R609" t="str">
        <f t="shared" si="48"/>
        <v>Profit</v>
      </c>
      <c r="S609" t="str">
        <f t="shared" si="49"/>
        <v>Mid (11-20%)</v>
      </c>
    </row>
    <row r="610" spans="1:19" x14ac:dyDescent="0.3">
      <c r="A610" s="3" t="s">
        <v>690</v>
      </c>
      <c r="B610" s="2">
        <v>45562</v>
      </c>
      <c r="C610" s="3" t="s">
        <v>66</v>
      </c>
      <c r="D610" s="3" t="s">
        <v>38</v>
      </c>
      <c r="E610" s="3" t="s">
        <v>71</v>
      </c>
      <c r="F610" s="3" t="s">
        <v>18</v>
      </c>
      <c r="G610" s="3" t="s">
        <v>94</v>
      </c>
      <c r="H610" s="3" t="s">
        <v>95</v>
      </c>
      <c r="I610" s="5">
        <v>6678</v>
      </c>
      <c r="J610" s="4">
        <v>8</v>
      </c>
      <c r="K610" s="1">
        <v>14</v>
      </c>
      <c r="L610" s="4">
        <v>1076.3599999999999</v>
      </c>
      <c r="M610" s="3" t="s">
        <v>28</v>
      </c>
      <c r="N610" s="3" t="s">
        <v>35</v>
      </c>
      <c r="O610" s="2" t="str">
        <f t="shared" si="45"/>
        <v>09-2024</v>
      </c>
      <c r="P610" t="str">
        <f t="shared" si="46"/>
        <v>2024</v>
      </c>
      <c r="Q610" s="6">
        <f t="shared" si="47"/>
        <v>0.16117999401018268</v>
      </c>
      <c r="R610" t="str">
        <f t="shared" si="48"/>
        <v>Profit</v>
      </c>
      <c r="S610" t="str">
        <f t="shared" si="49"/>
        <v>Mid (11-20%)</v>
      </c>
    </row>
    <row r="611" spans="1:19" x14ac:dyDescent="0.3">
      <c r="A611" s="3" t="s">
        <v>691</v>
      </c>
      <c r="B611" s="2">
        <v>45654</v>
      </c>
      <c r="C611" s="3" t="s">
        <v>101</v>
      </c>
      <c r="D611" s="3" t="s">
        <v>38</v>
      </c>
      <c r="E611" s="3" t="s">
        <v>43</v>
      </c>
      <c r="F611" s="3" t="s">
        <v>32</v>
      </c>
      <c r="G611" s="3" t="s">
        <v>112</v>
      </c>
      <c r="H611" s="3" t="s">
        <v>113</v>
      </c>
      <c r="I611" s="5">
        <v>11411.28</v>
      </c>
      <c r="J611" s="4">
        <v>6</v>
      </c>
      <c r="K611" s="1">
        <v>1</v>
      </c>
      <c r="L611" s="4">
        <v>2601.56</v>
      </c>
      <c r="M611" s="3" t="s">
        <v>21</v>
      </c>
      <c r="N611" s="3" t="s">
        <v>40</v>
      </c>
      <c r="O611" s="2" t="str">
        <f t="shared" si="45"/>
        <v>12-2024</v>
      </c>
      <c r="P611" t="str">
        <f t="shared" si="46"/>
        <v>2024</v>
      </c>
      <c r="Q611" s="6">
        <f t="shared" si="47"/>
        <v>0.22798143591253564</v>
      </c>
      <c r="R611" t="str">
        <f t="shared" si="48"/>
        <v>Profit</v>
      </c>
      <c r="S611" t="str">
        <f t="shared" si="49"/>
        <v>Low (1-10%)</v>
      </c>
    </row>
    <row r="612" spans="1:19" x14ac:dyDescent="0.3">
      <c r="A612" s="3" t="s">
        <v>692</v>
      </c>
      <c r="B612" s="2">
        <v>45653</v>
      </c>
      <c r="C612" s="3" t="s">
        <v>30</v>
      </c>
      <c r="D612" s="3" t="s">
        <v>16</v>
      </c>
      <c r="E612" s="3" t="s">
        <v>25</v>
      </c>
      <c r="F612" s="3" t="s">
        <v>62</v>
      </c>
      <c r="G612" s="3" t="s">
        <v>67</v>
      </c>
      <c r="H612" s="3" t="s">
        <v>68</v>
      </c>
      <c r="I612" s="5">
        <v>2686.46</v>
      </c>
      <c r="J612" s="4">
        <v>2</v>
      </c>
      <c r="K612" s="1">
        <v>20</v>
      </c>
      <c r="L612" s="4">
        <v>109.91</v>
      </c>
      <c r="M612" s="3" t="s">
        <v>51</v>
      </c>
      <c r="N612" s="3" t="s">
        <v>22</v>
      </c>
      <c r="O612" s="2" t="str">
        <f t="shared" si="45"/>
        <v>12-2024</v>
      </c>
      <c r="P612" t="str">
        <f t="shared" si="46"/>
        <v>2024</v>
      </c>
      <c r="Q612" s="6">
        <f t="shared" si="47"/>
        <v>4.0912576401658685E-2</v>
      </c>
      <c r="R612" t="str">
        <f t="shared" si="48"/>
        <v>Profit</v>
      </c>
      <c r="S612" t="str">
        <f t="shared" si="49"/>
        <v>Mid (11-20%)</v>
      </c>
    </row>
    <row r="613" spans="1:19" x14ac:dyDescent="0.3">
      <c r="A613" s="3" t="s">
        <v>693</v>
      </c>
      <c r="B613" s="2">
        <v>45507</v>
      </c>
      <c r="C613" s="3" t="s">
        <v>24</v>
      </c>
      <c r="D613" s="3" t="s">
        <v>16</v>
      </c>
      <c r="E613" s="3" t="s">
        <v>17</v>
      </c>
      <c r="F613" s="3" t="s">
        <v>18</v>
      </c>
      <c r="G613" s="3" t="s">
        <v>94</v>
      </c>
      <c r="H613" s="3" t="s">
        <v>95</v>
      </c>
      <c r="I613" s="5">
        <v>6493.45</v>
      </c>
      <c r="J613" s="4">
        <v>5</v>
      </c>
      <c r="K613" s="1">
        <v>27</v>
      </c>
      <c r="L613" s="4">
        <v>335.5</v>
      </c>
      <c r="M613" s="3" t="s">
        <v>51</v>
      </c>
      <c r="N613" s="3" t="s">
        <v>35</v>
      </c>
      <c r="O613" s="2" t="str">
        <f t="shared" si="45"/>
        <v>08-2024</v>
      </c>
      <c r="P613" t="str">
        <f t="shared" si="46"/>
        <v>2024</v>
      </c>
      <c r="Q613" s="6">
        <f t="shared" si="47"/>
        <v>5.1667449506810709E-2</v>
      </c>
      <c r="R613" t="str">
        <f t="shared" si="48"/>
        <v>Profit</v>
      </c>
      <c r="S613" t="str">
        <f t="shared" si="49"/>
        <v>High (&gt;20%)</v>
      </c>
    </row>
    <row r="614" spans="1:19" x14ac:dyDescent="0.3">
      <c r="A614" s="3" t="s">
        <v>694</v>
      </c>
      <c r="B614" s="2">
        <v>45596</v>
      </c>
      <c r="C614" s="3" t="s">
        <v>84</v>
      </c>
      <c r="D614" s="3" t="s">
        <v>38</v>
      </c>
      <c r="E614" s="3" t="s">
        <v>43</v>
      </c>
      <c r="F614" s="3" t="s">
        <v>62</v>
      </c>
      <c r="G614" s="3" t="s">
        <v>103</v>
      </c>
      <c r="H614" s="3" t="s">
        <v>104</v>
      </c>
      <c r="I614" s="5">
        <v>961.74</v>
      </c>
      <c r="J614" s="4">
        <v>6</v>
      </c>
      <c r="K614" s="1">
        <v>19</v>
      </c>
      <c r="L614" s="4">
        <v>53.96</v>
      </c>
      <c r="M614" s="3" t="s">
        <v>28</v>
      </c>
      <c r="N614" s="3" t="s">
        <v>40</v>
      </c>
      <c r="O614" s="2" t="str">
        <f t="shared" si="45"/>
        <v>10-2024</v>
      </c>
      <c r="P614" t="str">
        <f t="shared" si="46"/>
        <v>2024</v>
      </c>
      <c r="Q614" s="6">
        <f t="shared" si="47"/>
        <v>5.6106640048245886E-2</v>
      </c>
      <c r="R614" t="str">
        <f t="shared" si="48"/>
        <v>Profit</v>
      </c>
      <c r="S614" t="str">
        <f t="shared" si="49"/>
        <v>Mid (11-20%)</v>
      </c>
    </row>
    <row r="615" spans="1:19" x14ac:dyDescent="0.3">
      <c r="A615" s="3" t="s">
        <v>695</v>
      </c>
      <c r="B615" s="2">
        <v>45502</v>
      </c>
      <c r="C615" s="3" t="s">
        <v>50</v>
      </c>
      <c r="D615" s="3" t="s">
        <v>56</v>
      </c>
      <c r="E615" s="3" t="s">
        <v>108</v>
      </c>
      <c r="F615" s="3" t="s">
        <v>62</v>
      </c>
      <c r="G615" s="3" t="s">
        <v>103</v>
      </c>
      <c r="H615" s="3" t="s">
        <v>104</v>
      </c>
      <c r="I615" s="5">
        <v>5743.92</v>
      </c>
      <c r="J615" s="4">
        <v>4</v>
      </c>
      <c r="K615" s="1">
        <v>13</v>
      </c>
      <c r="L615" s="4">
        <v>1236.45</v>
      </c>
      <c r="M615" s="3" t="s">
        <v>28</v>
      </c>
      <c r="N615" s="3" t="s">
        <v>40</v>
      </c>
      <c r="O615" s="2" t="str">
        <f t="shared" si="45"/>
        <v>07-2024</v>
      </c>
      <c r="P615" t="str">
        <f t="shared" si="46"/>
        <v>2024</v>
      </c>
      <c r="Q615" s="6">
        <f t="shared" si="47"/>
        <v>0.21526239919776041</v>
      </c>
      <c r="R615" t="str">
        <f t="shared" si="48"/>
        <v>Profit</v>
      </c>
      <c r="S615" t="str">
        <f t="shared" si="49"/>
        <v>Mid (11-20%)</v>
      </c>
    </row>
    <row r="616" spans="1:19" x14ac:dyDescent="0.3">
      <c r="A616" s="3" t="s">
        <v>696</v>
      </c>
      <c r="B616" s="2">
        <v>45425</v>
      </c>
      <c r="C616" s="3" t="s">
        <v>24</v>
      </c>
      <c r="D616" s="3" t="s">
        <v>89</v>
      </c>
      <c r="E616" s="3" t="s">
        <v>102</v>
      </c>
      <c r="F616" s="3" t="s">
        <v>32</v>
      </c>
      <c r="G616" s="3" t="s">
        <v>33</v>
      </c>
      <c r="H616" s="3" t="s">
        <v>34</v>
      </c>
      <c r="I616" s="5">
        <v>4253.7</v>
      </c>
      <c r="J616" s="4">
        <v>3</v>
      </c>
      <c r="K616" s="1">
        <v>3</v>
      </c>
      <c r="L616" s="4">
        <v>818.64</v>
      </c>
      <c r="M616" s="3" t="s">
        <v>21</v>
      </c>
      <c r="N616" s="3" t="s">
        <v>22</v>
      </c>
      <c r="O616" s="2" t="str">
        <f t="shared" si="45"/>
        <v>05-2024</v>
      </c>
      <c r="P616" t="str">
        <f t="shared" si="46"/>
        <v>2024</v>
      </c>
      <c r="Q616" s="6">
        <f t="shared" si="47"/>
        <v>0.19245362860568446</v>
      </c>
      <c r="R616" t="str">
        <f t="shared" si="48"/>
        <v>Profit</v>
      </c>
      <c r="S616" t="str">
        <f t="shared" si="49"/>
        <v>Low (1-10%)</v>
      </c>
    </row>
    <row r="617" spans="1:19" x14ac:dyDescent="0.3">
      <c r="A617" s="3" t="s">
        <v>697</v>
      </c>
      <c r="B617" s="2">
        <v>45768</v>
      </c>
      <c r="C617" s="3" t="s">
        <v>84</v>
      </c>
      <c r="D617" s="3" t="s">
        <v>38</v>
      </c>
      <c r="E617" s="3" t="s">
        <v>43</v>
      </c>
      <c r="F617" s="3" t="s">
        <v>18</v>
      </c>
      <c r="G617" s="3" t="s">
        <v>26</v>
      </c>
      <c r="H617" s="3" t="s">
        <v>27</v>
      </c>
      <c r="I617" s="5">
        <v>3986</v>
      </c>
      <c r="J617" s="4">
        <v>2</v>
      </c>
      <c r="K617" s="1">
        <v>24</v>
      </c>
      <c r="L617" s="4">
        <v>546.29999999999995</v>
      </c>
      <c r="M617" s="3" t="s">
        <v>21</v>
      </c>
      <c r="N617" s="3" t="s">
        <v>44</v>
      </c>
      <c r="O617" s="2" t="str">
        <f t="shared" si="45"/>
        <v>04-2025</v>
      </c>
      <c r="P617" t="str">
        <f t="shared" si="46"/>
        <v>2025</v>
      </c>
      <c r="Q617" s="6">
        <f t="shared" si="47"/>
        <v>0.13705469141996987</v>
      </c>
      <c r="R617" t="str">
        <f t="shared" si="48"/>
        <v>Profit</v>
      </c>
      <c r="S617" t="str">
        <f t="shared" si="49"/>
        <v>High (&gt;20%)</v>
      </c>
    </row>
    <row r="618" spans="1:19" x14ac:dyDescent="0.3">
      <c r="A618" s="3" t="s">
        <v>698</v>
      </c>
      <c r="B618" s="2">
        <v>45465</v>
      </c>
      <c r="C618" s="3" t="s">
        <v>15</v>
      </c>
      <c r="D618" s="3" t="s">
        <v>38</v>
      </c>
      <c r="E618" s="3" t="s">
        <v>43</v>
      </c>
      <c r="F618" s="3" t="s">
        <v>18</v>
      </c>
      <c r="G618" s="3" t="s">
        <v>76</v>
      </c>
      <c r="H618" s="3" t="s">
        <v>77</v>
      </c>
      <c r="I618" s="5">
        <v>795.3</v>
      </c>
      <c r="J618" s="4">
        <v>1</v>
      </c>
      <c r="K618" s="1">
        <v>22</v>
      </c>
      <c r="L618" s="4">
        <v>143.65</v>
      </c>
      <c r="M618" s="3" t="s">
        <v>28</v>
      </c>
      <c r="N618" s="3" t="s">
        <v>22</v>
      </c>
      <c r="O618" s="2" t="str">
        <f t="shared" si="45"/>
        <v>06-2024</v>
      </c>
      <c r="P618" t="str">
        <f t="shared" si="46"/>
        <v>2024</v>
      </c>
      <c r="Q618" s="6">
        <f t="shared" si="47"/>
        <v>0.18062366402615368</v>
      </c>
      <c r="R618" t="str">
        <f t="shared" si="48"/>
        <v>Profit</v>
      </c>
      <c r="S618" t="str">
        <f t="shared" si="49"/>
        <v>High (&gt;20%)</v>
      </c>
    </row>
    <row r="619" spans="1:19" x14ac:dyDescent="0.3">
      <c r="A619" s="3" t="s">
        <v>699</v>
      </c>
      <c r="B619" s="2">
        <v>45452</v>
      </c>
      <c r="C619" s="3" t="s">
        <v>73</v>
      </c>
      <c r="D619" s="3" t="s">
        <v>38</v>
      </c>
      <c r="E619" s="3" t="s">
        <v>39</v>
      </c>
      <c r="F619" s="3" t="s">
        <v>18</v>
      </c>
      <c r="G619" s="3" t="s">
        <v>94</v>
      </c>
      <c r="H619" s="3" t="s">
        <v>95</v>
      </c>
      <c r="I619" s="5">
        <v>4142.72</v>
      </c>
      <c r="J619" s="4">
        <v>8</v>
      </c>
      <c r="K619" s="1">
        <v>5</v>
      </c>
      <c r="L619" s="4">
        <v>348.36</v>
      </c>
      <c r="M619" s="3" t="s">
        <v>21</v>
      </c>
      <c r="N619" s="3" t="s">
        <v>44</v>
      </c>
      <c r="O619" s="2" t="str">
        <f t="shared" si="45"/>
        <v>06-2024</v>
      </c>
      <c r="P619" t="str">
        <f t="shared" si="46"/>
        <v>2024</v>
      </c>
      <c r="Q619" s="6">
        <f t="shared" si="47"/>
        <v>8.4089680210103504E-2</v>
      </c>
      <c r="R619" t="str">
        <f t="shared" si="48"/>
        <v>Profit</v>
      </c>
      <c r="S619" t="str">
        <f t="shared" si="49"/>
        <v>Low (1-10%)</v>
      </c>
    </row>
    <row r="620" spans="1:19" x14ac:dyDescent="0.3">
      <c r="A620" s="3" t="s">
        <v>700</v>
      </c>
      <c r="B620" s="2">
        <v>45583</v>
      </c>
      <c r="C620" s="3" t="s">
        <v>37</v>
      </c>
      <c r="D620" s="3" t="s">
        <v>16</v>
      </c>
      <c r="E620" s="3" t="s">
        <v>25</v>
      </c>
      <c r="F620" s="3" t="s">
        <v>32</v>
      </c>
      <c r="G620" s="3" t="s">
        <v>112</v>
      </c>
      <c r="H620" s="3" t="s">
        <v>113</v>
      </c>
      <c r="I620" s="5">
        <v>2052.88</v>
      </c>
      <c r="J620" s="4">
        <v>2</v>
      </c>
      <c r="K620" s="1">
        <v>11</v>
      </c>
      <c r="L620" s="4">
        <v>284.85000000000002</v>
      </c>
      <c r="M620" s="3" t="s">
        <v>51</v>
      </c>
      <c r="N620" s="3" t="s">
        <v>40</v>
      </c>
      <c r="O620" s="2" t="str">
        <f t="shared" si="45"/>
        <v>10-2024</v>
      </c>
      <c r="P620" t="str">
        <f t="shared" si="46"/>
        <v>2024</v>
      </c>
      <c r="Q620" s="6">
        <f t="shared" si="47"/>
        <v>0.13875628385487707</v>
      </c>
      <c r="R620" t="str">
        <f t="shared" si="48"/>
        <v>Profit</v>
      </c>
      <c r="S620" t="str">
        <f t="shared" si="49"/>
        <v>Mid (11-20%)</v>
      </c>
    </row>
    <row r="621" spans="1:19" x14ac:dyDescent="0.3">
      <c r="A621" s="3" t="s">
        <v>701</v>
      </c>
      <c r="B621" s="2">
        <v>45771</v>
      </c>
      <c r="C621" s="3" t="s">
        <v>66</v>
      </c>
      <c r="D621" s="3" t="s">
        <v>56</v>
      </c>
      <c r="E621" s="3" t="s">
        <v>108</v>
      </c>
      <c r="F621" s="3" t="s">
        <v>62</v>
      </c>
      <c r="G621" s="3" t="s">
        <v>103</v>
      </c>
      <c r="H621" s="3" t="s">
        <v>104</v>
      </c>
      <c r="I621" s="5">
        <v>4379.97</v>
      </c>
      <c r="J621" s="4">
        <v>7</v>
      </c>
      <c r="K621" s="1">
        <v>29</v>
      </c>
      <c r="L621" s="4">
        <v>361.35</v>
      </c>
      <c r="M621" s="3" t="s">
        <v>28</v>
      </c>
      <c r="N621" s="3" t="s">
        <v>44</v>
      </c>
      <c r="O621" s="2" t="str">
        <f t="shared" si="45"/>
        <v>04-2025</v>
      </c>
      <c r="P621" t="str">
        <f t="shared" si="46"/>
        <v>2025</v>
      </c>
      <c r="Q621" s="6">
        <f t="shared" si="47"/>
        <v>8.2500565072363516E-2</v>
      </c>
      <c r="R621" t="str">
        <f t="shared" si="48"/>
        <v>Profit</v>
      </c>
      <c r="S621" t="str">
        <f t="shared" si="49"/>
        <v>High (&gt;20%)</v>
      </c>
    </row>
    <row r="622" spans="1:19" x14ac:dyDescent="0.3">
      <c r="A622" s="3" t="s">
        <v>702</v>
      </c>
      <c r="B622" s="2">
        <v>45531</v>
      </c>
      <c r="C622" s="3" t="s">
        <v>50</v>
      </c>
      <c r="D622" s="3" t="s">
        <v>89</v>
      </c>
      <c r="E622" s="3" t="s">
        <v>140</v>
      </c>
      <c r="F622" s="3" t="s">
        <v>62</v>
      </c>
      <c r="G622" s="3" t="s">
        <v>103</v>
      </c>
      <c r="H622" s="3" t="s">
        <v>104</v>
      </c>
      <c r="I622" s="5">
        <v>19417.400000000001</v>
      </c>
      <c r="J622" s="4">
        <v>10</v>
      </c>
      <c r="K622" s="1">
        <v>23</v>
      </c>
      <c r="L622" s="4">
        <v>2752.59</v>
      </c>
      <c r="M622" s="3" t="s">
        <v>51</v>
      </c>
      <c r="N622" s="3" t="s">
        <v>22</v>
      </c>
      <c r="O622" s="2" t="str">
        <f t="shared" si="45"/>
        <v>08-2024</v>
      </c>
      <c r="P622" t="str">
        <f t="shared" si="46"/>
        <v>2024</v>
      </c>
      <c r="Q622" s="6">
        <f t="shared" si="47"/>
        <v>0.14175893785985766</v>
      </c>
      <c r="R622" t="str">
        <f t="shared" si="48"/>
        <v>Profit</v>
      </c>
      <c r="S622" t="str">
        <f t="shared" si="49"/>
        <v>High (&gt;20%)</v>
      </c>
    </row>
    <row r="623" spans="1:19" x14ac:dyDescent="0.3">
      <c r="A623" s="3" t="s">
        <v>703</v>
      </c>
      <c r="B623" s="2">
        <v>45626</v>
      </c>
      <c r="C623" s="3" t="s">
        <v>70</v>
      </c>
      <c r="D623" s="3" t="s">
        <v>89</v>
      </c>
      <c r="E623" s="3" t="s">
        <v>116</v>
      </c>
      <c r="F623" s="3" t="s">
        <v>62</v>
      </c>
      <c r="G623" s="3" t="s">
        <v>63</v>
      </c>
      <c r="H623" s="3" t="s">
        <v>64</v>
      </c>
      <c r="I623" s="5">
        <v>8662.2000000000007</v>
      </c>
      <c r="J623" s="4">
        <v>10</v>
      </c>
      <c r="K623" s="1">
        <v>28</v>
      </c>
      <c r="L623" s="4">
        <v>1372.43</v>
      </c>
      <c r="M623" s="3" t="s">
        <v>28</v>
      </c>
      <c r="N623" s="3" t="s">
        <v>44</v>
      </c>
      <c r="O623" s="2" t="str">
        <f t="shared" si="45"/>
        <v>11-2024</v>
      </c>
      <c r="P623" t="str">
        <f t="shared" si="46"/>
        <v>2024</v>
      </c>
      <c r="Q623" s="6">
        <f t="shared" si="47"/>
        <v>0.15843896469719007</v>
      </c>
      <c r="R623" t="str">
        <f t="shared" si="48"/>
        <v>Profit</v>
      </c>
      <c r="S623" t="str">
        <f t="shared" si="49"/>
        <v>High (&gt;20%)</v>
      </c>
    </row>
    <row r="624" spans="1:19" x14ac:dyDescent="0.3">
      <c r="A624" s="3" t="s">
        <v>704</v>
      </c>
      <c r="B624" s="2">
        <v>45753</v>
      </c>
      <c r="C624" s="3" t="s">
        <v>73</v>
      </c>
      <c r="D624" s="3" t="s">
        <v>16</v>
      </c>
      <c r="E624" s="3" t="s">
        <v>17</v>
      </c>
      <c r="F624" s="3" t="s">
        <v>62</v>
      </c>
      <c r="G624" s="3" t="s">
        <v>63</v>
      </c>
      <c r="H624" s="3" t="s">
        <v>64</v>
      </c>
      <c r="I624" s="5">
        <v>1542.29</v>
      </c>
      <c r="J624" s="4">
        <v>1</v>
      </c>
      <c r="K624" s="1">
        <v>6</v>
      </c>
      <c r="L624" s="4">
        <v>328.41</v>
      </c>
      <c r="M624" s="3" t="s">
        <v>28</v>
      </c>
      <c r="N624" s="3" t="s">
        <v>44</v>
      </c>
      <c r="O624" s="2" t="str">
        <f t="shared" si="45"/>
        <v>04-2025</v>
      </c>
      <c r="P624" t="str">
        <f t="shared" si="46"/>
        <v>2025</v>
      </c>
      <c r="Q624" s="6">
        <f t="shared" si="47"/>
        <v>0.2129366072528513</v>
      </c>
      <c r="R624" t="str">
        <f t="shared" si="48"/>
        <v>Profit</v>
      </c>
      <c r="S624" t="str">
        <f t="shared" si="49"/>
        <v>Low (1-10%)</v>
      </c>
    </row>
    <row r="625" spans="1:19" x14ac:dyDescent="0.3">
      <c r="A625" s="3" t="s">
        <v>705</v>
      </c>
      <c r="B625" s="2">
        <v>45596</v>
      </c>
      <c r="C625" s="3" t="s">
        <v>30</v>
      </c>
      <c r="D625" s="3" t="s">
        <v>16</v>
      </c>
      <c r="E625" s="3" t="s">
        <v>31</v>
      </c>
      <c r="F625" s="3" t="s">
        <v>32</v>
      </c>
      <c r="G625" s="3" t="s">
        <v>47</v>
      </c>
      <c r="H625" s="3" t="s">
        <v>48</v>
      </c>
      <c r="I625" s="5">
        <v>3257.82</v>
      </c>
      <c r="J625" s="4">
        <v>9</v>
      </c>
      <c r="K625" s="1">
        <v>15</v>
      </c>
      <c r="L625" s="4">
        <v>212.09</v>
      </c>
      <c r="M625" s="3" t="s">
        <v>28</v>
      </c>
      <c r="N625" s="3" t="s">
        <v>22</v>
      </c>
      <c r="O625" s="2" t="str">
        <f t="shared" si="45"/>
        <v>10-2024</v>
      </c>
      <c r="P625" t="str">
        <f t="shared" si="46"/>
        <v>2024</v>
      </c>
      <c r="Q625" s="6">
        <f t="shared" si="47"/>
        <v>6.5101816552172925E-2</v>
      </c>
      <c r="R625" t="str">
        <f t="shared" si="48"/>
        <v>Profit</v>
      </c>
      <c r="S625" t="str">
        <f t="shared" si="49"/>
        <v>Mid (11-20%)</v>
      </c>
    </row>
    <row r="626" spans="1:19" x14ac:dyDescent="0.3">
      <c r="A626" s="3" t="s">
        <v>706</v>
      </c>
      <c r="B626" s="2">
        <v>45454</v>
      </c>
      <c r="C626" s="3" t="s">
        <v>75</v>
      </c>
      <c r="D626" s="3" t="s">
        <v>89</v>
      </c>
      <c r="E626" s="3" t="s">
        <v>116</v>
      </c>
      <c r="F626" s="3" t="s">
        <v>32</v>
      </c>
      <c r="G626" s="3" t="s">
        <v>33</v>
      </c>
      <c r="H626" s="3" t="s">
        <v>34</v>
      </c>
      <c r="I626" s="5">
        <v>3457.2</v>
      </c>
      <c r="J626" s="4">
        <v>5</v>
      </c>
      <c r="K626" s="1">
        <v>22</v>
      </c>
      <c r="L626" s="4">
        <v>259.33999999999997</v>
      </c>
      <c r="M626" s="3" t="s">
        <v>51</v>
      </c>
      <c r="N626" s="3" t="s">
        <v>40</v>
      </c>
      <c r="O626" s="2" t="str">
        <f t="shared" si="45"/>
        <v>06-2024</v>
      </c>
      <c r="P626" t="str">
        <f t="shared" si="46"/>
        <v>2024</v>
      </c>
      <c r="Q626" s="6">
        <f t="shared" si="47"/>
        <v>7.5014462570866594E-2</v>
      </c>
      <c r="R626" t="str">
        <f t="shared" si="48"/>
        <v>Profit</v>
      </c>
      <c r="S626" t="str">
        <f t="shared" si="49"/>
        <v>High (&gt;20%)</v>
      </c>
    </row>
    <row r="627" spans="1:19" x14ac:dyDescent="0.3">
      <c r="A627" s="3" t="s">
        <v>707</v>
      </c>
      <c r="B627" s="2">
        <v>45687</v>
      </c>
      <c r="C627" s="3" t="s">
        <v>15</v>
      </c>
      <c r="D627" s="3" t="s">
        <v>16</v>
      </c>
      <c r="E627" s="3" t="s">
        <v>17</v>
      </c>
      <c r="F627" s="3" t="s">
        <v>62</v>
      </c>
      <c r="G627" s="3" t="s">
        <v>67</v>
      </c>
      <c r="H627" s="3" t="s">
        <v>68</v>
      </c>
      <c r="I627" s="5">
        <v>5518.32</v>
      </c>
      <c r="J627" s="4">
        <v>4</v>
      </c>
      <c r="K627" s="1">
        <v>19</v>
      </c>
      <c r="L627" s="4">
        <v>785.52</v>
      </c>
      <c r="M627" s="3" t="s">
        <v>28</v>
      </c>
      <c r="N627" s="3" t="s">
        <v>35</v>
      </c>
      <c r="O627" s="2" t="str">
        <f t="shared" si="45"/>
        <v>01-2025</v>
      </c>
      <c r="P627" t="str">
        <f t="shared" si="46"/>
        <v>2025</v>
      </c>
      <c r="Q627" s="6">
        <f t="shared" si="47"/>
        <v>0.14234767103031357</v>
      </c>
      <c r="R627" t="str">
        <f t="shared" si="48"/>
        <v>Profit</v>
      </c>
      <c r="S627" t="str">
        <f t="shared" si="49"/>
        <v>Mid (11-20%)</v>
      </c>
    </row>
    <row r="628" spans="1:19" x14ac:dyDescent="0.3">
      <c r="A628" s="3" t="s">
        <v>708</v>
      </c>
      <c r="B628" s="2">
        <v>45691</v>
      </c>
      <c r="C628" s="3" t="s">
        <v>66</v>
      </c>
      <c r="D628" s="3" t="s">
        <v>38</v>
      </c>
      <c r="E628" s="3" t="s">
        <v>43</v>
      </c>
      <c r="F628" s="3" t="s">
        <v>18</v>
      </c>
      <c r="G628" s="3" t="s">
        <v>94</v>
      </c>
      <c r="H628" s="3" t="s">
        <v>95</v>
      </c>
      <c r="I628" s="5">
        <v>4429.28</v>
      </c>
      <c r="J628" s="4">
        <v>8</v>
      </c>
      <c r="K628" s="1">
        <v>12</v>
      </c>
      <c r="L628" s="4">
        <v>800.15</v>
      </c>
      <c r="M628" s="3" t="s">
        <v>21</v>
      </c>
      <c r="N628" s="3" t="s">
        <v>35</v>
      </c>
      <c r="O628" s="2" t="str">
        <f t="shared" si="45"/>
        <v>02-2025</v>
      </c>
      <c r="P628" t="str">
        <f t="shared" si="46"/>
        <v>2025</v>
      </c>
      <c r="Q628" s="6">
        <f t="shared" si="47"/>
        <v>0.1806501282375465</v>
      </c>
      <c r="R628" t="str">
        <f t="shared" si="48"/>
        <v>Profit</v>
      </c>
      <c r="S628" t="str">
        <f t="shared" si="49"/>
        <v>Mid (11-20%)</v>
      </c>
    </row>
    <row r="629" spans="1:19" x14ac:dyDescent="0.3">
      <c r="A629" s="3" t="s">
        <v>709</v>
      </c>
      <c r="B629" s="2">
        <v>45505</v>
      </c>
      <c r="C629" s="3" t="s">
        <v>84</v>
      </c>
      <c r="D629" s="3" t="s">
        <v>56</v>
      </c>
      <c r="E629" s="3" t="s">
        <v>61</v>
      </c>
      <c r="F629" s="3" t="s">
        <v>62</v>
      </c>
      <c r="G629" s="3" t="s">
        <v>67</v>
      </c>
      <c r="H629" s="3" t="s">
        <v>68</v>
      </c>
      <c r="I629" s="5">
        <v>1295.57</v>
      </c>
      <c r="J629" s="4">
        <v>1</v>
      </c>
      <c r="K629" s="1">
        <v>12</v>
      </c>
      <c r="L629" s="4">
        <v>72.48</v>
      </c>
      <c r="M629" s="3" t="s">
        <v>28</v>
      </c>
      <c r="N629" s="3" t="s">
        <v>40</v>
      </c>
      <c r="O629" s="2" t="str">
        <f t="shared" si="45"/>
        <v>08-2024</v>
      </c>
      <c r="P629" t="str">
        <f t="shared" si="46"/>
        <v>2024</v>
      </c>
      <c r="Q629" s="6">
        <f t="shared" si="47"/>
        <v>5.5944487754424697E-2</v>
      </c>
      <c r="R629" t="str">
        <f t="shared" si="48"/>
        <v>Profit</v>
      </c>
      <c r="S629" t="str">
        <f t="shared" si="49"/>
        <v>Mid (11-20%)</v>
      </c>
    </row>
    <row r="630" spans="1:19" x14ac:dyDescent="0.3">
      <c r="A630" s="3" t="s">
        <v>710</v>
      </c>
      <c r="B630" s="2">
        <v>45613</v>
      </c>
      <c r="C630" s="3" t="s">
        <v>42</v>
      </c>
      <c r="D630" s="3" t="s">
        <v>89</v>
      </c>
      <c r="E630" s="3" t="s">
        <v>140</v>
      </c>
      <c r="F630" s="3" t="s">
        <v>18</v>
      </c>
      <c r="G630" s="3" t="s">
        <v>26</v>
      </c>
      <c r="H630" s="3" t="s">
        <v>27</v>
      </c>
      <c r="I630" s="5">
        <v>4256.2</v>
      </c>
      <c r="J630" s="4">
        <v>5</v>
      </c>
      <c r="K630" s="1">
        <v>25</v>
      </c>
      <c r="L630" s="4">
        <v>579.57000000000005</v>
      </c>
      <c r="M630" s="3" t="s">
        <v>21</v>
      </c>
      <c r="N630" s="3" t="s">
        <v>22</v>
      </c>
      <c r="O630" s="2" t="str">
        <f t="shared" si="45"/>
        <v>11-2024</v>
      </c>
      <c r="P630" t="str">
        <f t="shared" si="46"/>
        <v>2024</v>
      </c>
      <c r="Q630" s="6">
        <f t="shared" si="47"/>
        <v>0.13617076265213102</v>
      </c>
      <c r="R630" t="str">
        <f t="shared" si="48"/>
        <v>Profit</v>
      </c>
      <c r="S630" t="str">
        <f t="shared" si="49"/>
        <v>High (&gt;20%)</v>
      </c>
    </row>
    <row r="631" spans="1:19" x14ac:dyDescent="0.3">
      <c r="A631" s="3" t="s">
        <v>711</v>
      </c>
      <c r="B631" s="2">
        <v>45580</v>
      </c>
      <c r="C631" s="3" t="s">
        <v>101</v>
      </c>
      <c r="D631" s="3" t="s">
        <v>89</v>
      </c>
      <c r="E631" s="3" t="s">
        <v>116</v>
      </c>
      <c r="F631" s="3" t="s">
        <v>32</v>
      </c>
      <c r="G631" s="3" t="s">
        <v>47</v>
      </c>
      <c r="H631" s="3" t="s">
        <v>48</v>
      </c>
      <c r="I631" s="5">
        <v>11003.44</v>
      </c>
      <c r="J631" s="4">
        <v>7</v>
      </c>
      <c r="K631" s="1">
        <v>13</v>
      </c>
      <c r="L631" s="4">
        <v>1129.8699999999999</v>
      </c>
      <c r="M631" s="3" t="s">
        <v>28</v>
      </c>
      <c r="N631" s="3" t="s">
        <v>44</v>
      </c>
      <c r="O631" s="2" t="str">
        <f t="shared" si="45"/>
        <v>10-2024</v>
      </c>
      <c r="P631" t="str">
        <f t="shared" si="46"/>
        <v>2024</v>
      </c>
      <c r="Q631" s="6">
        <f t="shared" si="47"/>
        <v>0.10268334266374878</v>
      </c>
      <c r="R631" t="str">
        <f t="shared" si="48"/>
        <v>Profit</v>
      </c>
      <c r="S631" t="str">
        <f t="shared" si="49"/>
        <v>Mid (11-20%)</v>
      </c>
    </row>
    <row r="632" spans="1:19" x14ac:dyDescent="0.3">
      <c r="A632" s="3" t="s">
        <v>712</v>
      </c>
      <c r="B632" s="2">
        <v>45631</v>
      </c>
      <c r="C632" s="3" t="s">
        <v>133</v>
      </c>
      <c r="D632" s="3" t="s">
        <v>56</v>
      </c>
      <c r="E632" s="3" t="s">
        <v>108</v>
      </c>
      <c r="F632" s="3" t="s">
        <v>62</v>
      </c>
      <c r="G632" s="3" t="s">
        <v>103</v>
      </c>
      <c r="H632" s="3" t="s">
        <v>104</v>
      </c>
      <c r="I632" s="5">
        <v>4075.35</v>
      </c>
      <c r="J632" s="4">
        <v>5</v>
      </c>
      <c r="K632" s="1">
        <v>6</v>
      </c>
      <c r="L632" s="4">
        <v>417.64</v>
      </c>
      <c r="M632" s="3" t="s">
        <v>28</v>
      </c>
      <c r="N632" s="3" t="s">
        <v>44</v>
      </c>
      <c r="O632" s="2" t="str">
        <f t="shared" si="45"/>
        <v>12-2024</v>
      </c>
      <c r="P632" t="str">
        <f t="shared" si="46"/>
        <v>2024</v>
      </c>
      <c r="Q632" s="6">
        <f t="shared" si="47"/>
        <v>0.10247954163446084</v>
      </c>
      <c r="R632" t="str">
        <f t="shared" si="48"/>
        <v>Profit</v>
      </c>
      <c r="S632" t="str">
        <f t="shared" si="49"/>
        <v>Low (1-10%)</v>
      </c>
    </row>
    <row r="633" spans="1:19" x14ac:dyDescent="0.3">
      <c r="A633" s="3" t="s">
        <v>713</v>
      </c>
      <c r="B633" s="2">
        <v>45622</v>
      </c>
      <c r="C633" s="3" t="s">
        <v>75</v>
      </c>
      <c r="D633" s="3" t="s">
        <v>38</v>
      </c>
      <c r="E633" s="3" t="s">
        <v>71</v>
      </c>
      <c r="F633" s="3" t="s">
        <v>32</v>
      </c>
      <c r="G633" s="3" t="s">
        <v>33</v>
      </c>
      <c r="H633" s="3" t="s">
        <v>34</v>
      </c>
      <c r="I633" s="5">
        <v>1748.1</v>
      </c>
      <c r="J633" s="4">
        <v>5</v>
      </c>
      <c r="K633" s="1">
        <v>27</v>
      </c>
      <c r="L633" s="4">
        <v>67.69</v>
      </c>
      <c r="M633" s="3" t="s">
        <v>21</v>
      </c>
      <c r="N633" s="3" t="s">
        <v>40</v>
      </c>
      <c r="O633" s="2" t="str">
        <f t="shared" si="45"/>
        <v>11-2024</v>
      </c>
      <c r="P633" t="str">
        <f t="shared" si="46"/>
        <v>2024</v>
      </c>
      <c r="Q633" s="6">
        <f t="shared" si="47"/>
        <v>3.8722041073165153E-2</v>
      </c>
      <c r="R633" t="str">
        <f t="shared" si="48"/>
        <v>Profit</v>
      </c>
      <c r="S633" t="str">
        <f t="shared" si="49"/>
        <v>High (&gt;20%)</v>
      </c>
    </row>
    <row r="634" spans="1:19" x14ac:dyDescent="0.3">
      <c r="A634" s="3" t="s">
        <v>714</v>
      </c>
      <c r="B634" s="2">
        <v>45526</v>
      </c>
      <c r="C634" s="3" t="s">
        <v>24</v>
      </c>
      <c r="D634" s="3" t="s">
        <v>16</v>
      </c>
      <c r="E634" s="3" t="s">
        <v>31</v>
      </c>
      <c r="F634" s="3" t="s">
        <v>32</v>
      </c>
      <c r="G634" s="3" t="s">
        <v>33</v>
      </c>
      <c r="H634" s="3" t="s">
        <v>34</v>
      </c>
      <c r="I634" s="5">
        <v>5792.5</v>
      </c>
      <c r="J634" s="4">
        <v>10</v>
      </c>
      <c r="K634" s="1">
        <v>16</v>
      </c>
      <c r="L634" s="4">
        <v>624.83000000000004</v>
      </c>
      <c r="M634" s="3" t="s">
        <v>28</v>
      </c>
      <c r="N634" s="3" t="s">
        <v>35</v>
      </c>
      <c r="O634" s="2" t="str">
        <f t="shared" si="45"/>
        <v>08-2024</v>
      </c>
      <c r="P634" t="str">
        <f t="shared" si="46"/>
        <v>2024</v>
      </c>
      <c r="Q634" s="6">
        <f t="shared" si="47"/>
        <v>0.10786879585671127</v>
      </c>
      <c r="R634" t="str">
        <f t="shared" si="48"/>
        <v>Profit</v>
      </c>
      <c r="S634" t="str">
        <f t="shared" si="49"/>
        <v>Mid (11-20%)</v>
      </c>
    </row>
    <row r="635" spans="1:19" x14ac:dyDescent="0.3">
      <c r="A635" s="3" t="s">
        <v>715</v>
      </c>
      <c r="B635" s="2">
        <v>45461</v>
      </c>
      <c r="C635" s="3" t="s">
        <v>101</v>
      </c>
      <c r="D635" s="3" t="s">
        <v>16</v>
      </c>
      <c r="E635" s="3" t="s">
        <v>17</v>
      </c>
      <c r="F635" s="3" t="s">
        <v>62</v>
      </c>
      <c r="G635" s="3" t="s">
        <v>103</v>
      </c>
      <c r="H635" s="3" t="s">
        <v>104</v>
      </c>
      <c r="I635" s="5">
        <v>16064.5</v>
      </c>
      <c r="J635" s="4">
        <v>10</v>
      </c>
      <c r="K635" s="1">
        <v>14</v>
      </c>
      <c r="L635" s="4">
        <v>2814.72</v>
      </c>
      <c r="M635" s="3" t="s">
        <v>51</v>
      </c>
      <c r="N635" s="3" t="s">
        <v>40</v>
      </c>
      <c r="O635" s="2" t="str">
        <f t="shared" si="45"/>
        <v>06-2024</v>
      </c>
      <c r="P635" t="str">
        <f t="shared" si="46"/>
        <v>2024</v>
      </c>
      <c r="Q635" s="6">
        <f t="shared" si="47"/>
        <v>0.17521366989324286</v>
      </c>
      <c r="R635" t="str">
        <f t="shared" si="48"/>
        <v>Profit</v>
      </c>
      <c r="S635" t="str">
        <f t="shared" si="49"/>
        <v>Mid (11-20%)</v>
      </c>
    </row>
    <row r="636" spans="1:19" x14ac:dyDescent="0.3">
      <c r="A636" s="3" t="s">
        <v>716</v>
      </c>
      <c r="B636" s="2">
        <v>45640</v>
      </c>
      <c r="C636" s="3" t="s">
        <v>66</v>
      </c>
      <c r="D636" s="3" t="s">
        <v>89</v>
      </c>
      <c r="E636" s="3" t="s">
        <v>97</v>
      </c>
      <c r="F636" s="3" t="s">
        <v>32</v>
      </c>
      <c r="G636" s="3" t="s">
        <v>33</v>
      </c>
      <c r="H636" s="3" t="s">
        <v>34</v>
      </c>
      <c r="I636" s="5">
        <v>4338.24</v>
      </c>
      <c r="J636" s="4">
        <v>4</v>
      </c>
      <c r="K636" s="1">
        <v>25</v>
      </c>
      <c r="L636" s="4">
        <v>478.99</v>
      </c>
      <c r="M636" s="3" t="s">
        <v>51</v>
      </c>
      <c r="N636" s="3" t="s">
        <v>35</v>
      </c>
      <c r="O636" s="2" t="str">
        <f t="shared" si="45"/>
        <v>12-2024</v>
      </c>
      <c r="P636" t="str">
        <f t="shared" si="46"/>
        <v>2024</v>
      </c>
      <c r="Q636" s="6">
        <f t="shared" si="47"/>
        <v>0.11041113446927787</v>
      </c>
      <c r="R636" t="str">
        <f t="shared" si="48"/>
        <v>Profit</v>
      </c>
      <c r="S636" t="str">
        <f t="shared" si="49"/>
        <v>High (&gt;20%)</v>
      </c>
    </row>
    <row r="637" spans="1:19" x14ac:dyDescent="0.3">
      <c r="A637" s="3" t="s">
        <v>717</v>
      </c>
      <c r="B637" s="2">
        <v>45465</v>
      </c>
      <c r="C637" s="3" t="s">
        <v>30</v>
      </c>
      <c r="D637" s="3" t="s">
        <v>38</v>
      </c>
      <c r="E637" s="3" t="s">
        <v>71</v>
      </c>
      <c r="F637" s="3" t="s">
        <v>32</v>
      </c>
      <c r="G637" s="3" t="s">
        <v>47</v>
      </c>
      <c r="H637" s="3" t="s">
        <v>48</v>
      </c>
      <c r="I637" s="5">
        <v>1541.85</v>
      </c>
      <c r="J637" s="4">
        <v>1</v>
      </c>
      <c r="K637" s="1">
        <v>26</v>
      </c>
      <c r="L637" s="4">
        <v>92.36</v>
      </c>
      <c r="M637" s="3" t="s">
        <v>51</v>
      </c>
      <c r="N637" s="3" t="s">
        <v>40</v>
      </c>
      <c r="O637" s="2" t="str">
        <f t="shared" si="45"/>
        <v>06-2024</v>
      </c>
      <c r="P637" t="str">
        <f t="shared" si="46"/>
        <v>2024</v>
      </c>
      <c r="Q637" s="6">
        <f t="shared" si="47"/>
        <v>5.9902065700295104E-2</v>
      </c>
      <c r="R637" t="str">
        <f t="shared" si="48"/>
        <v>Profit</v>
      </c>
      <c r="S637" t="str">
        <f t="shared" si="49"/>
        <v>High (&gt;20%)</v>
      </c>
    </row>
    <row r="638" spans="1:19" x14ac:dyDescent="0.3">
      <c r="A638" s="3" t="s">
        <v>718</v>
      </c>
      <c r="B638" s="2">
        <v>45433</v>
      </c>
      <c r="C638" s="3" t="s">
        <v>99</v>
      </c>
      <c r="D638" s="3" t="s">
        <v>38</v>
      </c>
      <c r="E638" s="3" t="s">
        <v>71</v>
      </c>
      <c r="F638" s="3" t="s">
        <v>18</v>
      </c>
      <c r="G638" s="3" t="s">
        <v>26</v>
      </c>
      <c r="H638" s="3" t="s">
        <v>27</v>
      </c>
      <c r="I638" s="5">
        <v>1259.8599999999999</v>
      </c>
      <c r="J638" s="4">
        <v>7</v>
      </c>
      <c r="K638" s="1">
        <v>11</v>
      </c>
      <c r="L638" s="4">
        <v>152.04</v>
      </c>
      <c r="M638" s="3" t="s">
        <v>28</v>
      </c>
      <c r="N638" s="3" t="s">
        <v>44</v>
      </c>
      <c r="O638" s="2" t="str">
        <f t="shared" si="45"/>
        <v>05-2024</v>
      </c>
      <c r="P638" t="str">
        <f t="shared" si="46"/>
        <v>2024</v>
      </c>
      <c r="Q638" s="6">
        <f t="shared" si="47"/>
        <v>0.12068007556395155</v>
      </c>
      <c r="R638" t="str">
        <f t="shared" si="48"/>
        <v>Profit</v>
      </c>
      <c r="S638" t="str">
        <f t="shared" si="49"/>
        <v>Mid (11-20%)</v>
      </c>
    </row>
    <row r="639" spans="1:19" x14ac:dyDescent="0.3">
      <c r="A639" s="3" t="s">
        <v>719</v>
      </c>
      <c r="B639" s="2">
        <v>45746</v>
      </c>
      <c r="C639" s="3" t="s">
        <v>66</v>
      </c>
      <c r="D639" s="3" t="s">
        <v>56</v>
      </c>
      <c r="E639" s="3" t="s">
        <v>108</v>
      </c>
      <c r="F639" s="3" t="s">
        <v>18</v>
      </c>
      <c r="G639" s="3" t="s">
        <v>76</v>
      </c>
      <c r="H639" s="3" t="s">
        <v>77</v>
      </c>
      <c r="I639" s="5">
        <v>1962.14</v>
      </c>
      <c r="J639" s="4">
        <v>1</v>
      </c>
      <c r="K639" s="1">
        <v>16</v>
      </c>
      <c r="L639" s="4">
        <v>342.14</v>
      </c>
      <c r="M639" s="3" t="s">
        <v>21</v>
      </c>
      <c r="N639" s="3" t="s">
        <v>40</v>
      </c>
      <c r="O639" s="2" t="str">
        <f t="shared" si="45"/>
        <v>03-2025</v>
      </c>
      <c r="P639" t="str">
        <f t="shared" si="46"/>
        <v>2025</v>
      </c>
      <c r="Q639" s="6">
        <f t="shared" si="47"/>
        <v>0.17437084000122313</v>
      </c>
      <c r="R639" t="str">
        <f t="shared" si="48"/>
        <v>Profit</v>
      </c>
      <c r="S639" t="str">
        <f t="shared" si="49"/>
        <v>Mid (11-20%)</v>
      </c>
    </row>
    <row r="640" spans="1:19" x14ac:dyDescent="0.3">
      <c r="A640" s="3" t="s">
        <v>720</v>
      </c>
      <c r="B640" s="2">
        <v>45671</v>
      </c>
      <c r="C640" s="3" t="s">
        <v>30</v>
      </c>
      <c r="D640" s="3" t="s">
        <v>89</v>
      </c>
      <c r="E640" s="3" t="s">
        <v>102</v>
      </c>
      <c r="F640" s="3" t="s">
        <v>62</v>
      </c>
      <c r="G640" s="3" t="s">
        <v>67</v>
      </c>
      <c r="H640" s="3" t="s">
        <v>68</v>
      </c>
      <c r="I640" s="5">
        <v>1836.3</v>
      </c>
      <c r="J640" s="4">
        <v>6</v>
      </c>
      <c r="K640" s="1">
        <v>3</v>
      </c>
      <c r="L640" s="4">
        <v>205.32</v>
      </c>
      <c r="M640" s="3" t="s">
        <v>28</v>
      </c>
      <c r="N640" s="3" t="s">
        <v>44</v>
      </c>
      <c r="O640" s="2" t="str">
        <f t="shared" si="45"/>
        <v>01-2025</v>
      </c>
      <c r="P640" t="str">
        <f t="shared" si="46"/>
        <v>2025</v>
      </c>
      <c r="Q640" s="6">
        <f t="shared" si="47"/>
        <v>0.11181179545825845</v>
      </c>
      <c r="R640" t="str">
        <f t="shared" si="48"/>
        <v>Profit</v>
      </c>
      <c r="S640" t="str">
        <f t="shared" si="49"/>
        <v>Low (1-10%)</v>
      </c>
    </row>
    <row r="641" spans="1:19" x14ac:dyDescent="0.3">
      <c r="A641" s="3" t="s">
        <v>721</v>
      </c>
      <c r="B641" s="2">
        <v>45581</v>
      </c>
      <c r="C641" s="3" t="s">
        <v>30</v>
      </c>
      <c r="D641" s="3" t="s">
        <v>16</v>
      </c>
      <c r="E641" s="3" t="s">
        <v>17</v>
      </c>
      <c r="F641" s="3" t="s">
        <v>18</v>
      </c>
      <c r="G641" s="3" t="s">
        <v>19</v>
      </c>
      <c r="H641" s="3" t="s">
        <v>20</v>
      </c>
      <c r="I641" s="5">
        <v>2857.02</v>
      </c>
      <c r="J641" s="4">
        <v>6</v>
      </c>
      <c r="K641" s="1">
        <v>14</v>
      </c>
      <c r="L641" s="4">
        <v>588.44000000000005</v>
      </c>
      <c r="M641" s="3" t="s">
        <v>51</v>
      </c>
      <c r="N641" s="3" t="s">
        <v>44</v>
      </c>
      <c r="O641" s="2" t="str">
        <f t="shared" si="45"/>
        <v>10-2024</v>
      </c>
      <c r="P641" t="str">
        <f t="shared" si="46"/>
        <v>2024</v>
      </c>
      <c r="Q641" s="6">
        <f t="shared" si="47"/>
        <v>0.20596285640282533</v>
      </c>
      <c r="R641" t="str">
        <f t="shared" si="48"/>
        <v>Profit</v>
      </c>
      <c r="S641" t="str">
        <f t="shared" si="49"/>
        <v>Mid (11-20%)</v>
      </c>
    </row>
    <row r="642" spans="1:19" x14ac:dyDescent="0.3">
      <c r="A642" s="3" t="s">
        <v>722</v>
      </c>
      <c r="B642" s="2">
        <v>45524</v>
      </c>
      <c r="C642" s="3" t="s">
        <v>15</v>
      </c>
      <c r="D642" s="3" t="s">
        <v>38</v>
      </c>
      <c r="E642" s="3" t="s">
        <v>39</v>
      </c>
      <c r="F642" s="3" t="s">
        <v>18</v>
      </c>
      <c r="G642" s="3" t="s">
        <v>26</v>
      </c>
      <c r="H642" s="3" t="s">
        <v>27</v>
      </c>
      <c r="I642" s="5">
        <v>3438.66</v>
      </c>
      <c r="J642" s="4">
        <v>2</v>
      </c>
      <c r="K642" s="1">
        <v>26</v>
      </c>
      <c r="L642" s="4">
        <v>335.2</v>
      </c>
      <c r="M642" s="3" t="s">
        <v>51</v>
      </c>
      <c r="N642" s="3" t="s">
        <v>44</v>
      </c>
      <c r="O642" s="2" t="str">
        <f t="shared" ref="O642:O705" si="50" xml:space="preserve"> TEXT(B642,"MM-YYYY")</f>
        <v>08-2024</v>
      </c>
      <c r="P642" t="str">
        <f t="shared" ref="P642:P705" si="51">TEXT(B642,"YYYY")</f>
        <v>2024</v>
      </c>
      <c r="Q642" s="6">
        <f t="shared" ref="Q642:Q705" si="52">IFERROR(L642/I642,0)</f>
        <v>9.7479832260240915E-2</v>
      </c>
      <c r="R642" t="str">
        <f t="shared" ref="R642:R705" si="53">IF(L642&gt;0,"Profit","Loss")</f>
        <v>Profit</v>
      </c>
      <c r="S642" t="str">
        <f t="shared" ref="S642:S705" si="54">IF(K642=0,"No Discount",IF(K642&lt;=10,"Low (1-10%)",IF(K642&lt;=20,"Mid (11-20%)","High (&gt;20%)")))</f>
        <v>High (&gt;20%)</v>
      </c>
    </row>
    <row r="643" spans="1:19" x14ac:dyDescent="0.3">
      <c r="A643" s="3" t="s">
        <v>723</v>
      </c>
      <c r="B643" s="2">
        <v>45617</v>
      </c>
      <c r="C643" s="3" t="s">
        <v>50</v>
      </c>
      <c r="D643" s="3" t="s">
        <v>89</v>
      </c>
      <c r="E643" s="3" t="s">
        <v>90</v>
      </c>
      <c r="F643" s="3" t="s">
        <v>18</v>
      </c>
      <c r="G643" s="3" t="s">
        <v>19</v>
      </c>
      <c r="H643" s="3" t="s">
        <v>20</v>
      </c>
      <c r="I643" s="5">
        <v>3167.46</v>
      </c>
      <c r="J643" s="4">
        <v>6</v>
      </c>
      <c r="K643" s="1">
        <v>20</v>
      </c>
      <c r="L643" s="4">
        <v>321.82</v>
      </c>
      <c r="M643" s="3" t="s">
        <v>21</v>
      </c>
      <c r="N643" s="3" t="s">
        <v>40</v>
      </c>
      <c r="O643" s="2" t="str">
        <f t="shared" si="50"/>
        <v>11-2024</v>
      </c>
      <c r="P643" t="str">
        <f t="shared" si="51"/>
        <v>2024</v>
      </c>
      <c r="Q643" s="6">
        <f t="shared" si="52"/>
        <v>0.10160191446774387</v>
      </c>
      <c r="R643" t="str">
        <f t="shared" si="53"/>
        <v>Profit</v>
      </c>
      <c r="S643" t="str">
        <f t="shared" si="54"/>
        <v>Mid (11-20%)</v>
      </c>
    </row>
    <row r="644" spans="1:19" x14ac:dyDescent="0.3">
      <c r="A644" s="3" t="s">
        <v>724</v>
      </c>
      <c r="B644" s="2">
        <v>45744</v>
      </c>
      <c r="C644" s="3" t="s">
        <v>75</v>
      </c>
      <c r="D644" s="3" t="s">
        <v>56</v>
      </c>
      <c r="E644" s="3" t="s">
        <v>61</v>
      </c>
      <c r="F644" s="3" t="s">
        <v>62</v>
      </c>
      <c r="G644" s="3" t="s">
        <v>63</v>
      </c>
      <c r="H644" s="3" t="s">
        <v>64</v>
      </c>
      <c r="I644" s="5">
        <v>4706.6400000000003</v>
      </c>
      <c r="J644" s="4">
        <v>4</v>
      </c>
      <c r="K644" s="1">
        <v>22</v>
      </c>
      <c r="L644" s="4">
        <v>284.01</v>
      </c>
      <c r="M644" s="3" t="s">
        <v>21</v>
      </c>
      <c r="N644" s="3" t="s">
        <v>44</v>
      </c>
      <c r="O644" s="2" t="str">
        <f t="shared" si="50"/>
        <v>03-2025</v>
      </c>
      <c r="P644" t="str">
        <f t="shared" si="51"/>
        <v>2025</v>
      </c>
      <c r="Q644" s="6">
        <f t="shared" si="52"/>
        <v>6.0342409872010602E-2</v>
      </c>
      <c r="R644" t="str">
        <f t="shared" si="53"/>
        <v>Profit</v>
      </c>
      <c r="S644" t="str">
        <f t="shared" si="54"/>
        <v>High (&gt;20%)</v>
      </c>
    </row>
    <row r="645" spans="1:19" x14ac:dyDescent="0.3">
      <c r="A645" s="3" t="s">
        <v>725</v>
      </c>
      <c r="B645" s="2">
        <v>45639</v>
      </c>
      <c r="C645" s="3" t="s">
        <v>70</v>
      </c>
      <c r="D645" s="3" t="s">
        <v>89</v>
      </c>
      <c r="E645" s="3" t="s">
        <v>97</v>
      </c>
      <c r="F645" s="3" t="s">
        <v>32</v>
      </c>
      <c r="G645" s="3" t="s">
        <v>47</v>
      </c>
      <c r="H645" s="3" t="s">
        <v>48</v>
      </c>
      <c r="I645" s="5">
        <v>3504.84</v>
      </c>
      <c r="J645" s="4">
        <v>4</v>
      </c>
      <c r="K645" s="1">
        <v>14</v>
      </c>
      <c r="L645" s="4">
        <v>196.8</v>
      </c>
      <c r="M645" s="3" t="s">
        <v>28</v>
      </c>
      <c r="N645" s="3" t="s">
        <v>22</v>
      </c>
      <c r="O645" s="2" t="str">
        <f t="shared" si="50"/>
        <v>12-2024</v>
      </c>
      <c r="P645" t="str">
        <f t="shared" si="51"/>
        <v>2024</v>
      </c>
      <c r="Q645" s="6">
        <f t="shared" si="52"/>
        <v>5.6150922724004522E-2</v>
      </c>
      <c r="R645" t="str">
        <f t="shared" si="53"/>
        <v>Profit</v>
      </c>
      <c r="S645" t="str">
        <f t="shared" si="54"/>
        <v>Mid (11-20%)</v>
      </c>
    </row>
    <row r="646" spans="1:19" x14ac:dyDescent="0.3">
      <c r="A646" s="3" t="s">
        <v>726</v>
      </c>
      <c r="B646" s="2">
        <v>45786</v>
      </c>
      <c r="C646" s="3" t="s">
        <v>37</v>
      </c>
      <c r="D646" s="3" t="s">
        <v>89</v>
      </c>
      <c r="E646" s="3" t="s">
        <v>90</v>
      </c>
      <c r="F646" s="3" t="s">
        <v>18</v>
      </c>
      <c r="G646" s="3" t="s">
        <v>26</v>
      </c>
      <c r="H646" s="3" t="s">
        <v>27</v>
      </c>
      <c r="I646" s="5">
        <v>8740.7199999999993</v>
      </c>
      <c r="J646" s="4">
        <v>8</v>
      </c>
      <c r="K646" s="1">
        <v>17</v>
      </c>
      <c r="L646" s="4">
        <v>506.29</v>
      </c>
      <c r="M646" s="3" t="s">
        <v>28</v>
      </c>
      <c r="N646" s="3" t="s">
        <v>35</v>
      </c>
      <c r="O646" s="2" t="str">
        <f t="shared" si="50"/>
        <v>05-2025</v>
      </c>
      <c r="P646" t="str">
        <f t="shared" si="51"/>
        <v>2025</v>
      </c>
      <c r="Q646" s="6">
        <f t="shared" si="52"/>
        <v>5.7923145919329309E-2</v>
      </c>
      <c r="R646" t="str">
        <f t="shared" si="53"/>
        <v>Profit</v>
      </c>
      <c r="S646" t="str">
        <f t="shared" si="54"/>
        <v>Mid (11-20%)</v>
      </c>
    </row>
    <row r="647" spans="1:19" x14ac:dyDescent="0.3">
      <c r="A647" s="3" t="s">
        <v>727</v>
      </c>
      <c r="B647" s="2">
        <v>45635</v>
      </c>
      <c r="C647" s="3" t="s">
        <v>73</v>
      </c>
      <c r="D647" s="3" t="s">
        <v>16</v>
      </c>
      <c r="E647" s="3" t="s">
        <v>17</v>
      </c>
      <c r="F647" s="3" t="s">
        <v>62</v>
      </c>
      <c r="G647" s="3" t="s">
        <v>63</v>
      </c>
      <c r="H647" s="3" t="s">
        <v>64</v>
      </c>
      <c r="I647" s="5">
        <v>3478.44</v>
      </c>
      <c r="J647" s="4">
        <v>3</v>
      </c>
      <c r="K647" s="1">
        <v>8</v>
      </c>
      <c r="L647" s="4">
        <v>653.04999999999995</v>
      </c>
      <c r="M647" s="3" t="s">
        <v>21</v>
      </c>
      <c r="N647" s="3" t="s">
        <v>44</v>
      </c>
      <c r="O647" s="2" t="str">
        <f t="shared" si="50"/>
        <v>12-2024</v>
      </c>
      <c r="P647" t="str">
        <f t="shared" si="51"/>
        <v>2024</v>
      </c>
      <c r="Q647" s="6">
        <f t="shared" si="52"/>
        <v>0.18774220627637675</v>
      </c>
      <c r="R647" t="str">
        <f t="shared" si="53"/>
        <v>Profit</v>
      </c>
      <c r="S647" t="str">
        <f t="shared" si="54"/>
        <v>Low (1-10%)</v>
      </c>
    </row>
    <row r="648" spans="1:19" x14ac:dyDescent="0.3">
      <c r="A648" s="3" t="s">
        <v>728</v>
      </c>
      <c r="B648" s="2">
        <v>45737</v>
      </c>
      <c r="C648" s="3" t="s">
        <v>66</v>
      </c>
      <c r="D648" s="3" t="s">
        <v>89</v>
      </c>
      <c r="E648" s="3" t="s">
        <v>90</v>
      </c>
      <c r="F648" s="3" t="s">
        <v>32</v>
      </c>
      <c r="G648" s="3" t="s">
        <v>33</v>
      </c>
      <c r="H648" s="3" t="s">
        <v>34</v>
      </c>
      <c r="I648" s="5">
        <v>5088.42</v>
      </c>
      <c r="J648" s="4">
        <v>3</v>
      </c>
      <c r="K648" s="1">
        <v>8</v>
      </c>
      <c r="L648" s="4">
        <v>326.14</v>
      </c>
      <c r="M648" s="3" t="s">
        <v>28</v>
      </c>
      <c r="N648" s="3" t="s">
        <v>35</v>
      </c>
      <c r="O648" s="2" t="str">
        <f t="shared" si="50"/>
        <v>03-2025</v>
      </c>
      <c r="P648" t="str">
        <f t="shared" si="51"/>
        <v>2025</v>
      </c>
      <c r="Q648" s="6">
        <f t="shared" si="52"/>
        <v>6.4094551943432346E-2</v>
      </c>
      <c r="R648" t="str">
        <f t="shared" si="53"/>
        <v>Profit</v>
      </c>
      <c r="S648" t="str">
        <f t="shared" si="54"/>
        <v>Low (1-10%)</v>
      </c>
    </row>
    <row r="649" spans="1:19" x14ac:dyDescent="0.3">
      <c r="A649" s="3" t="s">
        <v>729</v>
      </c>
      <c r="B649" s="2">
        <v>45676</v>
      </c>
      <c r="C649" s="3" t="s">
        <v>133</v>
      </c>
      <c r="D649" s="3" t="s">
        <v>89</v>
      </c>
      <c r="E649" s="3" t="s">
        <v>102</v>
      </c>
      <c r="F649" s="3" t="s">
        <v>32</v>
      </c>
      <c r="G649" s="3" t="s">
        <v>58</v>
      </c>
      <c r="H649" s="3" t="s">
        <v>59</v>
      </c>
      <c r="I649" s="5">
        <v>1832.31</v>
      </c>
      <c r="J649" s="4">
        <v>3</v>
      </c>
      <c r="K649" s="1">
        <v>12</v>
      </c>
      <c r="L649" s="4">
        <v>290.74</v>
      </c>
      <c r="M649" s="3" t="s">
        <v>28</v>
      </c>
      <c r="N649" s="3" t="s">
        <v>44</v>
      </c>
      <c r="O649" s="2" t="str">
        <f t="shared" si="50"/>
        <v>01-2025</v>
      </c>
      <c r="P649" t="str">
        <f t="shared" si="51"/>
        <v>2025</v>
      </c>
      <c r="Q649" s="6">
        <f t="shared" si="52"/>
        <v>0.15867402350039023</v>
      </c>
      <c r="R649" t="str">
        <f t="shared" si="53"/>
        <v>Profit</v>
      </c>
      <c r="S649" t="str">
        <f t="shared" si="54"/>
        <v>Mid (11-20%)</v>
      </c>
    </row>
    <row r="650" spans="1:19" x14ac:dyDescent="0.3">
      <c r="A650" s="3" t="s">
        <v>730</v>
      </c>
      <c r="B650" s="2">
        <v>45568</v>
      </c>
      <c r="C650" s="3" t="s">
        <v>15</v>
      </c>
      <c r="D650" s="3" t="s">
        <v>89</v>
      </c>
      <c r="E650" s="3" t="s">
        <v>90</v>
      </c>
      <c r="F650" s="3" t="s">
        <v>32</v>
      </c>
      <c r="G650" s="3" t="s">
        <v>58</v>
      </c>
      <c r="H650" s="3" t="s">
        <v>59</v>
      </c>
      <c r="I650" s="5">
        <v>794.83</v>
      </c>
      <c r="J650" s="4">
        <v>1</v>
      </c>
      <c r="K650" s="1">
        <v>11</v>
      </c>
      <c r="L650" s="4">
        <v>173.66</v>
      </c>
      <c r="M650" s="3" t="s">
        <v>21</v>
      </c>
      <c r="N650" s="3" t="s">
        <v>35</v>
      </c>
      <c r="O650" s="2" t="str">
        <f t="shared" si="50"/>
        <v>10-2024</v>
      </c>
      <c r="P650" t="str">
        <f t="shared" si="51"/>
        <v>2024</v>
      </c>
      <c r="Q650" s="6">
        <f t="shared" si="52"/>
        <v>0.21848697205691781</v>
      </c>
      <c r="R650" t="str">
        <f t="shared" si="53"/>
        <v>Profit</v>
      </c>
      <c r="S650" t="str">
        <f t="shared" si="54"/>
        <v>Mid (11-20%)</v>
      </c>
    </row>
    <row r="651" spans="1:19" x14ac:dyDescent="0.3">
      <c r="A651" s="3" t="s">
        <v>731</v>
      </c>
      <c r="B651" s="2">
        <v>45711</v>
      </c>
      <c r="C651" s="3" t="s">
        <v>99</v>
      </c>
      <c r="D651" s="3" t="s">
        <v>56</v>
      </c>
      <c r="E651" s="3" t="s">
        <v>61</v>
      </c>
      <c r="F651" s="3" t="s">
        <v>62</v>
      </c>
      <c r="G651" s="3" t="s">
        <v>80</v>
      </c>
      <c r="H651" s="3" t="s">
        <v>81</v>
      </c>
      <c r="I651" s="5">
        <v>959.22</v>
      </c>
      <c r="J651" s="4">
        <v>6</v>
      </c>
      <c r="K651" s="1">
        <v>17</v>
      </c>
      <c r="L651" s="4">
        <v>133.4</v>
      </c>
      <c r="M651" s="3" t="s">
        <v>51</v>
      </c>
      <c r="N651" s="3" t="s">
        <v>35</v>
      </c>
      <c r="O651" s="2" t="str">
        <f t="shared" si="50"/>
        <v>02-2025</v>
      </c>
      <c r="P651" t="str">
        <f t="shared" si="51"/>
        <v>2025</v>
      </c>
      <c r="Q651" s="6">
        <f t="shared" si="52"/>
        <v>0.13907132878797357</v>
      </c>
      <c r="R651" t="str">
        <f t="shared" si="53"/>
        <v>Profit</v>
      </c>
      <c r="S651" t="str">
        <f t="shared" si="54"/>
        <v>Mid (11-20%)</v>
      </c>
    </row>
    <row r="652" spans="1:19" x14ac:dyDescent="0.3">
      <c r="A652" s="3" t="s">
        <v>732</v>
      </c>
      <c r="B652" s="2">
        <v>45744</v>
      </c>
      <c r="C652" s="3" t="s">
        <v>37</v>
      </c>
      <c r="D652" s="3" t="s">
        <v>38</v>
      </c>
      <c r="E652" s="3" t="s">
        <v>43</v>
      </c>
      <c r="F652" s="3" t="s">
        <v>32</v>
      </c>
      <c r="G652" s="3" t="s">
        <v>47</v>
      </c>
      <c r="H652" s="3" t="s">
        <v>48</v>
      </c>
      <c r="I652" s="5">
        <v>519.83000000000004</v>
      </c>
      <c r="J652" s="4">
        <v>1</v>
      </c>
      <c r="K652" s="1">
        <v>15</v>
      </c>
      <c r="L652" s="4">
        <v>70.459999999999994</v>
      </c>
      <c r="M652" s="3" t="s">
        <v>51</v>
      </c>
      <c r="N652" s="3" t="s">
        <v>35</v>
      </c>
      <c r="O652" s="2" t="str">
        <f t="shared" si="50"/>
        <v>03-2025</v>
      </c>
      <c r="P652" t="str">
        <f t="shared" si="51"/>
        <v>2025</v>
      </c>
      <c r="Q652" s="6">
        <f t="shared" si="52"/>
        <v>0.13554431256372274</v>
      </c>
      <c r="R652" t="str">
        <f t="shared" si="53"/>
        <v>Profit</v>
      </c>
      <c r="S652" t="str">
        <f t="shared" si="54"/>
        <v>Mid (11-20%)</v>
      </c>
    </row>
    <row r="653" spans="1:19" x14ac:dyDescent="0.3">
      <c r="A653" s="3" t="s">
        <v>733</v>
      </c>
      <c r="B653" s="2">
        <v>45773</v>
      </c>
      <c r="C653" s="3" t="s">
        <v>50</v>
      </c>
      <c r="D653" s="3" t="s">
        <v>16</v>
      </c>
      <c r="E653" s="3" t="s">
        <v>17</v>
      </c>
      <c r="F653" s="3" t="s">
        <v>32</v>
      </c>
      <c r="G653" s="3" t="s">
        <v>58</v>
      </c>
      <c r="H653" s="3" t="s">
        <v>59</v>
      </c>
      <c r="I653" s="5">
        <v>1648.8</v>
      </c>
      <c r="J653" s="4">
        <v>10</v>
      </c>
      <c r="K653" s="1">
        <v>4</v>
      </c>
      <c r="L653" s="4">
        <v>140.06</v>
      </c>
      <c r="M653" s="3" t="s">
        <v>51</v>
      </c>
      <c r="N653" s="3" t="s">
        <v>22</v>
      </c>
      <c r="O653" s="2" t="str">
        <f t="shared" si="50"/>
        <v>04-2025</v>
      </c>
      <c r="P653" t="str">
        <f t="shared" si="51"/>
        <v>2025</v>
      </c>
      <c r="Q653" s="6">
        <f t="shared" si="52"/>
        <v>8.4946627850557982E-2</v>
      </c>
      <c r="R653" t="str">
        <f t="shared" si="53"/>
        <v>Profit</v>
      </c>
      <c r="S653" t="str">
        <f t="shared" si="54"/>
        <v>Low (1-10%)</v>
      </c>
    </row>
    <row r="654" spans="1:19" x14ac:dyDescent="0.3">
      <c r="A654" s="3" t="s">
        <v>734</v>
      </c>
      <c r="B654" s="2">
        <v>45459</v>
      </c>
      <c r="C654" s="3" t="s">
        <v>99</v>
      </c>
      <c r="D654" s="3" t="s">
        <v>16</v>
      </c>
      <c r="E654" s="3" t="s">
        <v>17</v>
      </c>
      <c r="F654" s="3" t="s">
        <v>62</v>
      </c>
      <c r="G654" s="3" t="s">
        <v>67</v>
      </c>
      <c r="H654" s="3" t="s">
        <v>68</v>
      </c>
      <c r="I654" s="5">
        <v>11750.76</v>
      </c>
      <c r="J654" s="4">
        <v>6</v>
      </c>
      <c r="K654" s="1">
        <v>9</v>
      </c>
      <c r="L654" s="4">
        <v>1978.88</v>
      </c>
      <c r="M654" s="3" t="s">
        <v>51</v>
      </c>
      <c r="N654" s="3" t="s">
        <v>44</v>
      </c>
      <c r="O654" s="2" t="str">
        <f t="shared" si="50"/>
        <v>06-2024</v>
      </c>
      <c r="P654" t="str">
        <f t="shared" si="51"/>
        <v>2024</v>
      </c>
      <c r="Q654" s="6">
        <f t="shared" si="52"/>
        <v>0.16840442660730029</v>
      </c>
      <c r="R654" t="str">
        <f t="shared" si="53"/>
        <v>Profit</v>
      </c>
      <c r="S654" t="str">
        <f t="shared" si="54"/>
        <v>Low (1-10%)</v>
      </c>
    </row>
    <row r="655" spans="1:19" x14ac:dyDescent="0.3">
      <c r="A655" s="3" t="s">
        <v>735</v>
      </c>
      <c r="B655" s="2">
        <v>45532</v>
      </c>
      <c r="C655" s="3" t="s">
        <v>133</v>
      </c>
      <c r="D655" s="3" t="s">
        <v>38</v>
      </c>
      <c r="E655" s="3" t="s">
        <v>39</v>
      </c>
      <c r="F655" s="3" t="s">
        <v>62</v>
      </c>
      <c r="G655" s="3" t="s">
        <v>67</v>
      </c>
      <c r="H655" s="3" t="s">
        <v>68</v>
      </c>
      <c r="I655" s="5">
        <v>2755.54</v>
      </c>
      <c r="J655" s="4">
        <v>2</v>
      </c>
      <c r="K655" s="1">
        <v>18</v>
      </c>
      <c r="L655" s="4">
        <v>218.5</v>
      </c>
      <c r="M655" s="3" t="s">
        <v>21</v>
      </c>
      <c r="N655" s="3" t="s">
        <v>35</v>
      </c>
      <c r="O655" s="2" t="str">
        <f t="shared" si="50"/>
        <v>08-2024</v>
      </c>
      <c r="P655" t="str">
        <f t="shared" si="51"/>
        <v>2024</v>
      </c>
      <c r="Q655" s="6">
        <f t="shared" si="52"/>
        <v>7.9294802470659106E-2</v>
      </c>
      <c r="R655" t="str">
        <f t="shared" si="53"/>
        <v>Profit</v>
      </c>
      <c r="S655" t="str">
        <f t="shared" si="54"/>
        <v>Mid (11-20%)</v>
      </c>
    </row>
    <row r="656" spans="1:19" x14ac:dyDescent="0.3">
      <c r="A656" s="3" t="s">
        <v>736</v>
      </c>
      <c r="B656" s="2">
        <v>45622</v>
      </c>
      <c r="C656" s="3" t="s">
        <v>84</v>
      </c>
      <c r="D656" s="3" t="s">
        <v>56</v>
      </c>
      <c r="E656" s="3" t="s">
        <v>57</v>
      </c>
      <c r="F656" s="3" t="s">
        <v>32</v>
      </c>
      <c r="G656" s="3" t="s">
        <v>58</v>
      </c>
      <c r="H656" s="3" t="s">
        <v>59</v>
      </c>
      <c r="I656" s="5">
        <v>11043.09</v>
      </c>
      <c r="J656" s="4">
        <v>9</v>
      </c>
      <c r="K656" s="1">
        <v>16</v>
      </c>
      <c r="L656" s="4">
        <v>573.4</v>
      </c>
      <c r="M656" s="3" t="s">
        <v>21</v>
      </c>
      <c r="N656" s="3" t="s">
        <v>35</v>
      </c>
      <c r="O656" s="2" t="str">
        <f t="shared" si="50"/>
        <v>11-2024</v>
      </c>
      <c r="P656" t="str">
        <f t="shared" si="51"/>
        <v>2024</v>
      </c>
      <c r="Q656" s="6">
        <f t="shared" si="52"/>
        <v>5.1923872756628804E-2</v>
      </c>
      <c r="R656" t="str">
        <f t="shared" si="53"/>
        <v>Profit</v>
      </c>
      <c r="S656" t="str">
        <f t="shared" si="54"/>
        <v>Mid (11-20%)</v>
      </c>
    </row>
    <row r="657" spans="1:19" x14ac:dyDescent="0.3">
      <c r="A657" s="3" t="s">
        <v>737</v>
      </c>
      <c r="B657" s="2">
        <v>45523</v>
      </c>
      <c r="C657" s="3" t="s">
        <v>24</v>
      </c>
      <c r="D657" s="3" t="s">
        <v>16</v>
      </c>
      <c r="E657" s="3" t="s">
        <v>31</v>
      </c>
      <c r="F657" s="3" t="s">
        <v>62</v>
      </c>
      <c r="G657" s="3" t="s">
        <v>103</v>
      </c>
      <c r="H657" s="3" t="s">
        <v>104</v>
      </c>
      <c r="I657" s="5">
        <v>2290.83</v>
      </c>
      <c r="J657" s="4">
        <v>3</v>
      </c>
      <c r="K657" s="1">
        <v>9</v>
      </c>
      <c r="L657" s="4">
        <v>187.52</v>
      </c>
      <c r="M657" s="3" t="s">
        <v>51</v>
      </c>
      <c r="N657" s="3" t="s">
        <v>35</v>
      </c>
      <c r="O657" s="2" t="str">
        <f t="shared" si="50"/>
        <v>08-2024</v>
      </c>
      <c r="P657" t="str">
        <f t="shared" si="51"/>
        <v>2024</v>
      </c>
      <c r="Q657" s="6">
        <f t="shared" si="52"/>
        <v>8.1856794262341603E-2</v>
      </c>
      <c r="R657" t="str">
        <f t="shared" si="53"/>
        <v>Profit</v>
      </c>
      <c r="S657" t="str">
        <f t="shared" si="54"/>
        <v>Low (1-10%)</v>
      </c>
    </row>
    <row r="658" spans="1:19" x14ac:dyDescent="0.3">
      <c r="A658" s="3" t="s">
        <v>738</v>
      </c>
      <c r="B658" s="2">
        <v>45701</v>
      </c>
      <c r="C658" s="3" t="s">
        <v>37</v>
      </c>
      <c r="D658" s="3" t="s">
        <v>56</v>
      </c>
      <c r="E658" s="3" t="s">
        <v>57</v>
      </c>
      <c r="F658" s="3" t="s">
        <v>32</v>
      </c>
      <c r="G658" s="3" t="s">
        <v>58</v>
      </c>
      <c r="H658" s="3" t="s">
        <v>59</v>
      </c>
      <c r="I658" s="5">
        <v>3224.28</v>
      </c>
      <c r="J658" s="4">
        <v>6</v>
      </c>
      <c r="K658" s="1">
        <v>11</v>
      </c>
      <c r="L658" s="4">
        <v>413.26</v>
      </c>
      <c r="M658" s="3" t="s">
        <v>51</v>
      </c>
      <c r="N658" s="3" t="s">
        <v>40</v>
      </c>
      <c r="O658" s="2" t="str">
        <f t="shared" si="50"/>
        <v>02-2025</v>
      </c>
      <c r="P658" t="str">
        <f t="shared" si="51"/>
        <v>2025</v>
      </c>
      <c r="Q658" s="6">
        <f t="shared" si="52"/>
        <v>0.12817125063580084</v>
      </c>
      <c r="R658" t="str">
        <f t="shared" si="53"/>
        <v>Profit</v>
      </c>
      <c r="S658" t="str">
        <f t="shared" si="54"/>
        <v>Mid (11-20%)</v>
      </c>
    </row>
    <row r="659" spans="1:19" x14ac:dyDescent="0.3">
      <c r="A659" s="3" t="s">
        <v>739</v>
      </c>
      <c r="B659" s="2">
        <v>45786</v>
      </c>
      <c r="C659" s="3" t="s">
        <v>86</v>
      </c>
      <c r="D659" s="3" t="s">
        <v>16</v>
      </c>
      <c r="E659" s="3" t="s">
        <v>25</v>
      </c>
      <c r="F659" s="3" t="s">
        <v>32</v>
      </c>
      <c r="G659" s="3" t="s">
        <v>33</v>
      </c>
      <c r="H659" s="3" t="s">
        <v>34</v>
      </c>
      <c r="I659" s="5">
        <v>15193.6</v>
      </c>
      <c r="J659" s="4">
        <v>10</v>
      </c>
      <c r="K659" s="1">
        <v>27</v>
      </c>
      <c r="L659" s="4">
        <v>1693.93</v>
      </c>
      <c r="M659" s="3" t="s">
        <v>21</v>
      </c>
      <c r="N659" s="3" t="s">
        <v>40</v>
      </c>
      <c r="O659" s="2" t="str">
        <f t="shared" si="50"/>
        <v>05-2025</v>
      </c>
      <c r="P659" t="str">
        <f t="shared" si="51"/>
        <v>2025</v>
      </c>
      <c r="Q659" s="6">
        <f t="shared" si="52"/>
        <v>0.11148970619208087</v>
      </c>
      <c r="R659" t="str">
        <f t="shared" si="53"/>
        <v>Profit</v>
      </c>
      <c r="S659" t="str">
        <f t="shared" si="54"/>
        <v>High (&gt;20%)</v>
      </c>
    </row>
    <row r="660" spans="1:19" x14ac:dyDescent="0.3">
      <c r="A660" s="3" t="s">
        <v>740</v>
      </c>
      <c r="B660" s="2">
        <v>45438</v>
      </c>
      <c r="C660" s="3" t="s">
        <v>30</v>
      </c>
      <c r="D660" s="3" t="s">
        <v>89</v>
      </c>
      <c r="E660" s="3" t="s">
        <v>90</v>
      </c>
      <c r="F660" s="3" t="s">
        <v>62</v>
      </c>
      <c r="G660" s="3" t="s">
        <v>80</v>
      </c>
      <c r="H660" s="3" t="s">
        <v>81</v>
      </c>
      <c r="I660" s="5">
        <v>4082.94</v>
      </c>
      <c r="J660" s="4">
        <v>9</v>
      </c>
      <c r="K660" s="1">
        <v>7.0000000000000009</v>
      </c>
      <c r="L660" s="4">
        <v>803.66</v>
      </c>
      <c r="M660" s="3" t="s">
        <v>28</v>
      </c>
      <c r="N660" s="3" t="s">
        <v>40</v>
      </c>
      <c r="O660" s="2" t="str">
        <f t="shared" si="50"/>
        <v>05-2024</v>
      </c>
      <c r="P660" t="str">
        <f t="shared" si="51"/>
        <v>2024</v>
      </c>
      <c r="Q660" s="6">
        <f t="shared" si="52"/>
        <v>0.19683365418056595</v>
      </c>
      <c r="R660" t="str">
        <f t="shared" si="53"/>
        <v>Profit</v>
      </c>
      <c r="S660" t="str">
        <f t="shared" si="54"/>
        <v>Low (1-10%)</v>
      </c>
    </row>
    <row r="661" spans="1:19" x14ac:dyDescent="0.3">
      <c r="A661" s="3" t="s">
        <v>741</v>
      </c>
      <c r="B661" s="2">
        <v>45627</v>
      </c>
      <c r="C661" s="3" t="s">
        <v>30</v>
      </c>
      <c r="D661" s="3" t="s">
        <v>56</v>
      </c>
      <c r="E661" s="3" t="s">
        <v>57</v>
      </c>
      <c r="F661" s="3" t="s">
        <v>62</v>
      </c>
      <c r="G661" s="3" t="s">
        <v>80</v>
      </c>
      <c r="H661" s="3" t="s">
        <v>81</v>
      </c>
      <c r="I661" s="5">
        <v>17802.45</v>
      </c>
      <c r="J661" s="4">
        <v>9</v>
      </c>
      <c r="K661" s="1">
        <v>6</v>
      </c>
      <c r="L661" s="4">
        <v>3892.55</v>
      </c>
      <c r="M661" s="3" t="s">
        <v>21</v>
      </c>
      <c r="N661" s="3" t="s">
        <v>44</v>
      </c>
      <c r="O661" s="2" t="str">
        <f t="shared" si="50"/>
        <v>12-2024</v>
      </c>
      <c r="P661" t="str">
        <f t="shared" si="51"/>
        <v>2024</v>
      </c>
      <c r="Q661" s="6">
        <f t="shared" si="52"/>
        <v>0.21865248884282781</v>
      </c>
      <c r="R661" t="str">
        <f t="shared" si="53"/>
        <v>Profit</v>
      </c>
      <c r="S661" t="str">
        <f t="shared" si="54"/>
        <v>Low (1-10%)</v>
      </c>
    </row>
    <row r="662" spans="1:19" x14ac:dyDescent="0.3">
      <c r="A662" s="3" t="s">
        <v>742</v>
      </c>
      <c r="B662" s="2">
        <v>45556</v>
      </c>
      <c r="C662" s="3" t="s">
        <v>37</v>
      </c>
      <c r="D662" s="3" t="s">
        <v>56</v>
      </c>
      <c r="E662" s="3" t="s">
        <v>61</v>
      </c>
      <c r="F662" s="3" t="s">
        <v>62</v>
      </c>
      <c r="G662" s="3" t="s">
        <v>63</v>
      </c>
      <c r="H662" s="3" t="s">
        <v>64</v>
      </c>
      <c r="I662" s="5">
        <v>7840.32</v>
      </c>
      <c r="J662" s="4">
        <v>4</v>
      </c>
      <c r="K662" s="1">
        <v>22</v>
      </c>
      <c r="L662" s="4">
        <v>499.78</v>
      </c>
      <c r="M662" s="3" t="s">
        <v>28</v>
      </c>
      <c r="N662" s="3" t="s">
        <v>35</v>
      </c>
      <c r="O662" s="2" t="str">
        <f t="shared" si="50"/>
        <v>09-2024</v>
      </c>
      <c r="P662" t="str">
        <f t="shared" si="51"/>
        <v>2024</v>
      </c>
      <c r="Q662" s="6">
        <f t="shared" si="52"/>
        <v>6.3744847149095951E-2</v>
      </c>
      <c r="R662" t="str">
        <f t="shared" si="53"/>
        <v>Profit</v>
      </c>
      <c r="S662" t="str">
        <f t="shared" si="54"/>
        <v>High (&gt;20%)</v>
      </c>
    </row>
    <row r="663" spans="1:19" x14ac:dyDescent="0.3">
      <c r="A663" s="3" t="s">
        <v>743</v>
      </c>
      <c r="B663" s="2">
        <v>45740</v>
      </c>
      <c r="C663" s="3" t="s">
        <v>75</v>
      </c>
      <c r="D663" s="3" t="s">
        <v>16</v>
      </c>
      <c r="E663" s="3" t="s">
        <v>31</v>
      </c>
      <c r="F663" s="3" t="s">
        <v>62</v>
      </c>
      <c r="G663" s="3" t="s">
        <v>80</v>
      </c>
      <c r="H663" s="3" t="s">
        <v>81</v>
      </c>
      <c r="I663" s="5">
        <v>11398.16</v>
      </c>
      <c r="J663" s="4">
        <v>8</v>
      </c>
      <c r="K663" s="1">
        <v>15</v>
      </c>
      <c r="L663" s="4">
        <v>1723.1</v>
      </c>
      <c r="M663" s="3" t="s">
        <v>28</v>
      </c>
      <c r="N663" s="3" t="s">
        <v>22</v>
      </c>
      <c r="O663" s="2" t="str">
        <f t="shared" si="50"/>
        <v>03-2025</v>
      </c>
      <c r="P663" t="str">
        <f t="shared" si="51"/>
        <v>2025</v>
      </c>
      <c r="Q663" s="6">
        <f t="shared" si="52"/>
        <v>0.15117352274402185</v>
      </c>
      <c r="R663" t="str">
        <f t="shared" si="53"/>
        <v>Profit</v>
      </c>
      <c r="S663" t="str">
        <f t="shared" si="54"/>
        <v>Mid (11-20%)</v>
      </c>
    </row>
    <row r="664" spans="1:19" x14ac:dyDescent="0.3">
      <c r="A664" s="3" t="s">
        <v>744</v>
      </c>
      <c r="B664" s="2">
        <v>45460</v>
      </c>
      <c r="C664" s="3" t="s">
        <v>50</v>
      </c>
      <c r="D664" s="3" t="s">
        <v>38</v>
      </c>
      <c r="E664" s="3" t="s">
        <v>39</v>
      </c>
      <c r="F664" s="3" t="s">
        <v>18</v>
      </c>
      <c r="G664" s="3" t="s">
        <v>94</v>
      </c>
      <c r="H664" s="3" t="s">
        <v>95</v>
      </c>
      <c r="I664" s="5">
        <v>4837.5</v>
      </c>
      <c r="J664" s="4">
        <v>10</v>
      </c>
      <c r="K664" s="1">
        <v>2</v>
      </c>
      <c r="L664" s="4">
        <v>256.85000000000002</v>
      </c>
      <c r="M664" s="3" t="s">
        <v>21</v>
      </c>
      <c r="N664" s="3" t="s">
        <v>44</v>
      </c>
      <c r="O664" s="2" t="str">
        <f t="shared" si="50"/>
        <v>06-2024</v>
      </c>
      <c r="P664" t="str">
        <f t="shared" si="51"/>
        <v>2024</v>
      </c>
      <c r="Q664" s="6">
        <f t="shared" si="52"/>
        <v>5.3095607235142124E-2</v>
      </c>
      <c r="R664" t="str">
        <f t="shared" si="53"/>
        <v>Profit</v>
      </c>
      <c r="S664" t="str">
        <f t="shared" si="54"/>
        <v>Low (1-10%)</v>
      </c>
    </row>
    <row r="665" spans="1:19" x14ac:dyDescent="0.3">
      <c r="A665" s="3" t="s">
        <v>745</v>
      </c>
      <c r="B665" s="2">
        <v>45610</v>
      </c>
      <c r="C665" s="3" t="s">
        <v>50</v>
      </c>
      <c r="D665" s="3" t="s">
        <v>16</v>
      </c>
      <c r="E665" s="3" t="s">
        <v>25</v>
      </c>
      <c r="F665" s="3" t="s">
        <v>32</v>
      </c>
      <c r="G665" s="3" t="s">
        <v>33</v>
      </c>
      <c r="H665" s="3" t="s">
        <v>34</v>
      </c>
      <c r="I665" s="5">
        <v>3542.05</v>
      </c>
      <c r="J665" s="4">
        <v>5</v>
      </c>
      <c r="K665" s="1">
        <v>7.0000000000000009</v>
      </c>
      <c r="L665" s="4">
        <v>521.67999999999995</v>
      </c>
      <c r="M665" s="3" t="s">
        <v>21</v>
      </c>
      <c r="N665" s="3" t="s">
        <v>40</v>
      </c>
      <c r="O665" s="2" t="str">
        <f t="shared" si="50"/>
        <v>11-2024</v>
      </c>
      <c r="P665" t="str">
        <f t="shared" si="51"/>
        <v>2024</v>
      </c>
      <c r="Q665" s="6">
        <f t="shared" si="52"/>
        <v>0.14728194124871188</v>
      </c>
      <c r="R665" t="str">
        <f t="shared" si="53"/>
        <v>Profit</v>
      </c>
      <c r="S665" t="str">
        <f t="shared" si="54"/>
        <v>Low (1-10%)</v>
      </c>
    </row>
    <row r="666" spans="1:19" x14ac:dyDescent="0.3">
      <c r="A666" s="3" t="s">
        <v>746</v>
      </c>
      <c r="B666" s="2">
        <v>45680</v>
      </c>
      <c r="C666" s="3" t="s">
        <v>30</v>
      </c>
      <c r="D666" s="3" t="s">
        <v>89</v>
      </c>
      <c r="E666" s="3" t="s">
        <v>102</v>
      </c>
      <c r="F666" s="3" t="s">
        <v>18</v>
      </c>
      <c r="G666" s="3" t="s">
        <v>19</v>
      </c>
      <c r="H666" s="3" t="s">
        <v>20</v>
      </c>
      <c r="I666" s="5">
        <v>740.57</v>
      </c>
      <c r="J666" s="4">
        <v>1</v>
      </c>
      <c r="K666" s="1">
        <v>2</v>
      </c>
      <c r="L666" s="4">
        <v>160.55000000000001</v>
      </c>
      <c r="M666" s="3" t="s">
        <v>21</v>
      </c>
      <c r="N666" s="3" t="s">
        <v>35</v>
      </c>
      <c r="O666" s="2" t="str">
        <f t="shared" si="50"/>
        <v>01-2025</v>
      </c>
      <c r="P666" t="str">
        <f t="shared" si="51"/>
        <v>2025</v>
      </c>
      <c r="Q666" s="6">
        <f t="shared" si="52"/>
        <v>0.21679247066448817</v>
      </c>
      <c r="R666" t="str">
        <f t="shared" si="53"/>
        <v>Profit</v>
      </c>
      <c r="S666" t="str">
        <f t="shared" si="54"/>
        <v>Low (1-10%)</v>
      </c>
    </row>
    <row r="667" spans="1:19" x14ac:dyDescent="0.3">
      <c r="A667" s="3" t="s">
        <v>747</v>
      </c>
      <c r="B667" s="2">
        <v>45764</v>
      </c>
      <c r="C667" s="3" t="s">
        <v>99</v>
      </c>
      <c r="D667" s="3" t="s">
        <v>89</v>
      </c>
      <c r="E667" s="3" t="s">
        <v>116</v>
      </c>
      <c r="F667" s="3" t="s">
        <v>62</v>
      </c>
      <c r="G667" s="3" t="s">
        <v>67</v>
      </c>
      <c r="H667" s="3" t="s">
        <v>68</v>
      </c>
      <c r="I667" s="5">
        <v>3839.38</v>
      </c>
      <c r="J667" s="4">
        <v>2</v>
      </c>
      <c r="K667" s="1">
        <v>4</v>
      </c>
      <c r="L667" s="4">
        <v>893.26</v>
      </c>
      <c r="M667" s="3" t="s">
        <v>51</v>
      </c>
      <c r="N667" s="3" t="s">
        <v>40</v>
      </c>
      <c r="O667" s="2" t="str">
        <f t="shared" si="50"/>
        <v>04-2025</v>
      </c>
      <c r="P667" t="str">
        <f t="shared" si="51"/>
        <v>2025</v>
      </c>
      <c r="Q667" s="6">
        <f t="shared" si="52"/>
        <v>0.23265735613562605</v>
      </c>
      <c r="R667" t="str">
        <f t="shared" si="53"/>
        <v>Profit</v>
      </c>
      <c r="S667" t="str">
        <f t="shared" si="54"/>
        <v>Low (1-10%)</v>
      </c>
    </row>
    <row r="668" spans="1:19" x14ac:dyDescent="0.3">
      <c r="A668" s="3" t="s">
        <v>748</v>
      </c>
      <c r="B668" s="2">
        <v>45719</v>
      </c>
      <c r="C668" s="3" t="s">
        <v>24</v>
      </c>
      <c r="D668" s="3" t="s">
        <v>16</v>
      </c>
      <c r="E668" s="3" t="s">
        <v>31</v>
      </c>
      <c r="F668" s="3" t="s">
        <v>62</v>
      </c>
      <c r="G668" s="3" t="s">
        <v>63</v>
      </c>
      <c r="H668" s="3" t="s">
        <v>64</v>
      </c>
      <c r="I668" s="5">
        <v>12652.32</v>
      </c>
      <c r="J668" s="4">
        <v>8</v>
      </c>
      <c r="K668" s="1">
        <v>25</v>
      </c>
      <c r="L668" s="4">
        <v>1349.14</v>
      </c>
      <c r="M668" s="3" t="s">
        <v>28</v>
      </c>
      <c r="N668" s="3" t="s">
        <v>40</v>
      </c>
      <c r="O668" s="2" t="str">
        <f t="shared" si="50"/>
        <v>03-2025</v>
      </c>
      <c r="P668" t="str">
        <f t="shared" si="51"/>
        <v>2025</v>
      </c>
      <c r="Q668" s="6">
        <f t="shared" si="52"/>
        <v>0.10663182720639378</v>
      </c>
      <c r="R668" t="str">
        <f t="shared" si="53"/>
        <v>Profit</v>
      </c>
      <c r="S668" t="str">
        <f t="shared" si="54"/>
        <v>High (&gt;20%)</v>
      </c>
    </row>
    <row r="669" spans="1:19" x14ac:dyDescent="0.3">
      <c r="A669" s="3" t="s">
        <v>749</v>
      </c>
      <c r="B669" s="2">
        <v>45716</v>
      </c>
      <c r="C669" s="3" t="s">
        <v>42</v>
      </c>
      <c r="D669" s="3" t="s">
        <v>56</v>
      </c>
      <c r="E669" s="3" t="s">
        <v>57</v>
      </c>
      <c r="F669" s="3" t="s">
        <v>62</v>
      </c>
      <c r="G669" s="3" t="s">
        <v>103</v>
      </c>
      <c r="H669" s="3" t="s">
        <v>104</v>
      </c>
      <c r="I669" s="5">
        <v>3580.86</v>
      </c>
      <c r="J669" s="4">
        <v>3</v>
      </c>
      <c r="K669" s="1">
        <v>12</v>
      </c>
      <c r="L669" s="4">
        <v>510.73</v>
      </c>
      <c r="M669" s="3" t="s">
        <v>21</v>
      </c>
      <c r="N669" s="3" t="s">
        <v>44</v>
      </c>
      <c r="O669" s="2" t="str">
        <f t="shared" si="50"/>
        <v>02-2025</v>
      </c>
      <c r="P669" t="str">
        <f t="shared" si="51"/>
        <v>2025</v>
      </c>
      <c r="Q669" s="6">
        <f t="shared" si="52"/>
        <v>0.14262774864138783</v>
      </c>
      <c r="R669" t="str">
        <f t="shared" si="53"/>
        <v>Profit</v>
      </c>
      <c r="S669" t="str">
        <f t="shared" si="54"/>
        <v>Mid (11-20%)</v>
      </c>
    </row>
    <row r="670" spans="1:19" x14ac:dyDescent="0.3">
      <c r="A670" s="3" t="s">
        <v>750</v>
      </c>
      <c r="B670" s="2">
        <v>45521</v>
      </c>
      <c r="C670" s="3" t="s">
        <v>15</v>
      </c>
      <c r="D670" s="3" t="s">
        <v>38</v>
      </c>
      <c r="E670" s="3" t="s">
        <v>71</v>
      </c>
      <c r="F670" s="3" t="s">
        <v>62</v>
      </c>
      <c r="G670" s="3" t="s">
        <v>67</v>
      </c>
      <c r="H670" s="3" t="s">
        <v>68</v>
      </c>
      <c r="I670" s="5">
        <v>870.48</v>
      </c>
      <c r="J670" s="4">
        <v>3</v>
      </c>
      <c r="K670" s="1">
        <v>22</v>
      </c>
      <c r="L670" s="4">
        <v>74.239999999999995</v>
      </c>
      <c r="M670" s="3" t="s">
        <v>51</v>
      </c>
      <c r="N670" s="3" t="s">
        <v>35</v>
      </c>
      <c r="O670" s="2" t="str">
        <f t="shared" si="50"/>
        <v>08-2024</v>
      </c>
      <c r="P670" t="str">
        <f t="shared" si="51"/>
        <v>2024</v>
      </c>
      <c r="Q670" s="6">
        <f t="shared" si="52"/>
        <v>8.5286278834665927E-2</v>
      </c>
      <c r="R670" t="str">
        <f t="shared" si="53"/>
        <v>Profit</v>
      </c>
      <c r="S670" t="str">
        <f t="shared" si="54"/>
        <v>High (&gt;20%)</v>
      </c>
    </row>
    <row r="671" spans="1:19" x14ac:dyDescent="0.3">
      <c r="A671" s="3" t="s">
        <v>751</v>
      </c>
      <c r="B671" s="2">
        <v>45459</v>
      </c>
      <c r="C671" s="3" t="s">
        <v>30</v>
      </c>
      <c r="D671" s="3" t="s">
        <v>56</v>
      </c>
      <c r="E671" s="3" t="s">
        <v>61</v>
      </c>
      <c r="F671" s="3" t="s">
        <v>18</v>
      </c>
      <c r="G671" s="3" t="s">
        <v>26</v>
      </c>
      <c r="H671" s="3" t="s">
        <v>27</v>
      </c>
      <c r="I671" s="5">
        <v>7080</v>
      </c>
      <c r="J671" s="4">
        <v>10</v>
      </c>
      <c r="K671" s="1">
        <v>12</v>
      </c>
      <c r="L671" s="4">
        <v>839.27</v>
      </c>
      <c r="M671" s="3" t="s">
        <v>21</v>
      </c>
      <c r="N671" s="3" t="s">
        <v>22</v>
      </c>
      <c r="O671" s="2" t="str">
        <f t="shared" si="50"/>
        <v>06-2024</v>
      </c>
      <c r="P671" t="str">
        <f t="shared" si="51"/>
        <v>2024</v>
      </c>
      <c r="Q671" s="6">
        <f t="shared" si="52"/>
        <v>0.1185409604519774</v>
      </c>
      <c r="R671" t="str">
        <f t="shared" si="53"/>
        <v>Profit</v>
      </c>
      <c r="S671" t="str">
        <f t="shared" si="54"/>
        <v>Mid (11-20%)</v>
      </c>
    </row>
    <row r="672" spans="1:19" x14ac:dyDescent="0.3">
      <c r="A672" s="3" t="s">
        <v>752</v>
      </c>
      <c r="B672" s="2">
        <v>45492</v>
      </c>
      <c r="C672" s="3" t="s">
        <v>73</v>
      </c>
      <c r="D672" s="3" t="s">
        <v>56</v>
      </c>
      <c r="E672" s="3" t="s">
        <v>57</v>
      </c>
      <c r="F672" s="3" t="s">
        <v>18</v>
      </c>
      <c r="G672" s="3" t="s">
        <v>19</v>
      </c>
      <c r="H672" s="3" t="s">
        <v>20</v>
      </c>
      <c r="I672" s="5">
        <v>3597.22</v>
      </c>
      <c r="J672" s="4">
        <v>2</v>
      </c>
      <c r="K672" s="1">
        <v>2</v>
      </c>
      <c r="L672" s="4">
        <v>501.27</v>
      </c>
      <c r="M672" s="3" t="s">
        <v>51</v>
      </c>
      <c r="N672" s="3" t="s">
        <v>35</v>
      </c>
      <c r="O672" s="2" t="str">
        <f t="shared" si="50"/>
        <v>07-2024</v>
      </c>
      <c r="P672" t="str">
        <f t="shared" si="51"/>
        <v>2024</v>
      </c>
      <c r="Q672" s="6">
        <f t="shared" si="52"/>
        <v>0.13934927527368357</v>
      </c>
      <c r="R672" t="str">
        <f t="shared" si="53"/>
        <v>Profit</v>
      </c>
      <c r="S672" t="str">
        <f t="shared" si="54"/>
        <v>Low (1-10%)</v>
      </c>
    </row>
    <row r="673" spans="1:19" x14ac:dyDescent="0.3">
      <c r="A673" s="3" t="s">
        <v>753</v>
      </c>
      <c r="B673" s="2">
        <v>45561</v>
      </c>
      <c r="C673" s="3" t="s">
        <v>15</v>
      </c>
      <c r="D673" s="3" t="s">
        <v>38</v>
      </c>
      <c r="E673" s="3" t="s">
        <v>39</v>
      </c>
      <c r="F673" s="3" t="s">
        <v>62</v>
      </c>
      <c r="G673" s="3" t="s">
        <v>63</v>
      </c>
      <c r="H673" s="3" t="s">
        <v>64</v>
      </c>
      <c r="I673" s="5">
        <v>2567.1</v>
      </c>
      <c r="J673" s="4">
        <v>2</v>
      </c>
      <c r="K673" s="1">
        <v>3</v>
      </c>
      <c r="L673" s="4">
        <v>465.37</v>
      </c>
      <c r="M673" s="3" t="s">
        <v>21</v>
      </c>
      <c r="N673" s="3" t="s">
        <v>44</v>
      </c>
      <c r="O673" s="2" t="str">
        <f t="shared" si="50"/>
        <v>09-2024</v>
      </c>
      <c r="P673" t="str">
        <f t="shared" si="51"/>
        <v>2024</v>
      </c>
      <c r="Q673" s="6">
        <f t="shared" si="52"/>
        <v>0.18128238089673174</v>
      </c>
      <c r="R673" t="str">
        <f t="shared" si="53"/>
        <v>Profit</v>
      </c>
      <c r="S673" t="str">
        <f t="shared" si="54"/>
        <v>Low (1-10%)</v>
      </c>
    </row>
    <row r="674" spans="1:19" x14ac:dyDescent="0.3">
      <c r="A674" s="3" t="s">
        <v>754</v>
      </c>
      <c r="B674" s="2">
        <v>45459</v>
      </c>
      <c r="C674" s="3" t="s">
        <v>99</v>
      </c>
      <c r="D674" s="3" t="s">
        <v>16</v>
      </c>
      <c r="E674" s="3" t="s">
        <v>17</v>
      </c>
      <c r="F674" s="3" t="s">
        <v>32</v>
      </c>
      <c r="G674" s="3" t="s">
        <v>58</v>
      </c>
      <c r="H674" s="3" t="s">
        <v>59</v>
      </c>
      <c r="I674" s="5">
        <v>10719.06</v>
      </c>
      <c r="J674" s="4">
        <v>6</v>
      </c>
      <c r="K674" s="1">
        <v>18</v>
      </c>
      <c r="L674" s="4">
        <v>1665.32</v>
      </c>
      <c r="M674" s="3" t="s">
        <v>51</v>
      </c>
      <c r="N674" s="3" t="s">
        <v>35</v>
      </c>
      <c r="O674" s="2" t="str">
        <f t="shared" si="50"/>
        <v>06-2024</v>
      </c>
      <c r="P674" t="str">
        <f t="shared" si="51"/>
        <v>2024</v>
      </c>
      <c r="Q674" s="6">
        <f t="shared" si="52"/>
        <v>0.15536063796638885</v>
      </c>
      <c r="R674" t="str">
        <f t="shared" si="53"/>
        <v>Profit</v>
      </c>
      <c r="S674" t="str">
        <f t="shared" si="54"/>
        <v>Mid (11-20%)</v>
      </c>
    </row>
    <row r="675" spans="1:19" x14ac:dyDescent="0.3">
      <c r="A675" s="3" t="s">
        <v>755</v>
      </c>
      <c r="B675" s="2">
        <v>45503</v>
      </c>
      <c r="C675" s="3" t="s">
        <v>73</v>
      </c>
      <c r="D675" s="3" t="s">
        <v>89</v>
      </c>
      <c r="E675" s="3" t="s">
        <v>97</v>
      </c>
      <c r="F675" s="3" t="s">
        <v>62</v>
      </c>
      <c r="G675" s="3" t="s">
        <v>63</v>
      </c>
      <c r="H675" s="3" t="s">
        <v>64</v>
      </c>
      <c r="I675" s="5">
        <v>7946.1</v>
      </c>
      <c r="J675" s="4">
        <v>10</v>
      </c>
      <c r="K675" s="1">
        <v>27</v>
      </c>
      <c r="L675" s="4">
        <v>799.37</v>
      </c>
      <c r="M675" s="3" t="s">
        <v>51</v>
      </c>
      <c r="N675" s="3" t="s">
        <v>22</v>
      </c>
      <c r="O675" s="2" t="str">
        <f t="shared" si="50"/>
        <v>07-2024</v>
      </c>
      <c r="P675" t="str">
        <f t="shared" si="51"/>
        <v>2024</v>
      </c>
      <c r="Q675" s="6">
        <f t="shared" si="52"/>
        <v>0.10059903600508426</v>
      </c>
      <c r="R675" t="str">
        <f t="shared" si="53"/>
        <v>Profit</v>
      </c>
      <c r="S675" t="str">
        <f t="shared" si="54"/>
        <v>High (&gt;20%)</v>
      </c>
    </row>
    <row r="676" spans="1:19" x14ac:dyDescent="0.3">
      <c r="A676" s="3" t="s">
        <v>756</v>
      </c>
      <c r="B676" s="2">
        <v>45715</v>
      </c>
      <c r="C676" s="3" t="s">
        <v>84</v>
      </c>
      <c r="D676" s="3" t="s">
        <v>89</v>
      </c>
      <c r="E676" s="3" t="s">
        <v>97</v>
      </c>
      <c r="F676" s="3" t="s">
        <v>32</v>
      </c>
      <c r="G676" s="3" t="s">
        <v>112</v>
      </c>
      <c r="H676" s="3" t="s">
        <v>113</v>
      </c>
      <c r="I676" s="5">
        <v>800.15</v>
      </c>
      <c r="J676" s="4">
        <v>1</v>
      </c>
      <c r="K676" s="1">
        <v>29</v>
      </c>
      <c r="L676" s="4">
        <v>74.14</v>
      </c>
      <c r="M676" s="3" t="s">
        <v>51</v>
      </c>
      <c r="N676" s="3" t="s">
        <v>40</v>
      </c>
      <c r="O676" s="2" t="str">
        <f t="shared" si="50"/>
        <v>02-2025</v>
      </c>
      <c r="P676" t="str">
        <f t="shared" si="51"/>
        <v>2025</v>
      </c>
      <c r="Q676" s="6">
        <f t="shared" si="52"/>
        <v>9.2657626694994694E-2</v>
      </c>
      <c r="R676" t="str">
        <f t="shared" si="53"/>
        <v>Profit</v>
      </c>
      <c r="S676" t="str">
        <f t="shared" si="54"/>
        <v>High (&gt;20%)</v>
      </c>
    </row>
    <row r="677" spans="1:19" x14ac:dyDescent="0.3">
      <c r="A677" s="3" t="s">
        <v>757</v>
      </c>
      <c r="B677" s="2">
        <v>45631</v>
      </c>
      <c r="C677" s="3" t="s">
        <v>101</v>
      </c>
      <c r="D677" s="3" t="s">
        <v>38</v>
      </c>
      <c r="E677" s="3" t="s">
        <v>43</v>
      </c>
      <c r="F677" s="3" t="s">
        <v>18</v>
      </c>
      <c r="G677" s="3" t="s">
        <v>76</v>
      </c>
      <c r="H677" s="3" t="s">
        <v>77</v>
      </c>
      <c r="I677" s="5">
        <v>1962.31</v>
      </c>
      <c r="J677" s="4">
        <v>7</v>
      </c>
      <c r="K677" s="1">
        <v>17</v>
      </c>
      <c r="L677" s="4">
        <v>88.93</v>
      </c>
      <c r="M677" s="3" t="s">
        <v>28</v>
      </c>
      <c r="N677" s="3" t="s">
        <v>22</v>
      </c>
      <c r="O677" s="2" t="str">
        <f t="shared" si="50"/>
        <v>12-2024</v>
      </c>
      <c r="P677" t="str">
        <f t="shared" si="51"/>
        <v>2024</v>
      </c>
      <c r="Q677" s="6">
        <f t="shared" si="52"/>
        <v>4.5319037257110249E-2</v>
      </c>
      <c r="R677" t="str">
        <f t="shared" si="53"/>
        <v>Profit</v>
      </c>
      <c r="S677" t="str">
        <f t="shared" si="54"/>
        <v>Mid (11-20%)</v>
      </c>
    </row>
    <row r="678" spans="1:19" x14ac:dyDescent="0.3">
      <c r="A678" s="3" t="s">
        <v>758</v>
      </c>
      <c r="B678" s="2">
        <v>45552</v>
      </c>
      <c r="C678" s="3" t="s">
        <v>86</v>
      </c>
      <c r="D678" s="3" t="s">
        <v>89</v>
      </c>
      <c r="E678" s="3" t="s">
        <v>90</v>
      </c>
      <c r="F678" s="3" t="s">
        <v>32</v>
      </c>
      <c r="G678" s="3" t="s">
        <v>33</v>
      </c>
      <c r="H678" s="3" t="s">
        <v>34</v>
      </c>
      <c r="I678" s="5">
        <v>5341.23</v>
      </c>
      <c r="J678" s="4">
        <v>3</v>
      </c>
      <c r="K678" s="1">
        <v>18</v>
      </c>
      <c r="L678" s="4">
        <v>588.92999999999995</v>
      </c>
      <c r="M678" s="3" t="s">
        <v>28</v>
      </c>
      <c r="N678" s="3" t="s">
        <v>22</v>
      </c>
      <c r="O678" s="2" t="str">
        <f t="shared" si="50"/>
        <v>09-2024</v>
      </c>
      <c r="P678" t="str">
        <f t="shared" si="51"/>
        <v>2024</v>
      </c>
      <c r="Q678" s="6">
        <f t="shared" si="52"/>
        <v>0.1102611196297482</v>
      </c>
      <c r="R678" t="str">
        <f t="shared" si="53"/>
        <v>Profit</v>
      </c>
      <c r="S678" t="str">
        <f t="shared" si="54"/>
        <v>Mid (11-20%)</v>
      </c>
    </row>
    <row r="679" spans="1:19" x14ac:dyDescent="0.3">
      <c r="A679" s="3" t="s">
        <v>759</v>
      </c>
      <c r="B679" s="2">
        <v>45676</v>
      </c>
      <c r="C679" s="3" t="s">
        <v>133</v>
      </c>
      <c r="D679" s="3" t="s">
        <v>16</v>
      </c>
      <c r="E679" s="3" t="s">
        <v>31</v>
      </c>
      <c r="F679" s="3" t="s">
        <v>32</v>
      </c>
      <c r="G679" s="3" t="s">
        <v>47</v>
      </c>
      <c r="H679" s="3" t="s">
        <v>48</v>
      </c>
      <c r="I679" s="5">
        <v>4656.3500000000004</v>
      </c>
      <c r="J679" s="4">
        <v>5</v>
      </c>
      <c r="K679" s="1">
        <v>18</v>
      </c>
      <c r="L679" s="4">
        <v>293.39</v>
      </c>
      <c r="M679" s="3" t="s">
        <v>21</v>
      </c>
      <c r="N679" s="3" t="s">
        <v>40</v>
      </c>
      <c r="O679" s="2" t="str">
        <f t="shared" si="50"/>
        <v>01-2025</v>
      </c>
      <c r="P679" t="str">
        <f t="shared" si="51"/>
        <v>2025</v>
      </c>
      <c r="Q679" s="6">
        <f t="shared" si="52"/>
        <v>6.3008579681510191E-2</v>
      </c>
      <c r="R679" t="str">
        <f t="shared" si="53"/>
        <v>Profit</v>
      </c>
      <c r="S679" t="str">
        <f t="shared" si="54"/>
        <v>Mid (11-20%)</v>
      </c>
    </row>
    <row r="680" spans="1:19" x14ac:dyDescent="0.3">
      <c r="A680" s="3" t="s">
        <v>760</v>
      </c>
      <c r="B680" s="2">
        <v>45725</v>
      </c>
      <c r="C680" s="3" t="s">
        <v>73</v>
      </c>
      <c r="D680" s="3" t="s">
        <v>56</v>
      </c>
      <c r="E680" s="3" t="s">
        <v>108</v>
      </c>
      <c r="F680" s="3" t="s">
        <v>32</v>
      </c>
      <c r="G680" s="3" t="s">
        <v>33</v>
      </c>
      <c r="H680" s="3" t="s">
        <v>34</v>
      </c>
      <c r="I680" s="5">
        <v>2345.2199999999998</v>
      </c>
      <c r="J680" s="4">
        <v>2</v>
      </c>
      <c r="K680" s="1">
        <v>17</v>
      </c>
      <c r="L680" s="4">
        <v>472.29</v>
      </c>
      <c r="M680" s="3" t="s">
        <v>21</v>
      </c>
      <c r="N680" s="3" t="s">
        <v>22</v>
      </c>
      <c r="O680" s="2" t="str">
        <f t="shared" si="50"/>
        <v>03-2025</v>
      </c>
      <c r="P680" t="str">
        <f t="shared" si="51"/>
        <v>2025</v>
      </c>
      <c r="Q680" s="6">
        <f t="shared" si="52"/>
        <v>0.20138409189756187</v>
      </c>
      <c r="R680" t="str">
        <f t="shared" si="53"/>
        <v>Profit</v>
      </c>
      <c r="S680" t="str">
        <f t="shared" si="54"/>
        <v>Mid (11-20%)</v>
      </c>
    </row>
    <row r="681" spans="1:19" x14ac:dyDescent="0.3">
      <c r="A681" s="3" t="s">
        <v>761</v>
      </c>
      <c r="B681" s="2">
        <v>45622</v>
      </c>
      <c r="C681" s="3" t="s">
        <v>84</v>
      </c>
      <c r="D681" s="3" t="s">
        <v>56</v>
      </c>
      <c r="E681" s="3" t="s">
        <v>108</v>
      </c>
      <c r="F681" s="3" t="s">
        <v>32</v>
      </c>
      <c r="G681" s="3" t="s">
        <v>47</v>
      </c>
      <c r="H681" s="3" t="s">
        <v>48</v>
      </c>
      <c r="I681" s="5">
        <v>2666.49</v>
      </c>
      <c r="J681" s="4">
        <v>3</v>
      </c>
      <c r="K681" s="1">
        <v>3</v>
      </c>
      <c r="L681" s="4">
        <v>300.47000000000003</v>
      </c>
      <c r="M681" s="3" t="s">
        <v>28</v>
      </c>
      <c r="N681" s="3" t="s">
        <v>35</v>
      </c>
      <c r="O681" s="2" t="str">
        <f t="shared" si="50"/>
        <v>11-2024</v>
      </c>
      <c r="P681" t="str">
        <f t="shared" si="51"/>
        <v>2024</v>
      </c>
      <c r="Q681" s="6">
        <f t="shared" si="52"/>
        <v>0.1126837152961384</v>
      </c>
      <c r="R681" t="str">
        <f t="shared" si="53"/>
        <v>Profit</v>
      </c>
      <c r="S681" t="str">
        <f t="shared" si="54"/>
        <v>Low (1-10%)</v>
      </c>
    </row>
    <row r="682" spans="1:19" x14ac:dyDescent="0.3">
      <c r="A682" s="3" t="s">
        <v>762</v>
      </c>
      <c r="B682" s="2">
        <v>45538</v>
      </c>
      <c r="C682" s="3" t="s">
        <v>73</v>
      </c>
      <c r="D682" s="3" t="s">
        <v>56</v>
      </c>
      <c r="E682" s="3" t="s">
        <v>61</v>
      </c>
      <c r="F682" s="3" t="s">
        <v>18</v>
      </c>
      <c r="G682" s="3" t="s">
        <v>26</v>
      </c>
      <c r="H682" s="3" t="s">
        <v>27</v>
      </c>
      <c r="I682" s="5">
        <v>541.16</v>
      </c>
      <c r="J682" s="4">
        <v>4</v>
      </c>
      <c r="K682" s="1">
        <v>7.0000000000000009</v>
      </c>
      <c r="L682" s="4">
        <v>53.38</v>
      </c>
      <c r="M682" s="3" t="s">
        <v>51</v>
      </c>
      <c r="N682" s="3" t="s">
        <v>22</v>
      </c>
      <c r="O682" s="2" t="str">
        <f t="shared" si="50"/>
        <v>09-2024</v>
      </c>
      <c r="P682" t="str">
        <f t="shared" si="51"/>
        <v>2024</v>
      </c>
      <c r="Q682" s="6">
        <f t="shared" si="52"/>
        <v>9.8639958607435893E-2</v>
      </c>
      <c r="R682" t="str">
        <f t="shared" si="53"/>
        <v>Profit</v>
      </c>
      <c r="S682" t="str">
        <f t="shared" si="54"/>
        <v>Low (1-10%)</v>
      </c>
    </row>
    <row r="683" spans="1:19" x14ac:dyDescent="0.3">
      <c r="A683" s="3" t="s">
        <v>763</v>
      </c>
      <c r="B683" s="2">
        <v>45782</v>
      </c>
      <c r="C683" s="3" t="s">
        <v>15</v>
      </c>
      <c r="D683" s="3" t="s">
        <v>56</v>
      </c>
      <c r="E683" s="3" t="s">
        <v>61</v>
      </c>
      <c r="F683" s="3" t="s">
        <v>18</v>
      </c>
      <c r="G683" s="3" t="s">
        <v>76</v>
      </c>
      <c r="H683" s="3" t="s">
        <v>77</v>
      </c>
      <c r="I683" s="5">
        <v>2959.17</v>
      </c>
      <c r="J683" s="4">
        <v>3</v>
      </c>
      <c r="K683" s="1">
        <v>22</v>
      </c>
      <c r="L683" s="4">
        <v>179.4</v>
      </c>
      <c r="M683" s="3" t="s">
        <v>51</v>
      </c>
      <c r="N683" s="3" t="s">
        <v>35</v>
      </c>
      <c r="O683" s="2" t="str">
        <f t="shared" si="50"/>
        <v>05-2025</v>
      </c>
      <c r="P683" t="str">
        <f t="shared" si="51"/>
        <v>2025</v>
      </c>
      <c r="Q683" s="6">
        <f t="shared" si="52"/>
        <v>6.0625107716014967E-2</v>
      </c>
      <c r="R683" t="str">
        <f t="shared" si="53"/>
        <v>Profit</v>
      </c>
      <c r="S683" t="str">
        <f t="shared" si="54"/>
        <v>High (&gt;20%)</v>
      </c>
    </row>
    <row r="684" spans="1:19" x14ac:dyDescent="0.3">
      <c r="A684" s="3" t="s">
        <v>764</v>
      </c>
      <c r="B684" s="2">
        <v>45709</v>
      </c>
      <c r="C684" s="3" t="s">
        <v>75</v>
      </c>
      <c r="D684" s="3" t="s">
        <v>56</v>
      </c>
      <c r="E684" s="3" t="s">
        <v>57</v>
      </c>
      <c r="F684" s="3" t="s">
        <v>62</v>
      </c>
      <c r="G684" s="3" t="s">
        <v>103</v>
      </c>
      <c r="H684" s="3" t="s">
        <v>104</v>
      </c>
      <c r="I684" s="5">
        <v>12937.6</v>
      </c>
      <c r="J684" s="4">
        <v>10</v>
      </c>
      <c r="K684" s="1">
        <v>9</v>
      </c>
      <c r="L684" s="4">
        <v>910.9</v>
      </c>
      <c r="M684" s="3" t="s">
        <v>28</v>
      </c>
      <c r="N684" s="3" t="s">
        <v>35</v>
      </c>
      <c r="O684" s="2" t="str">
        <f t="shared" si="50"/>
        <v>02-2025</v>
      </c>
      <c r="P684" t="str">
        <f t="shared" si="51"/>
        <v>2025</v>
      </c>
      <c r="Q684" s="6">
        <f t="shared" si="52"/>
        <v>7.0407185258471422E-2</v>
      </c>
      <c r="R684" t="str">
        <f t="shared" si="53"/>
        <v>Profit</v>
      </c>
      <c r="S684" t="str">
        <f t="shared" si="54"/>
        <v>Low (1-10%)</v>
      </c>
    </row>
    <row r="685" spans="1:19" x14ac:dyDescent="0.3">
      <c r="A685" s="3" t="s">
        <v>765</v>
      </c>
      <c r="B685" s="2">
        <v>45761</v>
      </c>
      <c r="C685" s="3" t="s">
        <v>15</v>
      </c>
      <c r="D685" s="3" t="s">
        <v>89</v>
      </c>
      <c r="E685" s="3" t="s">
        <v>97</v>
      </c>
      <c r="F685" s="3" t="s">
        <v>62</v>
      </c>
      <c r="G685" s="3" t="s">
        <v>103</v>
      </c>
      <c r="H685" s="3" t="s">
        <v>104</v>
      </c>
      <c r="I685" s="5">
        <v>11775.9</v>
      </c>
      <c r="J685" s="4">
        <v>6</v>
      </c>
      <c r="K685" s="1">
        <v>27</v>
      </c>
      <c r="L685" s="4">
        <v>1197.94</v>
      </c>
      <c r="M685" s="3" t="s">
        <v>51</v>
      </c>
      <c r="N685" s="3" t="s">
        <v>40</v>
      </c>
      <c r="O685" s="2" t="str">
        <f t="shared" si="50"/>
        <v>04-2025</v>
      </c>
      <c r="P685" t="str">
        <f t="shared" si="51"/>
        <v>2025</v>
      </c>
      <c r="Q685" s="6">
        <f t="shared" si="52"/>
        <v>0.1017281057074194</v>
      </c>
      <c r="R685" t="str">
        <f t="shared" si="53"/>
        <v>Profit</v>
      </c>
      <c r="S685" t="str">
        <f t="shared" si="54"/>
        <v>High (&gt;20%)</v>
      </c>
    </row>
    <row r="686" spans="1:19" x14ac:dyDescent="0.3">
      <c r="A686" s="3" t="s">
        <v>766</v>
      </c>
      <c r="B686" s="2">
        <v>45746</v>
      </c>
      <c r="C686" s="3" t="s">
        <v>70</v>
      </c>
      <c r="D686" s="3" t="s">
        <v>16</v>
      </c>
      <c r="E686" s="3" t="s">
        <v>17</v>
      </c>
      <c r="F686" s="3" t="s">
        <v>62</v>
      </c>
      <c r="G686" s="3" t="s">
        <v>63</v>
      </c>
      <c r="H686" s="3" t="s">
        <v>64</v>
      </c>
      <c r="I686" s="5">
        <v>5024.08</v>
      </c>
      <c r="J686" s="4">
        <v>4</v>
      </c>
      <c r="K686" s="1">
        <v>13</v>
      </c>
      <c r="L686" s="4">
        <v>705.7</v>
      </c>
      <c r="M686" s="3" t="s">
        <v>21</v>
      </c>
      <c r="N686" s="3" t="s">
        <v>44</v>
      </c>
      <c r="O686" s="2" t="str">
        <f t="shared" si="50"/>
        <v>03-2025</v>
      </c>
      <c r="P686" t="str">
        <f t="shared" si="51"/>
        <v>2025</v>
      </c>
      <c r="Q686" s="6">
        <f t="shared" si="52"/>
        <v>0.14046352765083359</v>
      </c>
      <c r="R686" t="str">
        <f t="shared" si="53"/>
        <v>Profit</v>
      </c>
      <c r="S686" t="str">
        <f t="shared" si="54"/>
        <v>Mid (11-20%)</v>
      </c>
    </row>
    <row r="687" spans="1:19" x14ac:dyDescent="0.3">
      <c r="A687" s="3" t="s">
        <v>767</v>
      </c>
      <c r="B687" s="2">
        <v>45622</v>
      </c>
      <c r="C687" s="3" t="s">
        <v>86</v>
      </c>
      <c r="D687" s="3" t="s">
        <v>89</v>
      </c>
      <c r="E687" s="3" t="s">
        <v>116</v>
      </c>
      <c r="F687" s="3" t="s">
        <v>32</v>
      </c>
      <c r="G687" s="3" t="s">
        <v>33</v>
      </c>
      <c r="H687" s="3" t="s">
        <v>34</v>
      </c>
      <c r="I687" s="5">
        <v>9625.52</v>
      </c>
      <c r="J687" s="4">
        <v>8</v>
      </c>
      <c r="K687" s="1">
        <v>3</v>
      </c>
      <c r="L687" s="4">
        <v>539.09</v>
      </c>
      <c r="M687" s="3" t="s">
        <v>28</v>
      </c>
      <c r="N687" s="3" t="s">
        <v>44</v>
      </c>
      <c r="O687" s="2" t="str">
        <f t="shared" si="50"/>
        <v>11-2024</v>
      </c>
      <c r="P687" t="str">
        <f t="shared" si="51"/>
        <v>2024</v>
      </c>
      <c r="Q687" s="6">
        <f t="shared" si="52"/>
        <v>5.6006324853098845E-2</v>
      </c>
      <c r="R687" t="str">
        <f t="shared" si="53"/>
        <v>Profit</v>
      </c>
      <c r="S687" t="str">
        <f t="shared" si="54"/>
        <v>Low (1-10%)</v>
      </c>
    </row>
    <row r="688" spans="1:19" x14ac:dyDescent="0.3">
      <c r="A688" s="3" t="s">
        <v>768</v>
      </c>
      <c r="B688" s="2">
        <v>45702</v>
      </c>
      <c r="C688" s="3" t="s">
        <v>101</v>
      </c>
      <c r="D688" s="3" t="s">
        <v>16</v>
      </c>
      <c r="E688" s="3" t="s">
        <v>17</v>
      </c>
      <c r="F688" s="3" t="s">
        <v>62</v>
      </c>
      <c r="G688" s="3" t="s">
        <v>103</v>
      </c>
      <c r="H688" s="3" t="s">
        <v>104</v>
      </c>
      <c r="I688" s="5">
        <v>727.42</v>
      </c>
      <c r="J688" s="4">
        <v>1</v>
      </c>
      <c r="K688" s="1">
        <v>12</v>
      </c>
      <c r="L688" s="4">
        <v>55.51</v>
      </c>
      <c r="M688" s="3" t="s">
        <v>51</v>
      </c>
      <c r="N688" s="3" t="s">
        <v>44</v>
      </c>
      <c r="O688" s="2" t="str">
        <f t="shared" si="50"/>
        <v>02-2025</v>
      </c>
      <c r="P688" t="str">
        <f t="shared" si="51"/>
        <v>2025</v>
      </c>
      <c r="Q688" s="6">
        <f t="shared" si="52"/>
        <v>7.6310797063594629E-2</v>
      </c>
      <c r="R688" t="str">
        <f t="shared" si="53"/>
        <v>Profit</v>
      </c>
      <c r="S688" t="str">
        <f t="shared" si="54"/>
        <v>Mid (11-20%)</v>
      </c>
    </row>
    <row r="689" spans="1:19" x14ac:dyDescent="0.3">
      <c r="A689" s="3" t="s">
        <v>769</v>
      </c>
      <c r="B689" s="2">
        <v>45485</v>
      </c>
      <c r="C689" s="3" t="s">
        <v>86</v>
      </c>
      <c r="D689" s="3" t="s">
        <v>56</v>
      </c>
      <c r="E689" s="3" t="s">
        <v>61</v>
      </c>
      <c r="F689" s="3" t="s">
        <v>18</v>
      </c>
      <c r="G689" s="3" t="s">
        <v>94</v>
      </c>
      <c r="H689" s="3" t="s">
        <v>95</v>
      </c>
      <c r="I689" s="5">
        <v>318.62</v>
      </c>
      <c r="J689" s="4">
        <v>2</v>
      </c>
      <c r="K689" s="1">
        <v>16</v>
      </c>
      <c r="L689" s="4">
        <v>44.92</v>
      </c>
      <c r="M689" s="3" t="s">
        <v>28</v>
      </c>
      <c r="N689" s="3" t="s">
        <v>35</v>
      </c>
      <c r="O689" s="2" t="str">
        <f t="shared" si="50"/>
        <v>07-2024</v>
      </c>
      <c r="P689" t="str">
        <f t="shared" si="51"/>
        <v>2024</v>
      </c>
      <c r="Q689" s="6">
        <f t="shared" si="52"/>
        <v>0.14098298914066915</v>
      </c>
      <c r="R689" t="str">
        <f t="shared" si="53"/>
        <v>Profit</v>
      </c>
      <c r="S689" t="str">
        <f t="shared" si="54"/>
        <v>Mid (11-20%)</v>
      </c>
    </row>
    <row r="690" spans="1:19" x14ac:dyDescent="0.3">
      <c r="A690" s="3" t="s">
        <v>770</v>
      </c>
      <c r="B690" s="2">
        <v>45462</v>
      </c>
      <c r="C690" s="3" t="s">
        <v>50</v>
      </c>
      <c r="D690" s="3" t="s">
        <v>38</v>
      </c>
      <c r="E690" s="3" t="s">
        <v>71</v>
      </c>
      <c r="F690" s="3" t="s">
        <v>18</v>
      </c>
      <c r="G690" s="3" t="s">
        <v>76</v>
      </c>
      <c r="H690" s="3" t="s">
        <v>77</v>
      </c>
      <c r="I690" s="5">
        <v>4790.08</v>
      </c>
      <c r="J690" s="4">
        <v>4</v>
      </c>
      <c r="K690" s="1">
        <v>9</v>
      </c>
      <c r="L690" s="4">
        <v>262.10000000000002</v>
      </c>
      <c r="M690" s="3" t="s">
        <v>28</v>
      </c>
      <c r="N690" s="3" t="s">
        <v>22</v>
      </c>
      <c r="O690" s="2" t="str">
        <f t="shared" si="50"/>
        <v>06-2024</v>
      </c>
      <c r="P690" t="str">
        <f t="shared" si="51"/>
        <v>2024</v>
      </c>
      <c r="Q690" s="6">
        <f t="shared" si="52"/>
        <v>5.471724898122788E-2</v>
      </c>
      <c r="R690" t="str">
        <f t="shared" si="53"/>
        <v>Profit</v>
      </c>
      <c r="S690" t="str">
        <f t="shared" si="54"/>
        <v>Low (1-10%)</v>
      </c>
    </row>
    <row r="691" spans="1:19" x14ac:dyDescent="0.3">
      <c r="A691" s="3" t="s">
        <v>771</v>
      </c>
      <c r="B691" s="2">
        <v>45571</v>
      </c>
      <c r="C691" s="3" t="s">
        <v>86</v>
      </c>
      <c r="D691" s="3" t="s">
        <v>89</v>
      </c>
      <c r="E691" s="3" t="s">
        <v>90</v>
      </c>
      <c r="F691" s="3" t="s">
        <v>18</v>
      </c>
      <c r="G691" s="3" t="s">
        <v>94</v>
      </c>
      <c r="H691" s="3" t="s">
        <v>95</v>
      </c>
      <c r="I691" s="5">
        <v>13613.46</v>
      </c>
      <c r="J691" s="4">
        <v>7</v>
      </c>
      <c r="K691" s="1">
        <v>17</v>
      </c>
      <c r="L691" s="4">
        <v>2292.65</v>
      </c>
      <c r="M691" s="3" t="s">
        <v>21</v>
      </c>
      <c r="N691" s="3" t="s">
        <v>35</v>
      </c>
      <c r="O691" s="2" t="str">
        <f t="shared" si="50"/>
        <v>10-2024</v>
      </c>
      <c r="P691" t="str">
        <f t="shared" si="51"/>
        <v>2024</v>
      </c>
      <c r="Q691" s="6">
        <f t="shared" si="52"/>
        <v>0.16841052899116024</v>
      </c>
      <c r="R691" t="str">
        <f t="shared" si="53"/>
        <v>Profit</v>
      </c>
      <c r="S691" t="str">
        <f t="shared" si="54"/>
        <v>Mid (11-20%)</v>
      </c>
    </row>
    <row r="692" spans="1:19" x14ac:dyDescent="0.3">
      <c r="A692" s="3" t="s">
        <v>772</v>
      </c>
      <c r="B692" s="2">
        <v>45597</v>
      </c>
      <c r="C692" s="3" t="s">
        <v>70</v>
      </c>
      <c r="D692" s="3" t="s">
        <v>89</v>
      </c>
      <c r="E692" s="3" t="s">
        <v>97</v>
      </c>
      <c r="F692" s="3" t="s">
        <v>62</v>
      </c>
      <c r="G692" s="3" t="s">
        <v>103</v>
      </c>
      <c r="H692" s="3" t="s">
        <v>104</v>
      </c>
      <c r="I692" s="5">
        <v>1723.04</v>
      </c>
      <c r="J692" s="4">
        <v>4</v>
      </c>
      <c r="K692" s="1">
        <v>9</v>
      </c>
      <c r="L692" s="4">
        <v>363.38</v>
      </c>
      <c r="M692" s="3" t="s">
        <v>51</v>
      </c>
      <c r="N692" s="3" t="s">
        <v>22</v>
      </c>
      <c r="O692" s="2" t="str">
        <f t="shared" si="50"/>
        <v>11-2024</v>
      </c>
      <c r="P692" t="str">
        <f t="shared" si="51"/>
        <v>2024</v>
      </c>
      <c r="Q692" s="6">
        <f t="shared" si="52"/>
        <v>0.21089469774352307</v>
      </c>
      <c r="R692" t="str">
        <f t="shared" si="53"/>
        <v>Profit</v>
      </c>
      <c r="S692" t="str">
        <f t="shared" si="54"/>
        <v>Low (1-10%)</v>
      </c>
    </row>
    <row r="693" spans="1:19" x14ac:dyDescent="0.3">
      <c r="A693" s="3" t="s">
        <v>773</v>
      </c>
      <c r="B693" s="2">
        <v>45505</v>
      </c>
      <c r="C693" s="3" t="s">
        <v>50</v>
      </c>
      <c r="D693" s="3" t="s">
        <v>56</v>
      </c>
      <c r="E693" s="3" t="s">
        <v>61</v>
      </c>
      <c r="F693" s="3" t="s">
        <v>32</v>
      </c>
      <c r="G693" s="3" t="s">
        <v>47</v>
      </c>
      <c r="H693" s="3" t="s">
        <v>48</v>
      </c>
      <c r="I693" s="5">
        <v>17058.599999999999</v>
      </c>
      <c r="J693" s="4">
        <v>9</v>
      </c>
      <c r="K693" s="1">
        <v>23</v>
      </c>
      <c r="L693" s="4">
        <v>1184.94</v>
      </c>
      <c r="M693" s="3" t="s">
        <v>28</v>
      </c>
      <c r="N693" s="3" t="s">
        <v>35</v>
      </c>
      <c r="O693" s="2" t="str">
        <f t="shared" si="50"/>
        <v>08-2024</v>
      </c>
      <c r="P693" t="str">
        <f t="shared" si="51"/>
        <v>2024</v>
      </c>
      <c r="Q693" s="6">
        <f t="shared" si="52"/>
        <v>6.946291020365096E-2</v>
      </c>
      <c r="R693" t="str">
        <f t="shared" si="53"/>
        <v>Profit</v>
      </c>
      <c r="S693" t="str">
        <f t="shared" si="54"/>
        <v>High (&gt;20%)</v>
      </c>
    </row>
    <row r="694" spans="1:19" x14ac:dyDescent="0.3">
      <c r="A694" s="3" t="s">
        <v>774</v>
      </c>
      <c r="B694" s="2">
        <v>45446</v>
      </c>
      <c r="C694" s="3" t="s">
        <v>30</v>
      </c>
      <c r="D694" s="3" t="s">
        <v>16</v>
      </c>
      <c r="E694" s="3" t="s">
        <v>31</v>
      </c>
      <c r="F694" s="3" t="s">
        <v>62</v>
      </c>
      <c r="G694" s="3" t="s">
        <v>63</v>
      </c>
      <c r="H694" s="3" t="s">
        <v>64</v>
      </c>
      <c r="I694" s="5">
        <v>11789.61</v>
      </c>
      <c r="J694" s="4">
        <v>7</v>
      </c>
      <c r="K694" s="1">
        <v>18</v>
      </c>
      <c r="L694" s="4">
        <v>876.45</v>
      </c>
      <c r="M694" s="3" t="s">
        <v>28</v>
      </c>
      <c r="N694" s="3" t="s">
        <v>40</v>
      </c>
      <c r="O694" s="2" t="str">
        <f t="shared" si="50"/>
        <v>06-2024</v>
      </c>
      <c r="P694" t="str">
        <f t="shared" si="51"/>
        <v>2024</v>
      </c>
      <c r="Q694" s="6">
        <f t="shared" si="52"/>
        <v>7.4340881504986175E-2</v>
      </c>
      <c r="R694" t="str">
        <f t="shared" si="53"/>
        <v>Profit</v>
      </c>
      <c r="S694" t="str">
        <f t="shared" si="54"/>
        <v>Mid (11-20%)</v>
      </c>
    </row>
    <row r="695" spans="1:19" x14ac:dyDescent="0.3">
      <c r="A695" s="3" t="s">
        <v>775</v>
      </c>
      <c r="B695" s="2">
        <v>45677</v>
      </c>
      <c r="C695" s="3" t="s">
        <v>50</v>
      </c>
      <c r="D695" s="3" t="s">
        <v>56</v>
      </c>
      <c r="E695" s="3" t="s">
        <v>61</v>
      </c>
      <c r="F695" s="3" t="s">
        <v>32</v>
      </c>
      <c r="G695" s="3" t="s">
        <v>33</v>
      </c>
      <c r="H695" s="3" t="s">
        <v>34</v>
      </c>
      <c r="I695" s="5">
        <v>5344.32</v>
      </c>
      <c r="J695" s="4">
        <v>3</v>
      </c>
      <c r="K695" s="1">
        <v>12</v>
      </c>
      <c r="L695" s="4">
        <v>659.67</v>
      </c>
      <c r="M695" s="3" t="s">
        <v>51</v>
      </c>
      <c r="N695" s="3" t="s">
        <v>35</v>
      </c>
      <c r="O695" s="2" t="str">
        <f t="shared" si="50"/>
        <v>01-2025</v>
      </c>
      <c r="P695" t="str">
        <f t="shared" si="51"/>
        <v>2025</v>
      </c>
      <c r="Q695" s="6">
        <f t="shared" si="52"/>
        <v>0.12343385126639124</v>
      </c>
      <c r="R695" t="str">
        <f t="shared" si="53"/>
        <v>Profit</v>
      </c>
      <c r="S695" t="str">
        <f t="shared" si="54"/>
        <v>Mid (11-20%)</v>
      </c>
    </row>
    <row r="696" spans="1:19" x14ac:dyDescent="0.3">
      <c r="A696" s="3" t="s">
        <v>776</v>
      </c>
      <c r="B696" s="2">
        <v>45653</v>
      </c>
      <c r="C696" s="3" t="s">
        <v>70</v>
      </c>
      <c r="D696" s="3" t="s">
        <v>16</v>
      </c>
      <c r="E696" s="3" t="s">
        <v>31</v>
      </c>
      <c r="F696" s="3" t="s">
        <v>32</v>
      </c>
      <c r="G696" s="3" t="s">
        <v>58</v>
      </c>
      <c r="H696" s="3" t="s">
        <v>59</v>
      </c>
      <c r="I696" s="5">
        <v>605.1</v>
      </c>
      <c r="J696" s="4">
        <v>5</v>
      </c>
      <c r="K696" s="1">
        <v>21</v>
      </c>
      <c r="L696" s="4">
        <v>55.69</v>
      </c>
      <c r="M696" s="3" t="s">
        <v>51</v>
      </c>
      <c r="N696" s="3" t="s">
        <v>44</v>
      </c>
      <c r="O696" s="2" t="str">
        <f t="shared" si="50"/>
        <v>12-2024</v>
      </c>
      <c r="P696" t="str">
        <f t="shared" si="51"/>
        <v>2024</v>
      </c>
      <c r="Q696" s="6">
        <f t="shared" si="52"/>
        <v>9.2034374483556433E-2</v>
      </c>
      <c r="R696" t="str">
        <f t="shared" si="53"/>
        <v>Profit</v>
      </c>
      <c r="S696" t="str">
        <f t="shared" si="54"/>
        <v>High (&gt;20%)</v>
      </c>
    </row>
    <row r="697" spans="1:19" x14ac:dyDescent="0.3">
      <c r="A697" s="3" t="s">
        <v>777</v>
      </c>
      <c r="B697" s="2">
        <v>45755</v>
      </c>
      <c r="C697" s="3" t="s">
        <v>133</v>
      </c>
      <c r="D697" s="3" t="s">
        <v>38</v>
      </c>
      <c r="E697" s="3" t="s">
        <v>71</v>
      </c>
      <c r="F697" s="3" t="s">
        <v>62</v>
      </c>
      <c r="G697" s="3" t="s">
        <v>103</v>
      </c>
      <c r="H697" s="3" t="s">
        <v>104</v>
      </c>
      <c r="I697" s="5">
        <v>6667.57</v>
      </c>
      <c r="J697" s="4">
        <v>7</v>
      </c>
      <c r="K697" s="1">
        <v>8</v>
      </c>
      <c r="L697" s="4">
        <v>989.97</v>
      </c>
      <c r="M697" s="3" t="s">
        <v>21</v>
      </c>
      <c r="N697" s="3" t="s">
        <v>22</v>
      </c>
      <c r="O697" s="2" t="str">
        <f t="shared" si="50"/>
        <v>04-2025</v>
      </c>
      <c r="P697" t="str">
        <f t="shared" si="51"/>
        <v>2025</v>
      </c>
      <c r="Q697" s="6">
        <f t="shared" si="52"/>
        <v>0.14847538158579512</v>
      </c>
      <c r="R697" t="str">
        <f t="shared" si="53"/>
        <v>Profit</v>
      </c>
      <c r="S697" t="str">
        <f t="shared" si="54"/>
        <v>Low (1-10%)</v>
      </c>
    </row>
    <row r="698" spans="1:19" x14ac:dyDescent="0.3">
      <c r="A698" s="3" t="s">
        <v>778</v>
      </c>
      <c r="B698" s="2">
        <v>45713</v>
      </c>
      <c r="C698" s="3" t="s">
        <v>24</v>
      </c>
      <c r="D698" s="3" t="s">
        <v>56</v>
      </c>
      <c r="E698" s="3" t="s">
        <v>108</v>
      </c>
      <c r="F698" s="3" t="s">
        <v>18</v>
      </c>
      <c r="G698" s="3" t="s">
        <v>19</v>
      </c>
      <c r="H698" s="3" t="s">
        <v>20</v>
      </c>
      <c r="I698" s="5">
        <v>5276.11</v>
      </c>
      <c r="J698" s="4">
        <v>7</v>
      </c>
      <c r="K698" s="1">
        <v>10</v>
      </c>
      <c r="L698" s="4">
        <v>675.83</v>
      </c>
      <c r="M698" s="3" t="s">
        <v>28</v>
      </c>
      <c r="N698" s="3" t="s">
        <v>22</v>
      </c>
      <c r="O698" s="2" t="str">
        <f t="shared" si="50"/>
        <v>02-2025</v>
      </c>
      <c r="P698" t="str">
        <f t="shared" si="51"/>
        <v>2025</v>
      </c>
      <c r="Q698" s="6">
        <f t="shared" si="52"/>
        <v>0.12809247722280243</v>
      </c>
      <c r="R698" t="str">
        <f t="shared" si="53"/>
        <v>Profit</v>
      </c>
      <c r="S698" t="str">
        <f t="shared" si="54"/>
        <v>Low (1-10%)</v>
      </c>
    </row>
    <row r="699" spans="1:19" x14ac:dyDescent="0.3">
      <c r="A699" s="3" t="s">
        <v>779</v>
      </c>
      <c r="B699" s="2">
        <v>45510</v>
      </c>
      <c r="C699" s="3" t="s">
        <v>15</v>
      </c>
      <c r="D699" s="3" t="s">
        <v>56</v>
      </c>
      <c r="E699" s="3" t="s">
        <v>108</v>
      </c>
      <c r="F699" s="3" t="s">
        <v>18</v>
      </c>
      <c r="G699" s="3" t="s">
        <v>76</v>
      </c>
      <c r="H699" s="3" t="s">
        <v>77</v>
      </c>
      <c r="I699" s="5">
        <v>9638.65</v>
      </c>
      <c r="J699" s="4">
        <v>7</v>
      </c>
      <c r="K699" s="1">
        <v>21</v>
      </c>
      <c r="L699" s="4">
        <v>1586.64</v>
      </c>
      <c r="M699" s="3" t="s">
        <v>21</v>
      </c>
      <c r="N699" s="3" t="s">
        <v>44</v>
      </c>
      <c r="O699" s="2" t="str">
        <f t="shared" si="50"/>
        <v>08-2024</v>
      </c>
      <c r="P699" t="str">
        <f t="shared" si="51"/>
        <v>2024</v>
      </c>
      <c r="Q699" s="6">
        <f t="shared" si="52"/>
        <v>0.16461226416562488</v>
      </c>
      <c r="R699" t="str">
        <f t="shared" si="53"/>
        <v>Profit</v>
      </c>
      <c r="S699" t="str">
        <f t="shared" si="54"/>
        <v>High (&gt;20%)</v>
      </c>
    </row>
    <row r="700" spans="1:19" x14ac:dyDescent="0.3">
      <c r="A700" s="3" t="s">
        <v>780</v>
      </c>
      <c r="B700" s="2">
        <v>45752</v>
      </c>
      <c r="C700" s="3" t="s">
        <v>50</v>
      </c>
      <c r="D700" s="3" t="s">
        <v>38</v>
      </c>
      <c r="E700" s="3" t="s">
        <v>53</v>
      </c>
      <c r="F700" s="3" t="s">
        <v>32</v>
      </c>
      <c r="G700" s="3" t="s">
        <v>47</v>
      </c>
      <c r="H700" s="3" t="s">
        <v>48</v>
      </c>
      <c r="I700" s="5">
        <v>6034.68</v>
      </c>
      <c r="J700" s="4">
        <v>6</v>
      </c>
      <c r="K700" s="1">
        <v>17</v>
      </c>
      <c r="L700" s="4">
        <v>946.33</v>
      </c>
      <c r="M700" s="3" t="s">
        <v>28</v>
      </c>
      <c r="N700" s="3" t="s">
        <v>22</v>
      </c>
      <c r="O700" s="2" t="str">
        <f t="shared" si="50"/>
        <v>04-2025</v>
      </c>
      <c r="P700" t="str">
        <f t="shared" si="51"/>
        <v>2025</v>
      </c>
      <c r="Q700" s="6">
        <f t="shared" si="52"/>
        <v>0.15681527438074597</v>
      </c>
      <c r="R700" t="str">
        <f t="shared" si="53"/>
        <v>Profit</v>
      </c>
      <c r="S700" t="str">
        <f t="shared" si="54"/>
        <v>Mid (11-20%)</v>
      </c>
    </row>
    <row r="701" spans="1:19" x14ac:dyDescent="0.3">
      <c r="A701" s="3" t="s">
        <v>781</v>
      </c>
      <c r="B701" s="2">
        <v>45691</v>
      </c>
      <c r="C701" s="3" t="s">
        <v>24</v>
      </c>
      <c r="D701" s="3" t="s">
        <v>38</v>
      </c>
      <c r="E701" s="3" t="s">
        <v>53</v>
      </c>
      <c r="F701" s="3" t="s">
        <v>18</v>
      </c>
      <c r="G701" s="3" t="s">
        <v>26</v>
      </c>
      <c r="H701" s="3" t="s">
        <v>27</v>
      </c>
      <c r="I701" s="5">
        <v>2456.86</v>
      </c>
      <c r="J701" s="4">
        <v>7</v>
      </c>
      <c r="K701" s="1">
        <v>1</v>
      </c>
      <c r="L701" s="4">
        <v>226.08</v>
      </c>
      <c r="M701" s="3" t="s">
        <v>21</v>
      </c>
      <c r="N701" s="3" t="s">
        <v>22</v>
      </c>
      <c r="O701" s="2" t="str">
        <f t="shared" si="50"/>
        <v>02-2025</v>
      </c>
      <c r="P701" t="str">
        <f t="shared" si="51"/>
        <v>2025</v>
      </c>
      <c r="Q701" s="6">
        <f t="shared" si="52"/>
        <v>9.2019895313530276E-2</v>
      </c>
      <c r="R701" t="str">
        <f t="shared" si="53"/>
        <v>Profit</v>
      </c>
      <c r="S701" t="str">
        <f t="shared" si="54"/>
        <v>Low (1-10%)</v>
      </c>
    </row>
    <row r="702" spans="1:19" x14ac:dyDescent="0.3">
      <c r="A702" s="3" t="s">
        <v>782</v>
      </c>
      <c r="B702" s="2">
        <v>45551</v>
      </c>
      <c r="C702" s="3" t="s">
        <v>99</v>
      </c>
      <c r="D702" s="3" t="s">
        <v>89</v>
      </c>
      <c r="E702" s="3" t="s">
        <v>102</v>
      </c>
      <c r="F702" s="3" t="s">
        <v>18</v>
      </c>
      <c r="G702" s="3" t="s">
        <v>26</v>
      </c>
      <c r="H702" s="3" t="s">
        <v>27</v>
      </c>
      <c r="I702" s="5">
        <v>8436.33</v>
      </c>
      <c r="J702" s="4">
        <v>7</v>
      </c>
      <c r="K702" s="1">
        <v>5</v>
      </c>
      <c r="L702" s="4">
        <v>1680.98</v>
      </c>
      <c r="M702" s="3" t="s">
        <v>28</v>
      </c>
      <c r="N702" s="3" t="s">
        <v>35</v>
      </c>
      <c r="O702" s="2" t="str">
        <f t="shared" si="50"/>
        <v>09-2024</v>
      </c>
      <c r="P702" t="str">
        <f t="shared" si="51"/>
        <v>2024</v>
      </c>
      <c r="Q702" s="6">
        <f t="shared" si="52"/>
        <v>0.19925488927057144</v>
      </c>
      <c r="R702" t="str">
        <f t="shared" si="53"/>
        <v>Profit</v>
      </c>
      <c r="S702" t="str">
        <f t="shared" si="54"/>
        <v>Low (1-10%)</v>
      </c>
    </row>
    <row r="703" spans="1:19" x14ac:dyDescent="0.3">
      <c r="A703" s="3" t="s">
        <v>783</v>
      </c>
      <c r="B703" s="2">
        <v>45440</v>
      </c>
      <c r="C703" s="3" t="s">
        <v>73</v>
      </c>
      <c r="D703" s="3" t="s">
        <v>16</v>
      </c>
      <c r="E703" s="3" t="s">
        <v>17</v>
      </c>
      <c r="F703" s="3" t="s">
        <v>62</v>
      </c>
      <c r="G703" s="3" t="s">
        <v>80</v>
      </c>
      <c r="H703" s="3" t="s">
        <v>81</v>
      </c>
      <c r="I703" s="5">
        <v>1277.92</v>
      </c>
      <c r="J703" s="4">
        <v>2</v>
      </c>
      <c r="K703" s="1">
        <v>6</v>
      </c>
      <c r="L703" s="4">
        <v>182.53</v>
      </c>
      <c r="M703" s="3" t="s">
        <v>28</v>
      </c>
      <c r="N703" s="3" t="s">
        <v>44</v>
      </c>
      <c r="O703" s="2" t="str">
        <f t="shared" si="50"/>
        <v>05-2024</v>
      </c>
      <c r="P703" t="str">
        <f t="shared" si="51"/>
        <v>2024</v>
      </c>
      <c r="Q703" s="6">
        <f t="shared" si="52"/>
        <v>0.14283366720921498</v>
      </c>
      <c r="R703" t="str">
        <f t="shared" si="53"/>
        <v>Profit</v>
      </c>
      <c r="S703" t="str">
        <f t="shared" si="54"/>
        <v>Low (1-10%)</v>
      </c>
    </row>
    <row r="704" spans="1:19" x14ac:dyDescent="0.3">
      <c r="A704" s="3" t="s">
        <v>784</v>
      </c>
      <c r="B704" s="2">
        <v>45772</v>
      </c>
      <c r="C704" s="3" t="s">
        <v>15</v>
      </c>
      <c r="D704" s="3" t="s">
        <v>89</v>
      </c>
      <c r="E704" s="3" t="s">
        <v>102</v>
      </c>
      <c r="F704" s="3" t="s">
        <v>18</v>
      </c>
      <c r="G704" s="3" t="s">
        <v>94</v>
      </c>
      <c r="H704" s="3" t="s">
        <v>95</v>
      </c>
      <c r="I704" s="5">
        <v>6384.69</v>
      </c>
      <c r="J704" s="4">
        <v>9</v>
      </c>
      <c r="K704" s="1">
        <v>21</v>
      </c>
      <c r="L704" s="4">
        <v>305.61</v>
      </c>
      <c r="M704" s="3" t="s">
        <v>21</v>
      </c>
      <c r="N704" s="3" t="s">
        <v>40</v>
      </c>
      <c r="O704" s="2" t="str">
        <f t="shared" si="50"/>
        <v>04-2025</v>
      </c>
      <c r="P704" t="str">
        <f t="shared" si="51"/>
        <v>2025</v>
      </c>
      <c r="Q704" s="6">
        <f t="shared" si="52"/>
        <v>4.7866067107408511E-2</v>
      </c>
      <c r="R704" t="str">
        <f t="shared" si="53"/>
        <v>Profit</v>
      </c>
      <c r="S704" t="str">
        <f t="shared" si="54"/>
        <v>High (&gt;20%)</v>
      </c>
    </row>
    <row r="705" spans="1:19" x14ac:dyDescent="0.3">
      <c r="A705" s="3" t="s">
        <v>785</v>
      </c>
      <c r="B705" s="2">
        <v>45521</v>
      </c>
      <c r="C705" s="3" t="s">
        <v>73</v>
      </c>
      <c r="D705" s="3" t="s">
        <v>16</v>
      </c>
      <c r="E705" s="3" t="s">
        <v>31</v>
      </c>
      <c r="F705" s="3" t="s">
        <v>62</v>
      </c>
      <c r="G705" s="3" t="s">
        <v>103</v>
      </c>
      <c r="H705" s="3" t="s">
        <v>104</v>
      </c>
      <c r="I705" s="5">
        <v>2963.08</v>
      </c>
      <c r="J705" s="4">
        <v>2</v>
      </c>
      <c r="K705" s="1">
        <v>6</v>
      </c>
      <c r="L705" s="4">
        <v>690.45</v>
      </c>
      <c r="M705" s="3" t="s">
        <v>21</v>
      </c>
      <c r="N705" s="3" t="s">
        <v>40</v>
      </c>
      <c r="O705" s="2" t="str">
        <f t="shared" si="50"/>
        <v>08-2024</v>
      </c>
      <c r="P705" t="str">
        <f t="shared" si="51"/>
        <v>2024</v>
      </c>
      <c r="Q705" s="6">
        <f t="shared" si="52"/>
        <v>0.23301767080200333</v>
      </c>
      <c r="R705" t="str">
        <f t="shared" si="53"/>
        <v>Profit</v>
      </c>
      <c r="S705" t="str">
        <f t="shared" si="54"/>
        <v>Low (1-10%)</v>
      </c>
    </row>
    <row r="706" spans="1:19" x14ac:dyDescent="0.3">
      <c r="A706" s="3" t="s">
        <v>786</v>
      </c>
      <c r="B706" s="2">
        <v>45699</v>
      </c>
      <c r="C706" s="3" t="s">
        <v>37</v>
      </c>
      <c r="D706" s="3" t="s">
        <v>38</v>
      </c>
      <c r="E706" s="3" t="s">
        <v>53</v>
      </c>
      <c r="F706" s="3" t="s">
        <v>32</v>
      </c>
      <c r="G706" s="3" t="s">
        <v>47</v>
      </c>
      <c r="H706" s="3" t="s">
        <v>48</v>
      </c>
      <c r="I706" s="5">
        <v>7077.76</v>
      </c>
      <c r="J706" s="4">
        <v>8</v>
      </c>
      <c r="K706" s="1">
        <v>28</v>
      </c>
      <c r="L706" s="4">
        <v>794.85</v>
      </c>
      <c r="M706" s="3" t="s">
        <v>21</v>
      </c>
      <c r="N706" s="3" t="s">
        <v>40</v>
      </c>
      <c r="O706" s="2" t="str">
        <f t="shared" ref="O706:O769" si="55" xml:space="preserve"> TEXT(B706,"MM-YYYY")</f>
        <v>02-2025</v>
      </c>
      <c r="P706" t="str">
        <f t="shared" ref="P706:P769" si="56">TEXT(B706,"YYYY")</f>
        <v>2025</v>
      </c>
      <c r="Q706" s="6">
        <f t="shared" ref="Q706:Q769" si="57">IFERROR(L706/I706,0)</f>
        <v>0.1123024798806402</v>
      </c>
      <c r="R706" t="str">
        <f t="shared" ref="R706:R769" si="58">IF(L706&gt;0,"Profit","Loss")</f>
        <v>Profit</v>
      </c>
      <c r="S706" t="str">
        <f t="shared" ref="S706:S769" si="59">IF(K706=0,"No Discount",IF(K706&lt;=10,"Low (1-10%)",IF(K706&lt;=20,"Mid (11-20%)","High (&gt;20%)")))</f>
        <v>High (&gt;20%)</v>
      </c>
    </row>
    <row r="707" spans="1:19" x14ac:dyDescent="0.3">
      <c r="A707" s="3" t="s">
        <v>787</v>
      </c>
      <c r="B707" s="2">
        <v>45668</v>
      </c>
      <c r="C707" s="3" t="s">
        <v>66</v>
      </c>
      <c r="D707" s="3" t="s">
        <v>56</v>
      </c>
      <c r="E707" s="3" t="s">
        <v>57</v>
      </c>
      <c r="F707" s="3" t="s">
        <v>62</v>
      </c>
      <c r="G707" s="3" t="s">
        <v>103</v>
      </c>
      <c r="H707" s="3" t="s">
        <v>104</v>
      </c>
      <c r="I707" s="5">
        <v>1605.16</v>
      </c>
      <c r="J707" s="4">
        <v>1</v>
      </c>
      <c r="K707" s="1">
        <v>19</v>
      </c>
      <c r="L707" s="4">
        <v>300.94</v>
      </c>
      <c r="M707" s="3" t="s">
        <v>28</v>
      </c>
      <c r="N707" s="3" t="s">
        <v>35</v>
      </c>
      <c r="O707" s="2" t="str">
        <f t="shared" si="55"/>
        <v>01-2025</v>
      </c>
      <c r="P707" t="str">
        <f t="shared" si="56"/>
        <v>2025</v>
      </c>
      <c r="Q707" s="6">
        <f t="shared" si="57"/>
        <v>0.18748286775150139</v>
      </c>
      <c r="R707" t="str">
        <f t="shared" si="58"/>
        <v>Profit</v>
      </c>
      <c r="S707" t="str">
        <f t="shared" si="59"/>
        <v>Mid (11-20%)</v>
      </c>
    </row>
    <row r="708" spans="1:19" x14ac:dyDescent="0.3">
      <c r="A708" s="3" t="s">
        <v>788</v>
      </c>
      <c r="B708" s="2">
        <v>45782</v>
      </c>
      <c r="C708" s="3" t="s">
        <v>133</v>
      </c>
      <c r="D708" s="3" t="s">
        <v>89</v>
      </c>
      <c r="E708" s="3" t="s">
        <v>116</v>
      </c>
      <c r="F708" s="3" t="s">
        <v>18</v>
      </c>
      <c r="G708" s="3" t="s">
        <v>94</v>
      </c>
      <c r="H708" s="3" t="s">
        <v>95</v>
      </c>
      <c r="I708" s="5">
        <v>2792.44</v>
      </c>
      <c r="J708" s="4">
        <v>2</v>
      </c>
      <c r="K708" s="1">
        <v>12</v>
      </c>
      <c r="L708" s="4">
        <v>500.35</v>
      </c>
      <c r="M708" s="3" t="s">
        <v>21</v>
      </c>
      <c r="N708" s="3" t="s">
        <v>40</v>
      </c>
      <c r="O708" s="2" t="str">
        <f t="shared" si="55"/>
        <v>05-2025</v>
      </c>
      <c r="P708" t="str">
        <f t="shared" si="56"/>
        <v>2025</v>
      </c>
      <c r="Q708" s="6">
        <f t="shared" si="57"/>
        <v>0.17918021515233989</v>
      </c>
      <c r="R708" t="str">
        <f t="shared" si="58"/>
        <v>Profit</v>
      </c>
      <c r="S708" t="str">
        <f t="shared" si="59"/>
        <v>Mid (11-20%)</v>
      </c>
    </row>
    <row r="709" spans="1:19" x14ac:dyDescent="0.3">
      <c r="A709" s="3" t="s">
        <v>789</v>
      </c>
      <c r="B709" s="2">
        <v>45574</v>
      </c>
      <c r="C709" s="3" t="s">
        <v>133</v>
      </c>
      <c r="D709" s="3" t="s">
        <v>38</v>
      </c>
      <c r="E709" s="3" t="s">
        <v>71</v>
      </c>
      <c r="F709" s="3" t="s">
        <v>18</v>
      </c>
      <c r="G709" s="3" t="s">
        <v>76</v>
      </c>
      <c r="H709" s="3" t="s">
        <v>77</v>
      </c>
      <c r="I709" s="5">
        <v>9324.4</v>
      </c>
      <c r="J709" s="4">
        <v>10</v>
      </c>
      <c r="K709" s="1">
        <v>6</v>
      </c>
      <c r="L709" s="4">
        <v>1754.87</v>
      </c>
      <c r="M709" s="3" t="s">
        <v>28</v>
      </c>
      <c r="N709" s="3" t="s">
        <v>40</v>
      </c>
      <c r="O709" s="2" t="str">
        <f t="shared" si="55"/>
        <v>10-2024</v>
      </c>
      <c r="P709" t="str">
        <f t="shared" si="56"/>
        <v>2024</v>
      </c>
      <c r="Q709" s="6">
        <f t="shared" si="57"/>
        <v>0.18820192183947493</v>
      </c>
      <c r="R709" t="str">
        <f t="shared" si="58"/>
        <v>Profit</v>
      </c>
      <c r="S709" t="str">
        <f t="shared" si="59"/>
        <v>Low (1-10%)</v>
      </c>
    </row>
    <row r="710" spans="1:19" x14ac:dyDescent="0.3">
      <c r="A710" s="3" t="s">
        <v>790</v>
      </c>
      <c r="B710" s="2">
        <v>45753</v>
      </c>
      <c r="C710" s="3" t="s">
        <v>75</v>
      </c>
      <c r="D710" s="3" t="s">
        <v>56</v>
      </c>
      <c r="E710" s="3" t="s">
        <v>61</v>
      </c>
      <c r="F710" s="3" t="s">
        <v>32</v>
      </c>
      <c r="G710" s="3" t="s">
        <v>33</v>
      </c>
      <c r="H710" s="3" t="s">
        <v>34</v>
      </c>
      <c r="I710" s="5">
        <v>6054.3</v>
      </c>
      <c r="J710" s="4">
        <v>5</v>
      </c>
      <c r="K710" s="1">
        <v>11</v>
      </c>
      <c r="L710" s="4">
        <v>502.63</v>
      </c>
      <c r="M710" s="3" t="s">
        <v>21</v>
      </c>
      <c r="N710" s="3" t="s">
        <v>22</v>
      </c>
      <c r="O710" s="2" t="str">
        <f t="shared" si="55"/>
        <v>04-2025</v>
      </c>
      <c r="P710" t="str">
        <f t="shared" si="56"/>
        <v>2025</v>
      </c>
      <c r="Q710" s="6">
        <f t="shared" si="57"/>
        <v>8.3020332656128695E-2</v>
      </c>
      <c r="R710" t="str">
        <f t="shared" si="58"/>
        <v>Profit</v>
      </c>
      <c r="S710" t="str">
        <f t="shared" si="59"/>
        <v>Mid (11-20%)</v>
      </c>
    </row>
    <row r="711" spans="1:19" x14ac:dyDescent="0.3">
      <c r="A711" s="3" t="s">
        <v>791</v>
      </c>
      <c r="B711" s="2">
        <v>45737</v>
      </c>
      <c r="C711" s="3" t="s">
        <v>50</v>
      </c>
      <c r="D711" s="3" t="s">
        <v>56</v>
      </c>
      <c r="E711" s="3" t="s">
        <v>108</v>
      </c>
      <c r="F711" s="3" t="s">
        <v>18</v>
      </c>
      <c r="G711" s="3" t="s">
        <v>19</v>
      </c>
      <c r="H711" s="3" t="s">
        <v>20</v>
      </c>
      <c r="I711" s="5">
        <v>14239.04</v>
      </c>
      <c r="J711" s="4">
        <v>8</v>
      </c>
      <c r="K711" s="1">
        <v>24</v>
      </c>
      <c r="L711" s="4">
        <v>552.21</v>
      </c>
      <c r="M711" s="3" t="s">
        <v>21</v>
      </c>
      <c r="N711" s="3" t="s">
        <v>44</v>
      </c>
      <c r="O711" s="2" t="str">
        <f t="shared" si="55"/>
        <v>03-2025</v>
      </c>
      <c r="P711" t="str">
        <f t="shared" si="56"/>
        <v>2025</v>
      </c>
      <c r="Q711" s="6">
        <f t="shared" si="57"/>
        <v>3.8781406611681689E-2</v>
      </c>
      <c r="R711" t="str">
        <f t="shared" si="58"/>
        <v>Profit</v>
      </c>
      <c r="S711" t="str">
        <f t="shared" si="59"/>
        <v>High (&gt;20%)</v>
      </c>
    </row>
    <row r="712" spans="1:19" x14ac:dyDescent="0.3">
      <c r="A712" s="3" t="s">
        <v>792</v>
      </c>
      <c r="B712" s="2">
        <v>45742</v>
      </c>
      <c r="C712" s="3" t="s">
        <v>73</v>
      </c>
      <c r="D712" s="3" t="s">
        <v>56</v>
      </c>
      <c r="E712" s="3" t="s">
        <v>57</v>
      </c>
      <c r="F712" s="3" t="s">
        <v>18</v>
      </c>
      <c r="G712" s="3" t="s">
        <v>76</v>
      </c>
      <c r="H712" s="3" t="s">
        <v>77</v>
      </c>
      <c r="I712" s="5">
        <v>19512.599999999999</v>
      </c>
      <c r="J712" s="4">
        <v>10</v>
      </c>
      <c r="K712" s="1">
        <v>18</v>
      </c>
      <c r="L712" s="4">
        <v>1091.53</v>
      </c>
      <c r="M712" s="3" t="s">
        <v>28</v>
      </c>
      <c r="N712" s="3" t="s">
        <v>40</v>
      </c>
      <c r="O712" s="2" t="str">
        <f t="shared" si="55"/>
        <v>03-2025</v>
      </c>
      <c r="P712" t="str">
        <f t="shared" si="56"/>
        <v>2025</v>
      </c>
      <c r="Q712" s="6">
        <f t="shared" si="57"/>
        <v>5.5939751750151187E-2</v>
      </c>
      <c r="R712" t="str">
        <f t="shared" si="58"/>
        <v>Profit</v>
      </c>
      <c r="S712" t="str">
        <f t="shared" si="59"/>
        <v>Mid (11-20%)</v>
      </c>
    </row>
    <row r="713" spans="1:19" x14ac:dyDescent="0.3">
      <c r="A713" s="3" t="s">
        <v>793</v>
      </c>
      <c r="B713" s="2">
        <v>45659</v>
      </c>
      <c r="C713" s="3" t="s">
        <v>24</v>
      </c>
      <c r="D713" s="3" t="s">
        <v>38</v>
      </c>
      <c r="E713" s="3" t="s">
        <v>53</v>
      </c>
      <c r="F713" s="3" t="s">
        <v>62</v>
      </c>
      <c r="G713" s="3" t="s">
        <v>63</v>
      </c>
      <c r="H713" s="3" t="s">
        <v>64</v>
      </c>
      <c r="I713" s="5">
        <v>7368.66</v>
      </c>
      <c r="J713" s="4">
        <v>6</v>
      </c>
      <c r="K713" s="1">
        <v>28</v>
      </c>
      <c r="L713" s="4">
        <v>983.75</v>
      </c>
      <c r="M713" s="3" t="s">
        <v>28</v>
      </c>
      <c r="N713" s="3" t="s">
        <v>22</v>
      </c>
      <c r="O713" s="2" t="str">
        <f t="shared" si="55"/>
        <v>01-2025</v>
      </c>
      <c r="P713" t="str">
        <f t="shared" si="56"/>
        <v>2025</v>
      </c>
      <c r="Q713" s="6">
        <f t="shared" si="57"/>
        <v>0.13350459920799712</v>
      </c>
      <c r="R713" t="str">
        <f t="shared" si="58"/>
        <v>Profit</v>
      </c>
      <c r="S713" t="str">
        <f t="shared" si="59"/>
        <v>High (&gt;20%)</v>
      </c>
    </row>
    <row r="714" spans="1:19" x14ac:dyDescent="0.3">
      <c r="A714" s="3" t="s">
        <v>794</v>
      </c>
      <c r="B714" s="2">
        <v>45722</v>
      </c>
      <c r="C714" s="3" t="s">
        <v>50</v>
      </c>
      <c r="D714" s="3" t="s">
        <v>16</v>
      </c>
      <c r="E714" s="3" t="s">
        <v>25</v>
      </c>
      <c r="F714" s="3" t="s">
        <v>62</v>
      </c>
      <c r="G714" s="3" t="s">
        <v>103</v>
      </c>
      <c r="H714" s="3" t="s">
        <v>104</v>
      </c>
      <c r="I714" s="5">
        <v>7462.08</v>
      </c>
      <c r="J714" s="4">
        <v>4</v>
      </c>
      <c r="K714" s="1">
        <v>25</v>
      </c>
      <c r="L714" s="4">
        <v>805.92</v>
      </c>
      <c r="M714" s="3" t="s">
        <v>21</v>
      </c>
      <c r="N714" s="3" t="s">
        <v>40</v>
      </c>
      <c r="O714" s="2" t="str">
        <f t="shared" si="55"/>
        <v>03-2025</v>
      </c>
      <c r="P714" t="str">
        <f t="shared" si="56"/>
        <v>2025</v>
      </c>
      <c r="Q714" s="6">
        <f t="shared" si="57"/>
        <v>0.10800205840730734</v>
      </c>
      <c r="R714" t="str">
        <f t="shared" si="58"/>
        <v>Profit</v>
      </c>
      <c r="S714" t="str">
        <f t="shared" si="59"/>
        <v>High (&gt;20%)</v>
      </c>
    </row>
    <row r="715" spans="1:19" x14ac:dyDescent="0.3">
      <c r="A715" s="3" t="s">
        <v>795</v>
      </c>
      <c r="B715" s="2">
        <v>45512</v>
      </c>
      <c r="C715" s="3" t="s">
        <v>99</v>
      </c>
      <c r="D715" s="3" t="s">
        <v>16</v>
      </c>
      <c r="E715" s="3" t="s">
        <v>25</v>
      </c>
      <c r="F715" s="3" t="s">
        <v>62</v>
      </c>
      <c r="G715" s="3" t="s">
        <v>63</v>
      </c>
      <c r="H715" s="3" t="s">
        <v>64</v>
      </c>
      <c r="I715" s="5">
        <v>4548.18</v>
      </c>
      <c r="J715" s="4">
        <v>3</v>
      </c>
      <c r="K715" s="1">
        <v>16</v>
      </c>
      <c r="L715" s="4">
        <v>399.48</v>
      </c>
      <c r="M715" s="3" t="s">
        <v>21</v>
      </c>
      <c r="N715" s="3" t="s">
        <v>40</v>
      </c>
      <c r="O715" s="2" t="str">
        <f t="shared" si="55"/>
        <v>08-2024</v>
      </c>
      <c r="P715" t="str">
        <f t="shared" si="56"/>
        <v>2024</v>
      </c>
      <c r="Q715" s="6">
        <f t="shared" si="57"/>
        <v>8.7832935371950971E-2</v>
      </c>
      <c r="R715" t="str">
        <f t="shared" si="58"/>
        <v>Profit</v>
      </c>
      <c r="S715" t="str">
        <f t="shared" si="59"/>
        <v>Mid (11-20%)</v>
      </c>
    </row>
    <row r="716" spans="1:19" x14ac:dyDescent="0.3">
      <c r="A716" s="3" t="s">
        <v>796</v>
      </c>
      <c r="B716" s="2">
        <v>45720</v>
      </c>
      <c r="C716" s="3" t="s">
        <v>37</v>
      </c>
      <c r="D716" s="3" t="s">
        <v>38</v>
      </c>
      <c r="E716" s="3" t="s">
        <v>43</v>
      </c>
      <c r="F716" s="3" t="s">
        <v>18</v>
      </c>
      <c r="G716" s="3" t="s">
        <v>94</v>
      </c>
      <c r="H716" s="3" t="s">
        <v>95</v>
      </c>
      <c r="I716" s="5">
        <v>1063.07</v>
      </c>
      <c r="J716" s="4">
        <v>1</v>
      </c>
      <c r="K716" s="1">
        <v>26</v>
      </c>
      <c r="L716" s="4">
        <v>111.51</v>
      </c>
      <c r="M716" s="3" t="s">
        <v>21</v>
      </c>
      <c r="N716" s="3" t="s">
        <v>40</v>
      </c>
      <c r="O716" s="2" t="str">
        <f t="shared" si="55"/>
        <v>03-2025</v>
      </c>
      <c r="P716" t="str">
        <f t="shared" si="56"/>
        <v>2025</v>
      </c>
      <c r="Q716" s="6">
        <f t="shared" si="57"/>
        <v>0.1048943155201445</v>
      </c>
      <c r="R716" t="str">
        <f t="shared" si="58"/>
        <v>Profit</v>
      </c>
      <c r="S716" t="str">
        <f t="shared" si="59"/>
        <v>High (&gt;20%)</v>
      </c>
    </row>
    <row r="717" spans="1:19" x14ac:dyDescent="0.3">
      <c r="A717" s="3" t="s">
        <v>797</v>
      </c>
      <c r="B717" s="2">
        <v>45683</v>
      </c>
      <c r="C717" s="3" t="s">
        <v>101</v>
      </c>
      <c r="D717" s="3" t="s">
        <v>56</v>
      </c>
      <c r="E717" s="3" t="s">
        <v>61</v>
      </c>
      <c r="F717" s="3" t="s">
        <v>18</v>
      </c>
      <c r="G717" s="3" t="s">
        <v>26</v>
      </c>
      <c r="H717" s="3" t="s">
        <v>27</v>
      </c>
      <c r="I717" s="5">
        <v>3950.3</v>
      </c>
      <c r="J717" s="4">
        <v>10</v>
      </c>
      <c r="K717" s="1">
        <v>11</v>
      </c>
      <c r="L717" s="4">
        <v>200.27</v>
      </c>
      <c r="M717" s="3" t="s">
        <v>51</v>
      </c>
      <c r="N717" s="3" t="s">
        <v>22</v>
      </c>
      <c r="O717" s="2" t="str">
        <f t="shared" si="55"/>
        <v>01-2025</v>
      </c>
      <c r="P717" t="str">
        <f t="shared" si="56"/>
        <v>2025</v>
      </c>
      <c r="Q717" s="6">
        <f t="shared" si="57"/>
        <v>5.06974153861732E-2</v>
      </c>
      <c r="R717" t="str">
        <f t="shared" si="58"/>
        <v>Profit</v>
      </c>
      <c r="S717" t="str">
        <f t="shared" si="59"/>
        <v>Mid (11-20%)</v>
      </c>
    </row>
    <row r="718" spans="1:19" x14ac:dyDescent="0.3">
      <c r="A718" s="3" t="s">
        <v>798</v>
      </c>
      <c r="B718" s="2">
        <v>45424</v>
      </c>
      <c r="C718" s="3" t="s">
        <v>86</v>
      </c>
      <c r="D718" s="3" t="s">
        <v>38</v>
      </c>
      <c r="E718" s="3" t="s">
        <v>43</v>
      </c>
      <c r="F718" s="3" t="s">
        <v>32</v>
      </c>
      <c r="G718" s="3" t="s">
        <v>47</v>
      </c>
      <c r="H718" s="3" t="s">
        <v>48</v>
      </c>
      <c r="I718" s="5">
        <v>14664.69</v>
      </c>
      <c r="J718" s="4">
        <v>9</v>
      </c>
      <c r="K718" s="1">
        <v>6</v>
      </c>
      <c r="L718" s="4">
        <v>1909.54</v>
      </c>
      <c r="M718" s="3" t="s">
        <v>21</v>
      </c>
      <c r="N718" s="3" t="s">
        <v>40</v>
      </c>
      <c r="O718" s="2" t="str">
        <f t="shared" si="55"/>
        <v>05-2024</v>
      </c>
      <c r="P718" t="str">
        <f t="shared" si="56"/>
        <v>2024</v>
      </c>
      <c r="Q718" s="6">
        <f t="shared" si="57"/>
        <v>0.13021345831381365</v>
      </c>
      <c r="R718" t="str">
        <f t="shared" si="58"/>
        <v>Profit</v>
      </c>
      <c r="S718" t="str">
        <f t="shared" si="59"/>
        <v>Low (1-10%)</v>
      </c>
    </row>
    <row r="719" spans="1:19" x14ac:dyDescent="0.3">
      <c r="A719" s="3" t="s">
        <v>799</v>
      </c>
      <c r="B719" s="2">
        <v>45741</v>
      </c>
      <c r="C719" s="3" t="s">
        <v>101</v>
      </c>
      <c r="D719" s="3" t="s">
        <v>89</v>
      </c>
      <c r="E719" s="3" t="s">
        <v>97</v>
      </c>
      <c r="F719" s="3" t="s">
        <v>18</v>
      </c>
      <c r="G719" s="3" t="s">
        <v>26</v>
      </c>
      <c r="H719" s="3" t="s">
        <v>27</v>
      </c>
      <c r="I719" s="5">
        <v>2766.74</v>
      </c>
      <c r="J719" s="4">
        <v>2</v>
      </c>
      <c r="K719" s="1">
        <v>13</v>
      </c>
      <c r="L719" s="4">
        <v>495.67</v>
      </c>
      <c r="M719" s="3" t="s">
        <v>51</v>
      </c>
      <c r="N719" s="3" t="s">
        <v>35</v>
      </c>
      <c r="O719" s="2" t="str">
        <f t="shared" si="55"/>
        <v>03-2025</v>
      </c>
      <c r="P719" t="str">
        <f t="shared" si="56"/>
        <v>2025</v>
      </c>
      <c r="Q719" s="6">
        <f t="shared" si="57"/>
        <v>0.17915308268937452</v>
      </c>
      <c r="R719" t="str">
        <f t="shared" si="58"/>
        <v>Profit</v>
      </c>
      <c r="S719" t="str">
        <f t="shared" si="59"/>
        <v>Mid (11-20%)</v>
      </c>
    </row>
    <row r="720" spans="1:19" x14ac:dyDescent="0.3">
      <c r="A720" s="3" t="s">
        <v>800</v>
      </c>
      <c r="B720" s="2">
        <v>45473</v>
      </c>
      <c r="C720" s="3" t="s">
        <v>24</v>
      </c>
      <c r="D720" s="3" t="s">
        <v>89</v>
      </c>
      <c r="E720" s="3" t="s">
        <v>97</v>
      </c>
      <c r="F720" s="3" t="s">
        <v>32</v>
      </c>
      <c r="G720" s="3" t="s">
        <v>33</v>
      </c>
      <c r="H720" s="3" t="s">
        <v>34</v>
      </c>
      <c r="I720" s="5">
        <v>7824.04</v>
      </c>
      <c r="J720" s="4">
        <v>7</v>
      </c>
      <c r="K720" s="1">
        <v>28</v>
      </c>
      <c r="L720" s="4">
        <v>611.62</v>
      </c>
      <c r="M720" s="3" t="s">
        <v>21</v>
      </c>
      <c r="N720" s="3" t="s">
        <v>22</v>
      </c>
      <c r="O720" s="2" t="str">
        <f t="shared" si="55"/>
        <v>06-2024</v>
      </c>
      <c r="P720" t="str">
        <f t="shared" si="56"/>
        <v>2024</v>
      </c>
      <c r="Q720" s="6">
        <f t="shared" si="57"/>
        <v>7.8171890736754929E-2</v>
      </c>
      <c r="R720" t="str">
        <f t="shared" si="58"/>
        <v>Profit</v>
      </c>
      <c r="S720" t="str">
        <f t="shared" si="59"/>
        <v>High (&gt;20%)</v>
      </c>
    </row>
    <row r="721" spans="1:19" x14ac:dyDescent="0.3">
      <c r="A721" s="3" t="s">
        <v>801</v>
      </c>
      <c r="B721" s="2">
        <v>45729</v>
      </c>
      <c r="C721" s="3" t="s">
        <v>73</v>
      </c>
      <c r="D721" s="3" t="s">
        <v>16</v>
      </c>
      <c r="E721" s="3" t="s">
        <v>31</v>
      </c>
      <c r="F721" s="3" t="s">
        <v>18</v>
      </c>
      <c r="G721" s="3" t="s">
        <v>94</v>
      </c>
      <c r="H721" s="3" t="s">
        <v>95</v>
      </c>
      <c r="I721" s="5">
        <v>5342.88</v>
      </c>
      <c r="J721" s="4">
        <v>4</v>
      </c>
      <c r="K721" s="1">
        <v>11</v>
      </c>
      <c r="L721" s="4">
        <v>1116.1400000000001</v>
      </c>
      <c r="M721" s="3" t="s">
        <v>51</v>
      </c>
      <c r="N721" s="3" t="s">
        <v>40</v>
      </c>
      <c r="O721" s="2" t="str">
        <f t="shared" si="55"/>
        <v>03-2025</v>
      </c>
      <c r="P721" t="str">
        <f t="shared" si="56"/>
        <v>2025</v>
      </c>
      <c r="Q721" s="6">
        <f t="shared" si="57"/>
        <v>0.20890231485640703</v>
      </c>
      <c r="R721" t="str">
        <f t="shared" si="58"/>
        <v>Profit</v>
      </c>
      <c r="S721" t="str">
        <f t="shared" si="59"/>
        <v>Mid (11-20%)</v>
      </c>
    </row>
    <row r="722" spans="1:19" x14ac:dyDescent="0.3">
      <c r="A722" s="3" t="s">
        <v>802</v>
      </c>
      <c r="B722" s="2">
        <v>45753</v>
      </c>
      <c r="C722" s="3" t="s">
        <v>15</v>
      </c>
      <c r="D722" s="3" t="s">
        <v>16</v>
      </c>
      <c r="E722" s="3" t="s">
        <v>25</v>
      </c>
      <c r="F722" s="3" t="s">
        <v>32</v>
      </c>
      <c r="G722" s="3" t="s">
        <v>33</v>
      </c>
      <c r="H722" s="3" t="s">
        <v>34</v>
      </c>
      <c r="I722" s="5">
        <v>3960.99</v>
      </c>
      <c r="J722" s="4">
        <v>3</v>
      </c>
      <c r="K722" s="1">
        <v>11</v>
      </c>
      <c r="L722" s="4">
        <v>296.75</v>
      </c>
      <c r="M722" s="3" t="s">
        <v>28</v>
      </c>
      <c r="N722" s="3" t="s">
        <v>44</v>
      </c>
      <c r="O722" s="2" t="str">
        <f t="shared" si="55"/>
        <v>04-2025</v>
      </c>
      <c r="P722" t="str">
        <f t="shared" si="56"/>
        <v>2025</v>
      </c>
      <c r="Q722" s="6">
        <f t="shared" si="57"/>
        <v>7.4918139152080676E-2</v>
      </c>
      <c r="R722" t="str">
        <f t="shared" si="58"/>
        <v>Profit</v>
      </c>
      <c r="S722" t="str">
        <f t="shared" si="59"/>
        <v>Mid (11-20%)</v>
      </c>
    </row>
    <row r="723" spans="1:19" x14ac:dyDescent="0.3">
      <c r="A723" s="3" t="s">
        <v>803</v>
      </c>
      <c r="B723" s="2">
        <v>45787</v>
      </c>
      <c r="C723" s="3" t="s">
        <v>84</v>
      </c>
      <c r="D723" s="3" t="s">
        <v>56</v>
      </c>
      <c r="E723" s="3" t="s">
        <v>57</v>
      </c>
      <c r="F723" s="3" t="s">
        <v>18</v>
      </c>
      <c r="G723" s="3" t="s">
        <v>76</v>
      </c>
      <c r="H723" s="3" t="s">
        <v>77</v>
      </c>
      <c r="I723" s="5">
        <v>2156.67</v>
      </c>
      <c r="J723" s="4">
        <v>3</v>
      </c>
      <c r="K723" s="1">
        <v>29</v>
      </c>
      <c r="L723" s="4">
        <v>340.33</v>
      </c>
      <c r="M723" s="3" t="s">
        <v>28</v>
      </c>
      <c r="N723" s="3" t="s">
        <v>22</v>
      </c>
      <c r="O723" s="2" t="str">
        <f t="shared" si="55"/>
        <v>05-2025</v>
      </c>
      <c r="P723" t="str">
        <f t="shared" si="56"/>
        <v>2025</v>
      </c>
      <c r="Q723" s="6">
        <f t="shared" si="57"/>
        <v>0.15780346552787397</v>
      </c>
      <c r="R723" t="str">
        <f t="shared" si="58"/>
        <v>Profit</v>
      </c>
      <c r="S723" t="str">
        <f t="shared" si="59"/>
        <v>High (&gt;20%)</v>
      </c>
    </row>
    <row r="724" spans="1:19" x14ac:dyDescent="0.3">
      <c r="A724" s="3" t="s">
        <v>804</v>
      </c>
      <c r="B724" s="2">
        <v>45731</v>
      </c>
      <c r="C724" s="3" t="s">
        <v>101</v>
      </c>
      <c r="D724" s="3" t="s">
        <v>89</v>
      </c>
      <c r="E724" s="3" t="s">
        <v>102</v>
      </c>
      <c r="F724" s="3" t="s">
        <v>18</v>
      </c>
      <c r="G724" s="3" t="s">
        <v>76</v>
      </c>
      <c r="H724" s="3" t="s">
        <v>77</v>
      </c>
      <c r="I724" s="5">
        <v>7058.6</v>
      </c>
      <c r="J724" s="4">
        <v>5</v>
      </c>
      <c r="K724" s="1">
        <v>20</v>
      </c>
      <c r="L724" s="4">
        <v>955.66</v>
      </c>
      <c r="M724" s="3" t="s">
        <v>21</v>
      </c>
      <c r="N724" s="3" t="s">
        <v>44</v>
      </c>
      <c r="O724" s="2" t="str">
        <f t="shared" si="55"/>
        <v>03-2025</v>
      </c>
      <c r="P724" t="str">
        <f t="shared" si="56"/>
        <v>2025</v>
      </c>
      <c r="Q724" s="6">
        <f t="shared" si="57"/>
        <v>0.13538945399937663</v>
      </c>
      <c r="R724" t="str">
        <f t="shared" si="58"/>
        <v>Profit</v>
      </c>
      <c r="S724" t="str">
        <f t="shared" si="59"/>
        <v>Mid (11-20%)</v>
      </c>
    </row>
    <row r="725" spans="1:19" x14ac:dyDescent="0.3">
      <c r="A725" s="3" t="s">
        <v>805</v>
      </c>
      <c r="B725" s="2">
        <v>45617</v>
      </c>
      <c r="C725" s="3" t="s">
        <v>42</v>
      </c>
      <c r="D725" s="3" t="s">
        <v>56</v>
      </c>
      <c r="E725" s="3" t="s">
        <v>61</v>
      </c>
      <c r="F725" s="3" t="s">
        <v>62</v>
      </c>
      <c r="G725" s="3" t="s">
        <v>63</v>
      </c>
      <c r="H725" s="3" t="s">
        <v>64</v>
      </c>
      <c r="I725" s="5">
        <v>11275.38</v>
      </c>
      <c r="J725" s="4">
        <v>9</v>
      </c>
      <c r="K725" s="1">
        <v>9</v>
      </c>
      <c r="L725" s="4">
        <v>820.54</v>
      </c>
      <c r="M725" s="3" t="s">
        <v>51</v>
      </c>
      <c r="N725" s="3" t="s">
        <v>40</v>
      </c>
      <c r="O725" s="2" t="str">
        <f t="shared" si="55"/>
        <v>11-2024</v>
      </c>
      <c r="P725" t="str">
        <f t="shared" si="56"/>
        <v>2024</v>
      </c>
      <c r="Q725" s="6">
        <f t="shared" si="57"/>
        <v>7.277271364690148E-2</v>
      </c>
      <c r="R725" t="str">
        <f t="shared" si="58"/>
        <v>Profit</v>
      </c>
      <c r="S725" t="str">
        <f t="shared" si="59"/>
        <v>Low (1-10%)</v>
      </c>
    </row>
    <row r="726" spans="1:19" x14ac:dyDescent="0.3">
      <c r="A726" s="3" t="s">
        <v>806</v>
      </c>
      <c r="B726" s="2">
        <v>45769</v>
      </c>
      <c r="C726" s="3" t="s">
        <v>99</v>
      </c>
      <c r="D726" s="3" t="s">
        <v>89</v>
      </c>
      <c r="E726" s="3" t="s">
        <v>140</v>
      </c>
      <c r="F726" s="3" t="s">
        <v>18</v>
      </c>
      <c r="G726" s="3" t="s">
        <v>94</v>
      </c>
      <c r="H726" s="3" t="s">
        <v>95</v>
      </c>
      <c r="I726" s="5">
        <v>10349.52</v>
      </c>
      <c r="J726" s="4">
        <v>8</v>
      </c>
      <c r="K726" s="1">
        <v>10</v>
      </c>
      <c r="L726" s="4">
        <v>1020.26</v>
      </c>
      <c r="M726" s="3" t="s">
        <v>21</v>
      </c>
      <c r="N726" s="3" t="s">
        <v>35</v>
      </c>
      <c r="O726" s="2" t="str">
        <f t="shared" si="55"/>
        <v>04-2025</v>
      </c>
      <c r="P726" t="str">
        <f t="shared" si="56"/>
        <v>2025</v>
      </c>
      <c r="Q726" s="6">
        <f t="shared" si="57"/>
        <v>9.8580417256065977E-2</v>
      </c>
      <c r="R726" t="str">
        <f t="shared" si="58"/>
        <v>Profit</v>
      </c>
      <c r="S726" t="str">
        <f t="shared" si="59"/>
        <v>Low (1-10%)</v>
      </c>
    </row>
    <row r="727" spans="1:19" x14ac:dyDescent="0.3">
      <c r="A727" s="3" t="s">
        <v>807</v>
      </c>
      <c r="B727" s="2">
        <v>45430</v>
      </c>
      <c r="C727" s="3" t="s">
        <v>84</v>
      </c>
      <c r="D727" s="3" t="s">
        <v>56</v>
      </c>
      <c r="E727" s="3" t="s">
        <v>61</v>
      </c>
      <c r="F727" s="3" t="s">
        <v>18</v>
      </c>
      <c r="G727" s="3" t="s">
        <v>76</v>
      </c>
      <c r="H727" s="3" t="s">
        <v>77</v>
      </c>
      <c r="I727" s="5">
        <v>1365.84</v>
      </c>
      <c r="J727" s="4">
        <v>7</v>
      </c>
      <c r="K727" s="1">
        <v>0</v>
      </c>
      <c r="L727" s="4">
        <v>169.1</v>
      </c>
      <c r="M727" s="3" t="s">
        <v>51</v>
      </c>
      <c r="N727" s="3" t="s">
        <v>40</v>
      </c>
      <c r="O727" s="2" t="str">
        <f t="shared" si="55"/>
        <v>05-2024</v>
      </c>
      <c r="P727" t="str">
        <f t="shared" si="56"/>
        <v>2024</v>
      </c>
      <c r="Q727" s="6">
        <f t="shared" si="57"/>
        <v>0.12380659520880924</v>
      </c>
      <c r="R727" t="str">
        <f t="shared" si="58"/>
        <v>Profit</v>
      </c>
      <c r="S727" t="str">
        <f t="shared" si="59"/>
        <v>No Discount</v>
      </c>
    </row>
    <row r="728" spans="1:19" x14ac:dyDescent="0.3">
      <c r="A728" s="3" t="s">
        <v>808</v>
      </c>
      <c r="B728" s="2">
        <v>45459</v>
      </c>
      <c r="C728" s="3" t="s">
        <v>30</v>
      </c>
      <c r="D728" s="3" t="s">
        <v>89</v>
      </c>
      <c r="E728" s="3" t="s">
        <v>116</v>
      </c>
      <c r="F728" s="3" t="s">
        <v>62</v>
      </c>
      <c r="G728" s="3" t="s">
        <v>80</v>
      </c>
      <c r="H728" s="3" t="s">
        <v>81</v>
      </c>
      <c r="I728" s="5">
        <v>9685.6</v>
      </c>
      <c r="J728" s="4">
        <v>5</v>
      </c>
      <c r="K728" s="1">
        <v>23</v>
      </c>
      <c r="L728" s="4">
        <v>1117.0899999999999</v>
      </c>
      <c r="M728" s="3" t="s">
        <v>51</v>
      </c>
      <c r="N728" s="3" t="s">
        <v>40</v>
      </c>
      <c r="O728" s="2" t="str">
        <f t="shared" si="55"/>
        <v>06-2024</v>
      </c>
      <c r="P728" t="str">
        <f t="shared" si="56"/>
        <v>2024</v>
      </c>
      <c r="Q728" s="6">
        <f t="shared" si="57"/>
        <v>0.11533513669777813</v>
      </c>
      <c r="R728" t="str">
        <f t="shared" si="58"/>
        <v>Profit</v>
      </c>
      <c r="S728" t="str">
        <f t="shared" si="59"/>
        <v>High (&gt;20%)</v>
      </c>
    </row>
    <row r="729" spans="1:19" x14ac:dyDescent="0.3">
      <c r="A729" s="3" t="s">
        <v>809</v>
      </c>
      <c r="B729" s="2">
        <v>45741</v>
      </c>
      <c r="C729" s="3" t="s">
        <v>86</v>
      </c>
      <c r="D729" s="3" t="s">
        <v>89</v>
      </c>
      <c r="E729" s="3" t="s">
        <v>116</v>
      </c>
      <c r="F729" s="3" t="s">
        <v>18</v>
      </c>
      <c r="G729" s="3" t="s">
        <v>94</v>
      </c>
      <c r="H729" s="3" t="s">
        <v>95</v>
      </c>
      <c r="I729" s="5">
        <v>1841.97</v>
      </c>
      <c r="J729" s="4">
        <v>1</v>
      </c>
      <c r="K729" s="1">
        <v>0</v>
      </c>
      <c r="L729" s="4">
        <v>141.38</v>
      </c>
      <c r="M729" s="3" t="s">
        <v>28</v>
      </c>
      <c r="N729" s="3" t="s">
        <v>44</v>
      </c>
      <c r="O729" s="2" t="str">
        <f t="shared" si="55"/>
        <v>03-2025</v>
      </c>
      <c r="P729" t="str">
        <f t="shared" si="56"/>
        <v>2025</v>
      </c>
      <c r="Q729" s="6">
        <f t="shared" si="57"/>
        <v>7.675477885090419E-2</v>
      </c>
      <c r="R729" t="str">
        <f t="shared" si="58"/>
        <v>Profit</v>
      </c>
      <c r="S729" t="str">
        <f t="shared" si="59"/>
        <v>No Discount</v>
      </c>
    </row>
    <row r="730" spans="1:19" x14ac:dyDescent="0.3">
      <c r="A730" s="3" t="s">
        <v>810</v>
      </c>
      <c r="B730" s="2">
        <v>45530</v>
      </c>
      <c r="C730" s="3" t="s">
        <v>50</v>
      </c>
      <c r="D730" s="3" t="s">
        <v>16</v>
      </c>
      <c r="E730" s="3" t="s">
        <v>17</v>
      </c>
      <c r="F730" s="3" t="s">
        <v>62</v>
      </c>
      <c r="G730" s="3" t="s">
        <v>103</v>
      </c>
      <c r="H730" s="3" t="s">
        <v>104</v>
      </c>
      <c r="I730" s="5">
        <v>16761.3</v>
      </c>
      <c r="J730" s="4">
        <v>10</v>
      </c>
      <c r="K730" s="1">
        <v>3</v>
      </c>
      <c r="L730" s="4">
        <v>1467.37</v>
      </c>
      <c r="M730" s="3" t="s">
        <v>51</v>
      </c>
      <c r="N730" s="3" t="s">
        <v>44</v>
      </c>
      <c r="O730" s="2" t="str">
        <f t="shared" si="55"/>
        <v>08-2024</v>
      </c>
      <c r="P730" t="str">
        <f t="shared" si="56"/>
        <v>2024</v>
      </c>
      <c r="Q730" s="6">
        <f t="shared" si="57"/>
        <v>8.7545118815366349E-2</v>
      </c>
      <c r="R730" t="str">
        <f t="shared" si="58"/>
        <v>Profit</v>
      </c>
      <c r="S730" t="str">
        <f t="shared" si="59"/>
        <v>Low (1-10%)</v>
      </c>
    </row>
    <row r="731" spans="1:19" x14ac:dyDescent="0.3">
      <c r="A731" s="3" t="s">
        <v>811</v>
      </c>
      <c r="B731" s="2">
        <v>45548</v>
      </c>
      <c r="C731" s="3" t="s">
        <v>66</v>
      </c>
      <c r="D731" s="3" t="s">
        <v>89</v>
      </c>
      <c r="E731" s="3" t="s">
        <v>97</v>
      </c>
      <c r="F731" s="3" t="s">
        <v>32</v>
      </c>
      <c r="G731" s="3" t="s">
        <v>47</v>
      </c>
      <c r="H731" s="3" t="s">
        <v>48</v>
      </c>
      <c r="I731" s="5">
        <v>5697</v>
      </c>
      <c r="J731" s="4">
        <v>3</v>
      </c>
      <c r="K731" s="1">
        <v>25</v>
      </c>
      <c r="L731" s="4">
        <v>486.23</v>
      </c>
      <c r="M731" s="3" t="s">
        <v>28</v>
      </c>
      <c r="N731" s="3" t="s">
        <v>22</v>
      </c>
      <c r="O731" s="2" t="str">
        <f t="shared" si="55"/>
        <v>09-2024</v>
      </c>
      <c r="P731" t="str">
        <f t="shared" si="56"/>
        <v>2024</v>
      </c>
      <c r="Q731" s="6">
        <f t="shared" si="57"/>
        <v>8.5348428997718107E-2</v>
      </c>
      <c r="R731" t="str">
        <f t="shared" si="58"/>
        <v>Profit</v>
      </c>
      <c r="S731" t="str">
        <f t="shared" si="59"/>
        <v>High (&gt;20%)</v>
      </c>
    </row>
    <row r="732" spans="1:19" x14ac:dyDescent="0.3">
      <c r="A732" s="3" t="s">
        <v>812</v>
      </c>
      <c r="B732" s="2">
        <v>45575</v>
      </c>
      <c r="C732" s="3" t="s">
        <v>30</v>
      </c>
      <c r="D732" s="3" t="s">
        <v>38</v>
      </c>
      <c r="E732" s="3" t="s">
        <v>53</v>
      </c>
      <c r="F732" s="3" t="s">
        <v>62</v>
      </c>
      <c r="G732" s="3" t="s">
        <v>80</v>
      </c>
      <c r="H732" s="3" t="s">
        <v>81</v>
      </c>
      <c r="I732" s="5">
        <v>6520.08</v>
      </c>
      <c r="J732" s="4">
        <v>6</v>
      </c>
      <c r="K732" s="1">
        <v>5</v>
      </c>
      <c r="L732" s="4">
        <v>469.73</v>
      </c>
      <c r="M732" s="3" t="s">
        <v>51</v>
      </c>
      <c r="N732" s="3" t="s">
        <v>22</v>
      </c>
      <c r="O732" s="2" t="str">
        <f t="shared" si="55"/>
        <v>10-2024</v>
      </c>
      <c r="P732" t="str">
        <f t="shared" si="56"/>
        <v>2024</v>
      </c>
      <c r="Q732" s="6">
        <f t="shared" si="57"/>
        <v>7.2043594557122004E-2</v>
      </c>
      <c r="R732" t="str">
        <f t="shared" si="58"/>
        <v>Profit</v>
      </c>
      <c r="S732" t="str">
        <f t="shared" si="59"/>
        <v>Low (1-10%)</v>
      </c>
    </row>
    <row r="733" spans="1:19" x14ac:dyDescent="0.3">
      <c r="A733" s="3" t="s">
        <v>813</v>
      </c>
      <c r="B733" s="2">
        <v>45525</v>
      </c>
      <c r="C733" s="3" t="s">
        <v>75</v>
      </c>
      <c r="D733" s="3" t="s">
        <v>16</v>
      </c>
      <c r="E733" s="3" t="s">
        <v>17</v>
      </c>
      <c r="F733" s="3" t="s">
        <v>18</v>
      </c>
      <c r="G733" s="3" t="s">
        <v>76</v>
      </c>
      <c r="H733" s="3" t="s">
        <v>77</v>
      </c>
      <c r="I733" s="5">
        <v>8746.2999999999993</v>
      </c>
      <c r="J733" s="4">
        <v>5</v>
      </c>
      <c r="K733" s="1">
        <v>21</v>
      </c>
      <c r="L733" s="4">
        <v>928.17</v>
      </c>
      <c r="M733" s="3" t="s">
        <v>51</v>
      </c>
      <c r="N733" s="3" t="s">
        <v>44</v>
      </c>
      <c r="O733" s="2" t="str">
        <f t="shared" si="55"/>
        <v>08-2024</v>
      </c>
      <c r="P733" t="str">
        <f t="shared" si="56"/>
        <v>2024</v>
      </c>
      <c r="Q733" s="6">
        <f t="shared" si="57"/>
        <v>0.10612144563987058</v>
      </c>
      <c r="R733" t="str">
        <f t="shared" si="58"/>
        <v>Profit</v>
      </c>
      <c r="S733" t="str">
        <f t="shared" si="59"/>
        <v>High (&gt;20%)</v>
      </c>
    </row>
    <row r="734" spans="1:19" x14ac:dyDescent="0.3">
      <c r="A734" s="3" t="s">
        <v>814</v>
      </c>
      <c r="B734" s="2">
        <v>45751</v>
      </c>
      <c r="C734" s="3" t="s">
        <v>84</v>
      </c>
      <c r="D734" s="3" t="s">
        <v>89</v>
      </c>
      <c r="E734" s="3" t="s">
        <v>102</v>
      </c>
      <c r="F734" s="3" t="s">
        <v>32</v>
      </c>
      <c r="G734" s="3" t="s">
        <v>47</v>
      </c>
      <c r="H734" s="3" t="s">
        <v>48</v>
      </c>
      <c r="I734" s="5">
        <v>3774.06</v>
      </c>
      <c r="J734" s="4">
        <v>3</v>
      </c>
      <c r="K734" s="1">
        <v>29</v>
      </c>
      <c r="L734" s="4">
        <v>460.27</v>
      </c>
      <c r="M734" s="3" t="s">
        <v>51</v>
      </c>
      <c r="N734" s="3" t="s">
        <v>40</v>
      </c>
      <c r="O734" s="2" t="str">
        <f t="shared" si="55"/>
        <v>04-2025</v>
      </c>
      <c r="P734" t="str">
        <f t="shared" si="56"/>
        <v>2025</v>
      </c>
      <c r="Q734" s="6">
        <f t="shared" si="57"/>
        <v>0.12195619571495948</v>
      </c>
      <c r="R734" t="str">
        <f t="shared" si="58"/>
        <v>Profit</v>
      </c>
      <c r="S734" t="str">
        <f t="shared" si="59"/>
        <v>High (&gt;20%)</v>
      </c>
    </row>
    <row r="735" spans="1:19" x14ac:dyDescent="0.3">
      <c r="A735" s="3" t="s">
        <v>815</v>
      </c>
      <c r="B735" s="2">
        <v>45503</v>
      </c>
      <c r="C735" s="3" t="s">
        <v>99</v>
      </c>
      <c r="D735" s="3" t="s">
        <v>56</v>
      </c>
      <c r="E735" s="3" t="s">
        <v>61</v>
      </c>
      <c r="F735" s="3" t="s">
        <v>62</v>
      </c>
      <c r="G735" s="3" t="s">
        <v>67</v>
      </c>
      <c r="H735" s="3" t="s">
        <v>68</v>
      </c>
      <c r="I735" s="5">
        <v>6311.3</v>
      </c>
      <c r="J735" s="4">
        <v>10</v>
      </c>
      <c r="K735" s="1">
        <v>22</v>
      </c>
      <c r="L735" s="4">
        <v>1188.54</v>
      </c>
      <c r="M735" s="3" t="s">
        <v>28</v>
      </c>
      <c r="N735" s="3" t="s">
        <v>40</v>
      </c>
      <c r="O735" s="2" t="str">
        <f t="shared" si="55"/>
        <v>07-2024</v>
      </c>
      <c r="P735" t="str">
        <f t="shared" si="56"/>
        <v>2024</v>
      </c>
      <c r="Q735" s="6">
        <f t="shared" si="57"/>
        <v>0.18831936368101657</v>
      </c>
      <c r="R735" t="str">
        <f t="shared" si="58"/>
        <v>Profit</v>
      </c>
      <c r="S735" t="str">
        <f t="shared" si="59"/>
        <v>High (&gt;20%)</v>
      </c>
    </row>
    <row r="736" spans="1:19" x14ac:dyDescent="0.3">
      <c r="A736" s="3" t="s">
        <v>816</v>
      </c>
      <c r="B736" s="2">
        <v>45520</v>
      </c>
      <c r="C736" s="3" t="s">
        <v>84</v>
      </c>
      <c r="D736" s="3" t="s">
        <v>38</v>
      </c>
      <c r="E736" s="3" t="s">
        <v>39</v>
      </c>
      <c r="F736" s="3" t="s">
        <v>18</v>
      </c>
      <c r="G736" s="3" t="s">
        <v>94</v>
      </c>
      <c r="H736" s="3" t="s">
        <v>95</v>
      </c>
      <c r="I736" s="5">
        <v>8120</v>
      </c>
      <c r="J736" s="4">
        <v>5</v>
      </c>
      <c r="K736" s="1">
        <v>25</v>
      </c>
      <c r="L736" s="4">
        <v>1381.16</v>
      </c>
      <c r="M736" s="3" t="s">
        <v>28</v>
      </c>
      <c r="N736" s="3" t="s">
        <v>40</v>
      </c>
      <c r="O736" s="2" t="str">
        <f t="shared" si="55"/>
        <v>08-2024</v>
      </c>
      <c r="P736" t="str">
        <f t="shared" si="56"/>
        <v>2024</v>
      </c>
      <c r="Q736" s="6">
        <f t="shared" si="57"/>
        <v>0.17009359605911331</v>
      </c>
      <c r="R736" t="str">
        <f t="shared" si="58"/>
        <v>Profit</v>
      </c>
      <c r="S736" t="str">
        <f t="shared" si="59"/>
        <v>High (&gt;20%)</v>
      </c>
    </row>
    <row r="737" spans="1:19" x14ac:dyDescent="0.3">
      <c r="A737" s="3" t="s">
        <v>817</v>
      </c>
      <c r="B737" s="2">
        <v>45575</v>
      </c>
      <c r="C737" s="3" t="s">
        <v>30</v>
      </c>
      <c r="D737" s="3" t="s">
        <v>16</v>
      </c>
      <c r="E737" s="3" t="s">
        <v>17</v>
      </c>
      <c r="F737" s="3" t="s">
        <v>62</v>
      </c>
      <c r="G737" s="3" t="s">
        <v>80</v>
      </c>
      <c r="H737" s="3" t="s">
        <v>81</v>
      </c>
      <c r="I737" s="5">
        <v>945.72</v>
      </c>
      <c r="J737" s="4">
        <v>4</v>
      </c>
      <c r="K737" s="1">
        <v>9</v>
      </c>
      <c r="L737" s="4">
        <v>179.14</v>
      </c>
      <c r="M737" s="3" t="s">
        <v>51</v>
      </c>
      <c r="N737" s="3" t="s">
        <v>22</v>
      </c>
      <c r="O737" s="2" t="str">
        <f t="shared" si="55"/>
        <v>10-2024</v>
      </c>
      <c r="P737" t="str">
        <f t="shared" si="56"/>
        <v>2024</v>
      </c>
      <c r="Q737" s="6">
        <f t="shared" si="57"/>
        <v>0.18942181618237955</v>
      </c>
      <c r="R737" t="str">
        <f t="shared" si="58"/>
        <v>Profit</v>
      </c>
      <c r="S737" t="str">
        <f t="shared" si="59"/>
        <v>Low (1-10%)</v>
      </c>
    </row>
    <row r="738" spans="1:19" x14ac:dyDescent="0.3">
      <c r="A738" s="3" t="s">
        <v>818</v>
      </c>
      <c r="B738" s="2">
        <v>45649</v>
      </c>
      <c r="C738" s="3" t="s">
        <v>30</v>
      </c>
      <c r="D738" s="3" t="s">
        <v>38</v>
      </c>
      <c r="E738" s="3" t="s">
        <v>43</v>
      </c>
      <c r="F738" s="3" t="s">
        <v>62</v>
      </c>
      <c r="G738" s="3" t="s">
        <v>67</v>
      </c>
      <c r="H738" s="3" t="s">
        <v>68</v>
      </c>
      <c r="I738" s="5">
        <v>12494.8</v>
      </c>
      <c r="J738" s="4">
        <v>8</v>
      </c>
      <c r="K738" s="1">
        <v>21</v>
      </c>
      <c r="L738" s="4">
        <v>1633.95</v>
      </c>
      <c r="M738" s="3" t="s">
        <v>51</v>
      </c>
      <c r="N738" s="3" t="s">
        <v>22</v>
      </c>
      <c r="O738" s="2" t="str">
        <f t="shared" si="55"/>
        <v>12-2024</v>
      </c>
      <c r="P738" t="str">
        <f t="shared" si="56"/>
        <v>2024</v>
      </c>
      <c r="Q738" s="6">
        <f t="shared" si="57"/>
        <v>0.13077040048660243</v>
      </c>
      <c r="R738" t="str">
        <f t="shared" si="58"/>
        <v>Profit</v>
      </c>
      <c r="S738" t="str">
        <f t="shared" si="59"/>
        <v>High (&gt;20%)</v>
      </c>
    </row>
    <row r="739" spans="1:19" x14ac:dyDescent="0.3">
      <c r="A739" s="3" t="s">
        <v>819</v>
      </c>
      <c r="B739" s="2">
        <v>45449</v>
      </c>
      <c r="C739" s="3" t="s">
        <v>99</v>
      </c>
      <c r="D739" s="3" t="s">
        <v>89</v>
      </c>
      <c r="E739" s="3" t="s">
        <v>140</v>
      </c>
      <c r="F739" s="3" t="s">
        <v>32</v>
      </c>
      <c r="G739" s="3" t="s">
        <v>33</v>
      </c>
      <c r="H739" s="3" t="s">
        <v>34</v>
      </c>
      <c r="I739" s="5">
        <v>13088.08</v>
      </c>
      <c r="J739" s="4">
        <v>8</v>
      </c>
      <c r="K739" s="1">
        <v>7.0000000000000009</v>
      </c>
      <c r="L739" s="4">
        <v>864.94</v>
      </c>
      <c r="M739" s="3" t="s">
        <v>28</v>
      </c>
      <c r="N739" s="3" t="s">
        <v>40</v>
      </c>
      <c r="O739" s="2" t="str">
        <f t="shared" si="55"/>
        <v>06-2024</v>
      </c>
      <c r="P739" t="str">
        <f t="shared" si="56"/>
        <v>2024</v>
      </c>
      <c r="Q739" s="6">
        <f t="shared" si="57"/>
        <v>6.6086087493352735E-2</v>
      </c>
      <c r="R739" t="str">
        <f t="shared" si="58"/>
        <v>Profit</v>
      </c>
      <c r="S739" t="str">
        <f t="shared" si="59"/>
        <v>Low (1-10%)</v>
      </c>
    </row>
    <row r="740" spans="1:19" x14ac:dyDescent="0.3">
      <c r="A740" s="3" t="s">
        <v>820</v>
      </c>
      <c r="B740" s="2">
        <v>45644</v>
      </c>
      <c r="C740" s="3" t="s">
        <v>15</v>
      </c>
      <c r="D740" s="3" t="s">
        <v>56</v>
      </c>
      <c r="E740" s="3" t="s">
        <v>108</v>
      </c>
      <c r="F740" s="3" t="s">
        <v>18</v>
      </c>
      <c r="G740" s="3" t="s">
        <v>76</v>
      </c>
      <c r="H740" s="3" t="s">
        <v>77</v>
      </c>
      <c r="I740" s="5">
        <v>9505.4</v>
      </c>
      <c r="J740" s="4">
        <v>10</v>
      </c>
      <c r="K740" s="1">
        <v>20</v>
      </c>
      <c r="L740" s="4">
        <v>1412.52</v>
      </c>
      <c r="M740" s="3" t="s">
        <v>28</v>
      </c>
      <c r="N740" s="3" t="s">
        <v>22</v>
      </c>
      <c r="O740" s="2" t="str">
        <f t="shared" si="55"/>
        <v>12-2024</v>
      </c>
      <c r="P740" t="str">
        <f t="shared" si="56"/>
        <v>2024</v>
      </c>
      <c r="Q740" s="6">
        <f t="shared" si="57"/>
        <v>0.1486018473709681</v>
      </c>
      <c r="R740" t="str">
        <f t="shared" si="58"/>
        <v>Profit</v>
      </c>
      <c r="S740" t="str">
        <f t="shared" si="59"/>
        <v>Mid (11-20%)</v>
      </c>
    </row>
    <row r="741" spans="1:19" x14ac:dyDescent="0.3">
      <c r="A741" s="3" t="s">
        <v>821</v>
      </c>
      <c r="B741" s="2">
        <v>45434</v>
      </c>
      <c r="C741" s="3" t="s">
        <v>73</v>
      </c>
      <c r="D741" s="3" t="s">
        <v>89</v>
      </c>
      <c r="E741" s="3" t="s">
        <v>90</v>
      </c>
      <c r="F741" s="3" t="s">
        <v>18</v>
      </c>
      <c r="G741" s="3" t="s">
        <v>94</v>
      </c>
      <c r="H741" s="3" t="s">
        <v>95</v>
      </c>
      <c r="I741" s="5">
        <v>10082.43</v>
      </c>
      <c r="J741" s="4">
        <v>9</v>
      </c>
      <c r="K741" s="1">
        <v>21</v>
      </c>
      <c r="L741" s="4">
        <v>442.02</v>
      </c>
      <c r="M741" s="3" t="s">
        <v>21</v>
      </c>
      <c r="N741" s="3" t="s">
        <v>40</v>
      </c>
      <c r="O741" s="2" t="str">
        <f t="shared" si="55"/>
        <v>05-2024</v>
      </c>
      <c r="P741" t="str">
        <f t="shared" si="56"/>
        <v>2024</v>
      </c>
      <c r="Q741" s="6">
        <f t="shared" si="57"/>
        <v>4.3840621754874569E-2</v>
      </c>
      <c r="R741" t="str">
        <f t="shared" si="58"/>
        <v>Profit</v>
      </c>
      <c r="S741" t="str">
        <f t="shared" si="59"/>
        <v>High (&gt;20%)</v>
      </c>
    </row>
    <row r="742" spans="1:19" x14ac:dyDescent="0.3">
      <c r="A742" s="3" t="s">
        <v>822</v>
      </c>
      <c r="B742" s="2">
        <v>45486</v>
      </c>
      <c r="C742" s="3" t="s">
        <v>99</v>
      </c>
      <c r="D742" s="3" t="s">
        <v>16</v>
      </c>
      <c r="E742" s="3" t="s">
        <v>25</v>
      </c>
      <c r="F742" s="3" t="s">
        <v>32</v>
      </c>
      <c r="G742" s="3" t="s">
        <v>33</v>
      </c>
      <c r="H742" s="3" t="s">
        <v>34</v>
      </c>
      <c r="I742" s="5">
        <v>906.55</v>
      </c>
      <c r="J742" s="4">
        <v>1</v>
      </c>
      <c r="K742" s="1">
        <v>11</v>
      </c>
      <c r="L742" s="4">
        <v>141.61000000000001</v>
      </c>
      <c r="M742" s="3" t="s">
        <v>28</v>
      </c>
      <c r="N742" s="3" t="s">
        <v>40</v>
      </c>
      <c r="O742" s="2" t="str">
        <f t="shared" si="55"/>
        <v>07-2024</v>
      </c>
      <c r="P742" t="str">
        <f t="shared" si="56"/>
        <v>2024</v>
      </c>
      <c r="Q742" s="6">
        <f t="shared" si="57"/>
        <v>0.1562076002426783</v>
      </c>
      <c r="R742" t="str">
        <f t="shared" si="58"/>
        <v>Profit</v>
      </c>
      <c r="S742" t="str">
        <f t="shared" si="59"/>
        <v>Mid (11-20%)</v>
      </c>
    </row>
    <row r="743" spans="1:19" x14ac:dyDescent="0.3">
      <c r="A743" s="3" t="s">
        <v>823</v>
      </c>
      <c r="B743" s="2">
        <v>45719</v>
      </c>
      <c r="C743" s="3" t="s">
        <v>84</v>
      </c>
      <c r="D743" s="3" t="s">
        <v>56</v>
      </c>
      <c r="E743" s="3" t="s">
        <v>108</v>
      </c>
      <c r="F743" s="3" t="s">
        <v>62</v>
      </c>
      <c r="G743" s="3" t="s">
        <v>80</v>
      </c>
      <c r="H743" s="3" t="s">
        <v>81</v>
      </c>
      <c r="I743" s="5">
        <v>15569.73</v>
      </c>
      <c r="J743" s="4">
        <v>9</v>
      </c>
      <c r="K743" s="1">
        <v>2</v>
      </c>
      <c r="L743" s="4">
        <v>1936.89</v>
      </c>
      <c r="M743" s="3" t="s">
        <v>51</v>
      </c>
      <c r="N743" s="3" t="s">
        <v>40</v>
      </c>
      <c r="O743" s="2" t="str">
        <f t="shared" si="55"/>
        <v>03-2025</v>
      </c>
      <c r="P743" t="str">
        <f t="shared" si="56"/>
        <v>2025</v>
      </c>
      <c r="Q743" s="6">
        <f t="shared" si="57"/>
        <v>0.12440100117343077</v>
      </c>
      <c r="R743" t="str">
        <f t="shared" si="58"/>
        <v>Profit</v>
      </c>
      <c r="S743" t="str">
        <f t="shared" si="59"/>
        <v>Low (1-10%)</v>
      </c>
    </row>
    <row r="744" spans="1:19" x14ac:dyDescent="0.3">
      <c r="A744" s="3" t="s">
        <v>824</v>
      </c>
      <c r="B744" s="2">
        <v>45568</v>
      </c>
      <c r="C744" s="3" t="s">
        <v>101</v>
      </c>
      <c r="D744" s="3" t="s">
        <v>16</v>
      </c>
      <c r="E744" s="3" t="s">
        <v>31</v>
      </c>
      <c r="F744" s="3" t="s">
        <v>32</v>
      </c>
      <c r="G744" s="3" t="s">
        <v>58</v>
      </c>
      <c r="H744" s="3" t="s">
        <v>59</v>
      </c>
      <c r="I744" s="5">
        <v>16686.400000000001</v>
      </c>
      <c r="J744" s="4">
        <v>10</v>
      </c>
      <c r="K744" s="1">
        <v>29</v>
      </c>
      <c r="L744" s="4">
        <v>1598.71</v>
      </c>
      <c r="M744" s="3" t="s">
        <v>28</v>
      </c>
      <c r="N744" s="3" t="s">
        <v>40</v>
      </c>
      <c r="O744" s="2" t="str">
        <f t="shared" si="55"/>
        <v>10-2024</v>
      </c>
      <c r="P744" t="str">
        <f t="shared" si="56"/>
        <v>2024</v>
      </c>
      <c r="Q744" s="6">
        <f t="shared" si="57"/>
        <v>9.5809161952248534E-2</v>
      </c>
      <c r="R744" t="str">
        <f t="shared" si="58"/>
        <v>Profit</v>
      </c>
      <c r="S744" t="str">
        <f t="shared" si="59"/>
        <v>High (&gt;20%)</v>
      </c>
    </row>
    <row r="745" spans="1:19" x14ac:dyDescent="0.3">
      <c r="A745" s="3" t="s">
        <v>825</v>
      </c>
      <c r="B745" s="2">
        <v>45456</v>
      </c>
      <c r="C745" s="3" t="s">
        <v>73</v>
      </c>
      <c r="D745" s="3" t="s">
        <v>89</v>
      </c>
      <c r="E745" s="3" t="s">
        <v>102</v>
      </c>
      <c r="F745" s="3" t="s">
        <v>32</v>
      </c>
      <c r="G745" s="3" t="s">
        <v>58</v>
      </c>
      <c r="H745" s="3" t="s">
        <v>59</v>
      </c>
      <c r="I745" s="5">
        <v>2118.96</v>
      </c>
      <c r="J745" s="4">
        <v>6</v>
      </c>
      <c r="K745" s="1">
        <v>14</v>
      </c>
      <c r="L745" s="4">
        <v>195.79</v>
      </c>
      <c r="M745" s="3" t="s">
        <v>28</v>
      </c>
      <c r="N745" s="3" t="s">
        <v>22</v>
      </c>
      <c r="O745" s="2" t="str">
        <f t="shared" si="55"/>
        <v>06-2024</v>
      </c>
      <c r="P745" t="str">
        <f t="shared" si="56"/>
        <v>2024</v>
      </c>
      <c r="Q745" s="6">
        <f t="shared" si="57"/>
        <v>9.2399101445992365E-2</v>
      </c>
      <c r="R745" t="str">
        <f t="shared" si="58"/>
        <v>Profit</v>
      </c>
      <c r="S745" t="str">
        <f t="shared" si="59"/>
        <v>Mid (11-20%)</v>
      </c>
    </row>
    <row r="746" spans="1:19" x14ac:dyDescent="0.3">
      <c r="A746" s="3" t="s">
        <v>826</v>
      </c>
      <c r="B746" s="2">
        <v>45665</v>
      </c>
      <c r="C746" s="3" t="s">
        <v>30</v>
      </c>
      <c r="D746" s="3" t="s">
        <v>89</v>
      </c>
      <c r="E746" s="3" t="s">
        <v>97</v>
      </c>
      <c r="F746" s="3" t="s">
        <v>18</v>
      </c>
      <c r="G746" s="3" t="s">
        <v>19</v>
      </c>
      <c r="H746" s="3" t="s">
        <v>20</v>
      </c>
      <c r="I746" s="5">
        <v>2815.68</v>
      </c>
      <c r="J746" s="4">
        <v>3</v>
      </c>
      <c r="K746" s="1">
        <v>10</v>
      </c>
      <c r="L746" s="4">
        <v>602.45000000000005</v>
      </c>
      <c r="M746" s="3" t="s">
        <v>21</v>
      </c>
      <c r="N746" s="3" t="s">
        <v>44</v>
      </c>
      <c r="O746" s="2" t="str">
        <f t="shared" si="55"/>
        <v>01-2025</v>
      </c>
      <c r="P746" t="str">
        <f t="shared" si="56"/>
        <v>2025</v>
      </c>
      <c r="Q746" s="6">
        <f t="shared" si="57"/>
        <v>0.21396252415047168</v>
      </c>
      <c r="R746" t="str">
        <f t="shared" si="58"/>
        <v>Profit</v>
      </c>
      <c r="S746" t="str">
        <f t="shared" si="59"/>
        <v>Low (1-10%)</v>
      </c>
    </row>
    <row r="747" spans="1:19" x14ac:dyDescent="0.3">
      <c r="A747" s="3" t="s">
        <v>827</v>
      </c>
      <c r="B747" s="2">
        <v>45693</v>
      </c>
      <c r="C747" s="3" t="s">
        <v>86</v>
      </c>
      <c r="D747" s="3" t="s">
        <v>16</v>
      </c>
      <c r="E747" s="3" t="s">
        <v>31</v>
      </c>
      <c r="F747" s="3" t="s">
        <v>62</v>
      </c>
      <c r="G747" s="3" t="s">
        <v>103</v>
      </c>
      <c r="H747" s="3" t="s">
        <v>104</v>
      </c>
      <c r="I747" s="5">
        <v>4671.04</v>
      </c>
      <c r="J747" s="4">
        <v>4</v>
      </c>
      <c r="K747" s="1">
        <v>21</v>
      </c>
      <c r="L747" s="4">
        <v>809.44</v>
      </c>
      <c r="M747" s="3" t="s">
        <v>28</v>
      </c>
      <c r="N747" s="3" t="s">
        <v>35</v>
      </c>
      <c r="O747" s="2" t="str">
        <f t="shared" si="55"/>
        <v>02-2025</v>
      </c>
      <c r="P747" t="str">
        <f t="shared" si="56"/>
        <v>2025</v>
      </c>
      <c r="Q747" s="6">
        <f t="shared" si="57"/>
        <v>0.17328903199287526</v>
      </c>
      <c r="R747" t="str">
        <f t="shared" si="58"/>
        <v>Profit</v>
      </c>
      <c r="S747" t="str">
        <f t="shared" si="59"/>
        <v>High (&gt;20%)</v>
      </c>
    </row>
    <row r="748" spans="1:19" x14ac:dyDescent="0.3">
      <c r="A748" s="3" t="s">
        <v>828</v>
      </c>
      <c r="B748" s="2">
        <v>45652</v>
      </c>
      <c r="C748" s="3" t="s">
        <v>99</v>
      </c>
      <c r="D748" s="3" t="s">
        <v>56</v>
      </c>
      <c r="E748" s="3" t="s">
        <v>61</v>
      </c>
      <c r="F748" s="3" t="s">
        <v>18</v>
      </c>
      <c r="G748" s="3" t="s">
        <v>94</v>
      </c>
      <c r="H748" s="3" t="s">
        <v>95</v>
      </c>
      <c r="I748" s="5">
        <v>1778.04</v>
      </c>
      <c r="J748" s="4">
        <v>6</v>
      </c>
      <c r="K748" s="1">
        <v>4</v>
      </c>
      <c r="L748" s="4">
        <v>234.19</v>
      </c>
      <c r="M748" s="3" t="s">
        <v>21</v>
      </c>
      <c r="N748" s="3" t="s">
        <v>35</v>
      </c>
      <c r="O748" s="2" t="str">
        <f t="shared" si="55"/>
        <v>12-2024</v>
      </c>
      <c r="P748" t="str">
        <f t="shared" si="56"/>
        <v>2024</v>
      </c>
      <c r="Q748" s="6">
        <f t="shared" si="57"/>
        <v>0.13171244741400642</v>
      </c>
      <c r="R748" t="str">
        <f t="shared" si="58"/>
        <v>Profit</v>
      </c>
      <c r="S748" t="str">
        <f t="shared" si="59"/>
        <v>Low (1-10%)</v>
      </c>
    </row>
    <row r="749" spans="1:19" x14ac:dyDescent="0.3">
      <c r="A749" s="3" t="s">
        <v>829</v>
      </c>
      <c r="B749" s="2">
        <v>45461</v>
      </c>
      <c r="C749" s="3" t="s">
        <v>37</v>
      </c>
      <c r="D749" s="3" t="s">
        <v>89</v>
      </c>
      <c r="E749" s="3" t="s">
        <v>116</v>
      </c>
      <c r="F749" s="3" t="s">
        <v>62</v>
      </c>
      <c r="G749" s="3" t="s">
        <v>63</v>
      </c>
      <c r="H749" s="3" t="s">
        <v>64</v>
      </c>
      <c r="I749" s="5">
        <v>12463.15</v>
      </c>
      <c r="J749" s="4">
        <v>7</v>
      </c>
      <c r="K749" s="1">
        <v>2</v>
      </c>
      <c r="L749" s="4">
        <v>945.75</v>
      </c>
      <c r="M749" s="3" t="s">
        <v>28</v>
      </c>
      <c r="N749" s="3" t="s">
        <v>40</v>
      </c>
      <c r="O749" s="2" t="str">
        <f t="shared" si="55"/>
        <v>06-2024</v>
      </c>
      <c r="P749" t="str">
        <f t="shared" si="56"/>
        <v>2024</v>
      </c>
      <c r="Q749" s="6">
        <f t="shared" si="57"/>
        <v>7.5883705162819989E-2</v>
      </c>
      <c r="R749" t="str">
        <f t="shared" si="58"/>
        <v>Profit</v>
      </c>
      <c r="S749" t="str">
        <f t="shared" si="59"/>
        <v>Low (1-10%)</v>
      </c>
    </row>
    <row r="750" spans="1:19" x14ac:dyDescent="0.3">
      <c r="A750" s="3" t="s">
        <v>830</v>
      </c>
      <c r="B750" s="2">
        <v>45481</v>
      </c>
      <c r="C750" s="3" t="s">
        <v>99</v>
      </c>
      <c r="D750" s="3" t="s">
        <v>56</v>
      </c>
      <c r="E750" s="3" t="s">
        <v>57</v>
      </c>
      <c r="F750" s="3" t="s">
        <v>62</v>
      </c>
      <c r="G750" s="3" t="s">
        <v>67</v>
      </c>
      <c r="H750" s="3" t="s">
        <v>68</v>
      </c>
      <c r="I750" s="5">
        <v>4602.57</v>
      </c>
      <c r="J750" s="4">
        <v>3</v>
      </c>
      <c r="K750" s="1">
        <v>26</v>
      </c>
      <c r="L750" s="4">
        <v>651.08000000000004</v>
      </c>
      <c r="M750" s="3" t="s">
        <v>21</v>
      </c>
      <c r="N750" s="3" t="s">
        <v>40</v>
      </c>
      <c r="O750" s="2" t="str">
        <f t="shared" si="55"/>
        <v>07-2024</v>
      </c>
      <c r="P750" t="str">
        <f t="shared" si="56"/>
        <v>2024</v>
      </c>
      <c r="Q750" s="6">
        <f t="shared" si="57"/>
        <v>0.14146009729346867</v>
      </c>
      <c r="R750" t="str">
        <f t="shared" si="58"/>
        <v>Profit</v>
      </c>
      <c r="S750" t="str">
        <f t="shared" si="59"/>
        <v>High (&gt;20%)</v>
      </c>
    </row>
    <row r="751" spans="1:19" x14ac:dyDescent="0.3">
      <c r="A751" s="3" t="s">
        <v>831</v>
      </c>
      <c r="B751" s="2">
        <v>45641</v>
      </c>
      <c r="C751" s="3" t="s">
        <v>66</v>
      </c>
      <c r="D751" s="3" t="s">
        <v>38</v>
      </c>
      <c r="E751" s="3" t="s">
        <v>53</v>
      </c>
      <c r="F751" s="3" t="s">
        <v>62</v>
      </c>
      <c r="G751" s="3" t="s">
        <v>63</v>
      </c>
      <c r="H751" s="3" t="s">
        <v>64</v>
      </c>
      <c r="I751" s="5">
        <v>8567.25</v>
      </c>
      <c r="J751" s="4">
        <v>5</v>
      </c>
      <c r="K751" s="1">
        <v>25</v>
      </c>
      <c r="L751" s="4">
        <v>1075.51</v>
      </c>
      <c r="M751" s="3" t="s">
        <v>28</v>
      </c>
      <c r="N751" s="3" t="s">
        <v>22</v>
      </c>
      <c r="O751" s="2" t="str">
        <f t="shared" si="55"/>
        <v>12-2024</v>
      </c>
      <c r="P751" t="str">
        <f t="shared" si="56"/>
        <v>2024</v>
      </c>
      <c r="Q751" s="6">
        <f t="shared" si="57"/>
        <v>0.12553736613265634</v>
      </c>
      <c r="R751" t="str">
        <f t="shared" si="58"/>
        <v>Profit</v>
      </c>
      <c r="S751" t="str">
        <f t="shared" si="59"/>
        <v>High (&gt;20%)</v>
      </c>
    </row>
    <row r="752" spans="1:19" x14ac:dyDescent="0.3">
      <c r="A752" s="3" t="s">
        <v>832</v>
      </c>
      <c r="B752" s="2">
        <v>45641</v>
      </c>
      <c r="C752" s="3" t="s">
        <v>30</v>
      </c>
      <c r="D752" s="3" t="s">
        <v>89</v>
      </c>
      <c r="E752" s="3" t="s">
        <v>116</v>
      </c>
      <c r="F752" s="3" t="s">
        <v>18</v>
      </c>
      <c r="G752" s="3" t="s">
        <v>19</v>
      </c>
      <c r="H752" s="3" t="s">
        <v>20</v>
      </c>
      <c r="I752" s="5">
        <v>1196.8599999999999</v>
      </c>
      <c r="J752" s="4">
        <v>2</v>
      </c>
      <c r="K752" s="1">
        <v>9</v>
      </c>
      <c r="L752" s="4">
        <v>106.43</v>
      </c>
      <c r="M752" s="3" t="s">
        <v>21</v>
      </c>
      <c r="N752" s="3" t="s">
        <v>35</v>
      </c>
      <c r="O752" s="2" t="str">
        <f t="shared" si="55"/>
        <v>12-2024</v>
      </c>
      <c r="P752" t="str">
        <f t="shared" si="56"/>
        <v>2024</v>
      </c>
      <c r="Q752" s="6">
        <f t="shared" si="57"/>
        <v>8.892435205454273E-2</v>
      </c>
      <c r="R752" t="str">
        <f t="shared" si="58"/>
        <v>Profit</v>
      </c>
      <c r="S752" t="str">
        <f t="shared" si="59"/>
        <v>Low (1-10%)</v>
      </c>
    </row>
    <row r="753" spans="1:19" x14ac:dyDescent="0.3">
      <c r="A753" s="3" t="s">
        <v>833</v>
      </c>
      <c r="B753" s="2">
        <v>45514</v>
      </c>
      <c r="C753" s="3" t="s">
        <v>70</v>
      </c>
      <c r="D753" s="3" t="s">
        <v>16</v>
      </c>
      <c r="E753" s="3" t="s">
        <v>25</v>
      </c>
      <c r="F753" s="3" t="s">
        <v>18</v>
      </c>
      <c r="G753" s="3" t="s">
        <v>26</v>
      </c>
      <c r="H753" s="3" t="s">
        <v>27</v>
      </c>
      <c r="I753" s="5">
        <v>5192.7299999999996</v>
      </c>
      <c r="J753" s="4">
        <v>9</v>
      </c>
      <c r="K753" s="1">
        <v>25</v>
      </c>
      <c r="L753" s="4">
        <v>227.88</v>
      </c>
      <c r="M753" s="3" t="s">
        <v>51</v>
      </c>
      <c r="N753" s="3" t="s">
        <v>22</v>
      </c>
      <c r="O753" s="2" t="str">
        <f t="shared" si="55"/>
        <v>08-2024</v>
      </c>
      <c r="P753" t="str">
        <f t="shared" si="56"/>
        <v>2024</v>
      </c>
      <c r="Q753" s="6">
        <f t="shared" si="57"/>
        <v>4.3884430732967057E-2</v>
      </c>
      <c r="R753" t="str">
        <f t="shared" si="58"/>
        <v>Profit</v>
      </c>
      <c r="S753" t="str">
        <f t="shared" si="59"/>
        <v>High (&gt;20%)</v>
      </c>
    </row>
    <row r="754" spans="1:19" x14ac:dyDescent="0.3">
      <c r="A754" s="3" t="s">
        <v>834</v>
      </c>
      <c r="B754" s="2">
        <v>45786</v>
      </c>
      <c r="C754" s="3" t="s">
        <v>37</v>
      </c>
      <c r="D754" s="3" t="s">
        <v>38</v>
      </c>
      <c r="E754" s="3" t="s">
        <v>53</v>
      </c>
      <c r="F754" s="3" t="s">
        <v>62</v>
      </c>
      <c r="G754" s="3" t="s">
        <v>103</v>
      </c>
      <c r="H754" s="3" t="s">
        <v>104</v>
      </c>
      <c r="I754" s="5">
        <v>13622.13</v>
      </c>
      <c r="J754" s="4">
        <v>9</v>
      </c>
      <c r="K754" s="1">
        <v>8</v>
      </c>
      <c r="L754" s="4">
        <v>3065.99</v>
      </c>
      <c r="M754" s="3" t="s">
        <v>51</v>
      </c>
      <c r="N754" s="3" t="s">
        <v>44</v>
      </c>
      <c r="O754" s="2" t="str">
        <f t="shared" si="55"/>
        <v>05-2025</v>
      </c>
      <c r="P754" t="str">
        <f t="shared" si="56"/>
        <v>2025</v>
      </c>
      <c r="Q754" s="6">
        <f t="shared" si="57"/>
        <v>0.22507419911570364</v>
      </c>
      <c r="R754" t="str">
        <f t="shared" si="58"/>
        <v>Profit</v>
      </c>
      <c r="S754" t="str">
        <f t="shared" si="59"/>
        <v>Low (1-10%)</v>
      </c>
    </row>
    <row r="755" spans="1:19" x14ac:dyDescent="0.3">
      <c r="A755" s="3" t="s">
        <v>835</v>
      </c>
      <c r="B755" s="2">
        <v>45649</v>
      </c>
      <c r="C755" s="3" t="s">
        <v>30</v>
      </c>
      <c r="D755" s="3" t="s">
        <v>89</v>
      </c>
      <c r="E755" s="3" t="s">
        <v>140</v>
      </c>
      <c r="F755" s="3" t="s">
        <v>62</v>
      </c>
      <c r="G755" s="3" t="s">
        <v>80</v>
      </c>
      <c r="H755" s="3" t="s">
        <v>81</v>
      </c>
      <c r="I755" s="5">
        <v>17284.099999999999</v>
      </c>
      <c r="J755" s="4">
        <v>10</v>
      </c>
      <c r="K755" s="1">
        <v>21</v>
      </c>
      <c r="L755" s="4">
        <v>3043.46</v>
      </c>
      <c r="M755" s="3" t="s">
        <v>28</v>
      </c>
      <c r="N755" s="3" t="s">
        <v>44</v>
      </c>
      <c r="O755" s="2" t="str">
        <f t="shared" si="55"/>
        <v>12-2024</v>
      </c>
      <c r="P755" t="str">
        <f t="shared" si="56"/>
        <v>2024</v>
      </c>
      <c r="Q755" s="6">
        <f t="shared" si="57"/>
        <v>0.17608437812787478</v>
      </c>
      <c r="R755" t="str">
        <f t="shared" si="58"/>
        <v>Profit</v>
      </c>
      <c r="S755" t="str">
        <f t="shared" si="59"/>
        <v>High (&gt;20%)</v>
      </c>
    </row>
    <row r="756" spans="1:19" x14ac:dyDescent="0.3">
      <c r="A756" s="3" t="s">
        <v>836</v>
      </c>
      <c r="B756" s="2">
        <v>45438</v>
      </c>
      <c r="C756" s="3" t="s">
        <v>30</v>
      </c>
      <c r="D756" s="3" t="s">
        <v>89</v>
      </c>
      <c r="E756" s="3" t="s">
        <v>140</v>
      </c>
      <c r="F756" s="3" t="s">
        <v>18</v>
      </c>
      <c r="G756" s="3" t="s">
        <v>94</v>
      </c>
      <c r="H756" s="3" t="s">
        <v>95</v>
      </c>
      <c r="I756" s="5">
        <v>1062.8499999999999</v>
      </c>
      <c r="J756" s="4">
        <v>1</v>
      </c>
      <c r="K756" s="1">
        <v>25</v>
      </c>
      <c r="L756" s="4">
        <v>102.68</v>
      </c>
      <c r="M756" s="3" t="s">
        <v>28</v>
      </c>
      <c r="N756" s="3" t="s">
        <v>35</v>
      </c>
      <c r="O756" s="2" t="str">
        <f t="shared" si="55"/>
        <v>05-2024</v>
      </c>
      <c r="P756" t="str">
        <f t="shared" si="56"/>
        <v>2024</v>
      </c>
      <c r="Q756" s="6">
        <f t="shared" si="57"/>
        <v>9.6608176130215939E-2</v>
      </c>
      <c r="R756" t="str">
        <f t="shared" si="58"/>
        <v>Profit</v>
      </c>
      <c r="S756" t="str">
        <f t="shared" si="59"/>
        <v>High (&gt;20%)</v>
      </c>
    </row>
    <row r="757" spans="1:19" x14ac:dyDescent="0.3">
      <c r="A757" s="3" t="s">
        <v>837</v>
      </c>
      <c r="B757" s="2">
        <v>45453</v>
      </c>
      <c r="C757" s="3" t="s">
        <v>30</v>
      </c>
      <c r="D757" s="3" t="s">
        <v>38</v>
      </c>
      <c r="E757" s="3" t="s">
        <v>71</v>
      </c>
      <c r="F757" s="3" t="s">
        <v>32</v>
      </c>
      <c r="G757" s="3" t="s">
        <v>47</v>
      </c>
      <c r="H757" s="3" t="s">
        <v>48</v>
      </c>
      <c r="I757" s="5">
        <v>6195.9</v>
      </c>
      <c r="J757" s="4">
        <v>6</v>
      </c>
      <c r="K757" s="1">
        <v>18</v>
      </c>
      <c r="L757" s="4">
        <v>852.86</v>
      </c>
      <c r="M757" s="3" t="s">
        <v>51</v>
      </c>
      <c r="N757" s="3" t="s">
        <v>35</v>
      </c>
      <c r="O757" s="2" t="str">
        <f t="shared" si="55"/>
        <v>06-2024</v>
      </c>
      <c r="P757" t="str">
        <f t="shared" si="56"/>
        <v>2024</v>
      </c>
      <c r="Q757" s="6">
        <f t="shared" si="57"/>
        <v>0.13764909052760699</v>
      </c>
      <c r="R757" t="str">
        <f t="shared" si="58"/>
        <v>Profit</v>
      </c>
      <c r="S757" t="str">
        <f t="shared" si="59"/>
        <v>Mid (11-20%)</v>
      </c>
    </row>
    <row r="758" spans="1:19" x14ac:dyDescent="0.3">
      <c r="A758" s="3" t="s">
        <v>838</v>
      </c>
      <c r="B758" s="2">
        <v>45550</v>
      </c>
      <c r="C758" s="3" t="s">
        <v>70</v>
      </c>
      <c r="D758" s="3" t="s">
        <v>16</v>
      </c>
      <c r="E758" s="3" t="s">
        <v>17</v>
      </c>
      <c r="F758" s="3" t="s">
        <v>32</v>
      </c>
      <c r="G758" s="3" t="s">
        <v>58</v>
      </c>
      <c r="H758" s="3" t="s">
        <v>59</v>
      </c>
      <c r="I758" s="5">
        <v>4253.5200000000004</v>
      </c>
      <c r="J758" s="4">
        <v>3</v>
      </c>
      <c r="K758" s="1">
        <v>27</v>
      </c>
      <c r="L758" s="4">
        <v>297.99</v>
      </c>
      <c r="M758" s="3" t="s">
        <v>28</v>
      </c>
      <c r="N758" s="3" t="s">
        <v>40</v>
      </c>
      <c r="O758" s="2" t="str">
        <f t="shared" si="55"/>
        <v>09-2024</v>
      </c>
      <c r="P758" t="str">
        <f t="shared" si="56"/>
        <v>2024</v>
      </c>
      <c r="Q758" s="6">
        <f t="shared" si="57"/>
        <v>7.0057270213846404E-2</v>
      </c>
      <c r="R758" t="str">
        <f t="shared" si="58"/>
        <v>Profit</v>
      </c>
      <c r="S758" t="str">
        <f t="shared" si="59"/>
        <v>High (&gt;20%)</v>
      </c>
    </row>
    <row r="759" spans="1:19" x14ac:dyDescent="0.3">
      <c r="A759" s="3" t="s">
        <v>839</v>
      </c>
      <c r="B759" s="2">
        <v>45526</v>
      </c>
      <c r="C759" s="3" t="s">
        <v>133</v>
      </c>
      <c r="D759" s="3" t="s">
        <v>38</v>
      </c>
      <c r="E759" s="3" t="s">
        <v>43</v>
      </c>
      <c r="F759" s="3" t="s">
        <v>18</v>
      </c>
      <c r="G759" s="3" t="s">
        <v>26</v>
      </c>
      <c r="H759" s="3" t="s">
        <v>27</v>
      </c>
      <c r="I759" s="5">
        <v>6102.92</v>
      </c>
      <c r="J759" s="4">
        <v>4</v>
      </c>
      <c r="K759" s="1">
        <v>25</v>
      </c>
      <c r="L759" s="4">
        <v>553.41999999999996</v>
      </c>
      <c r="M759" s="3" t="s">
        <v>21</v>
      </c>
      <c r="N759" s="3" t="s">
        <v>22</v>
      </c>
      <c r="O759" s="2" t="str">
        <f t="shared" si="55"/>
        <v>08-2024</v>
      </c>
      <c r="P759" t="str">
        <f t="shared" si="56"/>
        <v>2024</v>
      </c>
      <c r="Q759" s="6">
        <f t="shared" si="57"/>
        <v>9.0681182122656037E-2</v>
      </c>
      <c r="R759" t="str">
        <f t="shared" si="58"/>
        <v>Profit</v>
      </c>
      <c r="S759" t="str">
        <f t="shared" si="59"/>
        <v>High (&gt;20%)</v>
      </c>
    </row>
    <row r="760" spans="1:19" x14ac:dyDescent="0.3">
      <c r="A760" s="3" t="s">
        <v>840</v>
      </c>
      <c r="B760" s="2">
        <v>45773</v>
      </c>
      <c r="C760" s="3" t="s">
        <v>42</v>
      </c>
      <c r="D760" s="3" t="s">
        <v>16</v>
      </c>
      <c r="E760" s="3" t="s">
        <v>17</v>
      </c>
      <c r="F760" s="3" t="s">
        <v>18</v>
      </c>
      <c r="G760" s="3" t="s">
        <v>94</v>
      </c>
      <c r="H760" s="3" t="s">
        <v>95</v>
      </c>
      <c r="I760" s="5">
        <v>11149.98</v>
      </c>
      <c r="J760" s="4">
        <v>6</v>
      </c>
      <c r="K760" s="1">
        <v>28</v>
      </c>
      <c r="L760" s="4">
        <v>550.69000000000005</v>
      </c>
      <c r="M760" s="3" t="s">
        <v>28</v>
      </c>
      <c r="N760" s="3" t="s">
        <v>44</v>
      </c>
      <c r="O760" s="2" t="str">
        <f t="shared" si="55"/>
        <v>04-2025</v>
      </c>
      <c r="P760" t="str">
        <f t="shared" si="56"/>
        <v>2025</v>
      </c>
      <c r="Q760" s="6">
        <f t="shared" si="57"/>
        <v>4.9389326258881192E-2</v>
      </c>
      <c r="R760" t="str">
        <f t="shared" si="58"/>
        <v>Profit</v>
      </c>
      <c r="S760" t="str">
        <f t="shared" si="59"/>
        <v>High (&gt;20%)</v>
      </c>
    </row>
    <row r="761" spans="1:19" x14ac:dyDescent="0.3">
      <c r="A761" s="3" t="s">
        <v>841</v>
      </c>
      <c r="B761" s="2">
        <v>45512</v>
      </c>
      <c r="C761" s="3" t="s">
        <v>75</v>
      </c>
      <c r="D761" s="3" t="s">
        <v>89</v>
      </c>
      <c r="E761" s="3" t="s">
        <v>90</v>
      </c>
      <c r="F761" s="3" t="s">
        <v>62</v>
      </c>
      <c r="G761" s="3" t="s">
        <v>80</v>
      </c>
      <c r="H761" s="3" t="s">
        <v>81</v>
      </c>
      <c r="I761" s="5">
        <v>18614.400000000001</v>
      </c>
      <c r="J761" s="4">
        <v>10</v>
      </c>
      <c r="K761" s="1">
        <v>21</v>
      </c>
      <c r="L761" s="4">
        <v>3359.62</v>
      </c>
      <c r="M761" s="3" t="s">
        <v>21</v>
      </c>
      <c r="N761" s="3" t="s">
        <v>35</v>
      </c>
      <c r="O761" s="2" t="str">
        <f t="shared" si="55"/>
        <v>08-2024</v>
      </c>
      <c r="P761" t="str">
        <f t="shared" si="56"/>
        <v>2024</v>
      </c>
      <c r="Q761" s="6">
        <f t="shared" si="57"/>
        <v>0.18048500085954958</v>
      </c>
      <c r="R761" t="str">
        <f t="shared" si="58"/>
        <v>Profit</v>
      </c>
      <c r="S761" t="str">
        <f t="shared" si="59"/>
        <v>High (&gt;20%)</v>
      </c>
    </row>
    <row r="762" spans="1:19" x14ac:dyDescent="0.3">
      <c r="A762" s="3" t="s">
        <v>842</v>
      </c>
      <c r="B762" s="2">
        <v>45624</v>
      </c>
      <c r="C762" s="3" t="s">
        <v>66</v>
      </c>
      <c r="D762" s="3" t="s">
        <v>56</v>
      </c>
      <c r="E762" s="3" t="s">
        <v>61</v>
      </c>
      <c r="F762" s="3" t="s">
        <v>32</v>
      </c>
      <c r="G762" s="3" t="s">
        <v>47</v>
      </c>
      <c r="H762" s="3" t="s">
        <v>48</v>
      </c>
      <c r="I762" s="5">
        <v>2791.88</v>
      </c>
      <c r="J762" s="4">
        <v>4</v>
      </c>
      <c r="K762" s="1">
        <v>5</v>
      </c>
      <c r="L762" s="4">
        <v>326.77</v>
      </c>
      <c r="M762" s="3" t="s">
        <v>51</v>
      </c>
      <c r="N762" s="3" t="s">
        <v>40</v>
      </c>
      <c r="O762" s="2" t="str">
        <f t="shared" si="55"/>
        <v>11-2024</v>
      </c>
      <c r="P762" t="str">
        <f t="shared" si="56"/>
        <v>2024</v>
      </c>
      <c r="Q762" s="6">
        <f t="shared" si="57"/>
        <v>0.11704299611731162</v>
      </c>
      <c r="R762" t="str">
        <f t="shared" si="58"/>
        <v>Profit</v>
      </c>
      <c r="S762" t="str">
        <f t="shared" si="59"/>
        <v>Low (1-10%)</v>
      </c>
    </row>
    <row r="763" spans="1:19" x14ac:dyDescent="0.3">
      <c r="A763" s="3" t="s">
        <v>843</v>
      </c>
      <c r="B763" s="2">
        <v>45667</v>
      </c>
      <c r="C763" s="3" t="s">
        <v>37</v>
      </c>
      <c r="D763" s="3" t="s">
        <v>16</v>
      </c>
      <c r="E763" s="3" t="s">
        <v>17</v>
      </c>
      <c r="F763" s="3" t="s">
        <v>62</v>
      </c>
      <c r="G763" s="3" t="s">
        <v>103</v>
      </c>
      <c r="H763" s="3" t="s">
        <v>104</v>
      </c>
      <c r="I763" s="5">
        <v>4522.68</v>
      </c>
      <c r="J763" s="4">
        <v>6</v>
      </c>
      <c r="K763" s="1">
        <v>0</v>
      </c>
      <c r="L763" s="4">
        <v>294.75</v>
      </c>
      <c r="M763" s="3" t="s">
        <v>28</v>
      </c>
      <c r="N763" s="3" t="s">
        <v>22</v>
      </c>
      <c r="O763" s="2" t="str">
        <f t="shared" si="55"/>
        <v>01-2025</v>
      </c>
      <c r="P763" t="str">
        <f t="shared" si="56"/>
        <v>2025</v>
      </c>
      <c r="Q763" s="6">
        <f t="shared" si="57"/>
        <v>6.5171535461275173E-2</v>
      </c>
      <c r="R763" t="str">
        <f t="shared" si="58"/>
        <v>Profit</v>
      </c>
      <c r="S763" t="str">
        <f t="shared" si="59"/>
        <v>No Discount</v>
      </c>
    </row>
    <row r="764" spans="1:19" x14ac:dyDescent="0.3">
      <c r="A764" s="3" t="s">
        <v>844</v>
      </c>
      <c r="B764" s="2">
        <v>45626</v>
      </c>
      <c r="C764" s="3" t="s">
        <v>37</v>
      </c>
      <c r="D764" s="3" t="s">
        <v>89</v>
      </c>
      <c r="E764" s="3" t="s">
        <v>116</v>
      </c>
      <c r="F764" s="3" t="s">
        <v>62</v>
      </c>
      <c r="G764" s="3" t="s">
        <v>67</v>
      </c>
      <c r="H764" s="3" t="s">
        <v>68</v>
      </c>
      <c r="I764" s="5">
        <v>10717.36</v>
      </c>
      <c r="J764" s="4">
        <v>8</v>
      </c>
      <c r="K764" s="1">
        <v>27</v>
      </c>
      <c r="L764" s="4">
        <v>776.96</v>
      </c>
      <c r="M764" s="3" t="s">
        <v>51</v>
      </c>
      <c r="N764" s="3" t="s">
        <v>22</v>
      </c>
      <c r="O764" s="2" t="str">
        <f t="shared" si="55"/>
        <v>11-2024</v>
      </c>
      <c r="P764" t="str">
        <f t="shared" si="56"/>
        <v>2024</v>
      </c>
      <c r="Q764" s="6">
        <f t="shared" si="57"/>
        <v>7.2495465301156248E-2</v>
      </c>
      <c r="R764" t="str">
        <f t="shared" si="58"/>
        <v>Profit</v>
      </c>
      <c r="S764" t="str">
        <f t="shared" si="59"/>
        <v>High (&gt;20%)</v>
      </c>
    </row>
    <row r="765" spans="1:19" x14ac:dyDescent="0.3">
      <c r="A765" s="3" t="s">
        <v>845</v>
      </c>
      <c r="B765" s="2">
        <v>45730</v>
      </c>
      <c r="C765" s="3" t="s">
        <v>75</v>
      </c>
      <c r="D765" s="3" t="s">
        <v>89</v>
      </c>
      <c r="E765" s="3" t="s">
        <v>97</v>
      </c>
      <c r="F765" s="3" t="s">
        <v>62</v>
      </c>
      <c r="G765" s="3" t="s">
        <v>103</v>
      </c>
      <c r="H765" s="3" t="s">
        <v>104</v>
      </c>
      <c r="I765" s="5">
        <v>2928.16</v>
      </c>
      <c r="J765" s="4">
        <v>2</v>
      </c>
      <c r="K765" s="1">
        <v>21</v>
      </c>
      <c r="L765" s="4">
        <v>262.06</v>
      </c>
      <c r="M765" s="3" t="s">
        <v>51</v>
      </c>
      <c r="N765" s="3" t="s">
        <v>22</v>
      </c>
      <c r="O765" s="2" t="str">
        <f t="shared" si="55"/>
        <v>03-2025</v>
      </c>
      <c r="P765" t="str">
        <f t="shared" si="56"/>
        <v>2025</v>
      </c>
      <c r="Q765" s="6">
        <f t="shared" si="57"/>
        <v>8.9496475602426101E-2</v>
      </c>
      <c r="R765" t="str">
        <f t="shared" si="58"/>
        <v>Profit</v>
      </c>
      <c r="S765" t="str">
        <f t="shared" si="59"/>
        <v>High (&gt;20%)</v>
      </c>
    </row>
    <row r="766" spans="1:19" x14ac:dyDescent="0.3">
      <c r="A766" s="3" t="s">
        <v>846</v>
      </c>
      <c r="B766" s="2">
        <v>45481</v>
      </c>
      <c r="C766" s="3" t="s">
        <v>133</v>
      </c>
      <c r="D766" s="3" t="s">
        <v>16</v>
      </c>
      <c r="E766" s="3" t="s">
        <v>17</v>
      </c>
      <c r="F766" s="3" t="s">
        <v>32</v>
      </c>
      <c r="G766" s="3" t="s">
        <v>112</v>
      </c>
      <c r="H766" s="3" t="s">
        <v>113</v>
      </c>
      <c r="I766" s="5">
        <v>6467.55</v>
      </c>
      <c r="J766" s="4">
        <v>5</v>
      </c>
      <c r="K766" s="1">
        <v>3</v>
      </c>
      <c r="L766" s="4">
        <v>444.3</v>
      </c>
      <c r="M766" s="3" t="s">
        <v>51</v>
      </c>
      <c r="N766" s="3" t="s">
        <v>40</v>
      </c>
      <c r="O766" s="2" t="str">
        <f t="shared" si="55"/>
        <v>07-2024</v>
      </c>
      <c r="P766" t="str">
        <f t="shared" si="56"/>
        <v>2024</v>
      </c>
      <c r="Q766" s="6">
        <f t="shared" si="57"/>
        <v>6.8696801725537493E-2</v>
      </c>
      <c r="R766" t="str">
        <f t="shared" si="58"/>
        <v>Profit</v>
      </c>
      <c r="S766" t="str">
        <f t="shared" si="59"/>
        <v>Low (1-10%)</v>
      </c>
    </row>
    <row r="767" spans="1:19" x14ac:dyDescent="0.3">
      <c r="A767" s="3" t="s">
        <v>847</v>
      </c>
      <c r="B767" s="2">
        <v>45531</v>
      </c>
      <c r="C767" s="3" t="s">
        <v>66</v>
      </c>
      <c r="D767" s="3" t="s">
        <v>56</v>
      </c>
      <c r="E767" s="3" t="s">
        <v>61</v>
      </c>
      <c r="F767" s="3" t="s">
        <v>32</v>
      </c>
      <c r="G767" s="3" t="s">
        <v>47</v>
      </c>
      <c r="H767" s="3" t="s">
        <v>48</v>
      </c>
      <c r="I767" s="5">
        <v>2542.0500000000002</v>
      </c>
      <c r="J767" s="4">
        <v>3</v>
      </c>
      <c r="K767" s="1">
        <v>4</v>
      </c>
      <c r="L767" s="4">
        <v>346.02</v>
      </c>
      <c r="M767" s="3" t="s">
        <v>51</v>
      </c>
      <c r="N767" s="3" t="s">
        <v>35</v>
      </c>
      <c r="O767" s="2" t="str">
        <f t="shared" si="55"/>
        <v>08-2024</v>
      </c>
      <c r="P767" t="str">
        <f t="shared" si="56"/>
        <v>2024</v>
      </c>
      <c r="Q767" s="6">
        <f t="shared" si="57"/>
        <v>0.13611848704785506</v>
      </c>
      <c r="R767" t="str">
        <f t="shared" si="58"/>
        <v>Profit</v>
      </c>
      <c r="S767" t="str">
        <f t="shared" si="59"/>
        <v>Low (1-10%)</v>
      </c>
    </row>
    <row r="768" spans="1:19" x14ac:dyDescent="0.3">
      <c r="A768" s="3" t="s">
        <v>848</v>
      </c>
      <c r="B768" s="2">
        <v>45654</v>
      </c>
      <c r="C768" s="3" t="s">
        <v>37</v>
      </c>
      <c r="D768" s="3" t="s">
        <v>38</v>
      </c>
      <c r="E768" s="3" t="s">
        <v>39</v>
      </c>
      <c r="F768" s="3" t="s">
        <v>18</v>
      </c>
      <c r="G768" s="3" t="s">
        <v>19</v>
      </c>
      <c r="H768" s="3" t="s">
        <v>20</v>
      </c>
      <c r="I768" s="5">
        <v>9668.5</v>
      </c>
      <c r="J768" s="4">
        <v>10</v>
      </c>
      <c r="K768" s="1">
        <v>5</v>
      </c>
      <c r="L768" s="4">
        <v>856.08</v>
      </c>
      <c r="M768" s="3" t="s">
        <v>28</v>
      </c>
      <c r="N768" s="3" t="s">
        <v>40</v>
      </c>
      <c r="O768" s="2" t="str">
        <f t="shared" si="55"/>
        <v>12-2024</v>
      </c>
      <c r="P768" t="str">
        <f t="shared" si="56"/>
        <v>2024</v>
      </c>
      <c r="Q768" s="6">
        <f t="shared" si="57"/>
        <v>8.8543207322749132E-2</v>
      </c>
      <c r="R768" t="str">
        <f t="shared" si="58"/>
        <v>Profit</v>
      </c>
      <c r="S768" t="str">
        <f t="shared" si="59"/>
        <v>Low (1-10%)</v>
      </c>
    </row>
    <row r="769" spans="1:19" x14ac:dyDescent="0.3">
      <c r="A769" s="3" t="s">
        <v>849</v>
      </c>
      <c r="B769" s="2">
        <v>45655</v>
      </c>
      <c r="C769" s="3" t="s">
        <v>30</v>
      </c>
      <c r="D769" s="3" t="s">
        <v>89</v>
      </c>
      <c r="E769" s="3" t="s">
        <v>102</v>
      </c>
      <c r="F769" s="3" t="s">
        <v>18</v>
      </c>
      <c r="G769" s="3" t="s">
        <v>26</v>
      </c>
      <c r="H769" s="3" t="s">
        <v>27</v>
      </c>
      <c r="I769" s="5">
        <v>16881.48</v>
      </c>
      <c r="J769" s="4">
        <v>9</v>
      </c>
      <c r="K769" s="1">
        <v>15</v>
      </c>
      <c r="L769" s="4">
        <v>2096.96</v>
      </c>
      <c r="M769" s="3" t="s">
        <v>21</v>
      </c>
      <c r="N769" s="3" t="s">
        <v>44</v>
      </c>
      <c r="O769" s="2" t="str">
        <f t="shared" si="55"/>
        <v>12-2024</v>
      </c>
      <c r="P769" t="str">
        <f t="shared" si="56"/>
        <v>2024</v>
      </c>
      <c r="Q769" s="6">
        <f t="shared" si="57"/>
        <v>0.12421659712300107</v>
      </c>
      <c r="R769" t="str">
        <f t="shared" si="58"/>
        <v>Profit</v>
      </c>
      <c r="S769" t="str">
        <f t="shared" si="59"/>
        <v>Mid (11-20%)</v>
      </c>
    </row>
    <row r="770" spans="1:19" x14ac:dyDescent="0.3">
      <c r="A770" s="3" t="s">
        <v>850</v>
      </c>
      <c r="B770" s="2">
        <v>45756</v>
      </c>
      <c r="C770" s="3" t="s">
        <v>73</v>
      </c>
      <c r="D770" s="3" t="s">
        <v>89</v>
      </c>
      <c r="E770" s="3" t="s">
        <v>116</v>
      </c>
      <c r="F770" s="3" t="s">
        <v>32</v>
      </c>
      <c r="G770" s="3" t="s">
        <v>47</v>
      </c>
      <c r="H770" s="3" t="s">
        <v>48</v>
      </c>
      <c r="I770" s="5">
        <v>5009.24</v>
      </c>
      <c r="J770" s="4">
        <v>4</v>
      </c>
      <c r="K770" s="1">
        <v>27</v>
      </c>
      <c r="L770" s="4">
        <v>780.02</v>
      </c>
      <c r="M770" s="3" t="s">
        <v>28</v>
      </c>
      <c r="N770" s="3" t="s">
        <v>35</v>
      </c>
      <c r="O770" s="2" t="str">
        <f t="shared" ref="O770:O833" si="60" xml:space="preserve"> TEXT(B770,"MM-YYYY")</f>
        <v>04-2025</v>
      </c>
      <c r="P770" t="str">
        <f t="shared" ref="P770:P833" si="61">TEXT(B770,"YYYY")</f>
        <v>2025</v>
      </c>
      <c r="Q770" s="6">
        <f t="shared" ref="Q770:Q833" si="62">IFERROR(L770/I770,0)</f>
        <v>0.15571623639514179</v>
      </c>
      <c r="R770" t="str">
        <f t="shared" ref="R770:R833" si="63">IF(L770&gt;0,"Profit","Loss")</f>
        <v>Profit</v>
      </c>
      <c r="S770" t="str">
        <f t="shared" ref="S770:S833" si="64">IF(K770=0,"No Discount",IF(K770&lt;=10,"Low (1-10%)",IF(K770&lt;=20,"Mid (11-20%)","High (&gt;20%)")))</f>
        <v>High (&gt;20%)</v>
      </c>
    </row>
    <row r="771" spans="1:19" x14ac:dyDescent="0.3">
      <c r="A771" s="3" t="s">
        <v>851</v>
      </c>
      <c r="B771" s="2">
        <v>45761</v>
      </c>
      <c r="C771" s="3" t="s">
        <v>50</v>
      </c>
      <c r="D771" s="3" t="s">
        <v>38</v>
      </c>
      <c r="E771" s="3" t="s">
        <v>39</v>
      </c>
      <c r="F771" s="3" t="s">
        <v>32</v>
      </c>
      <c r="G771" s="3" t="s">
        <v>112</v>
      </c>
      <c r="H771" s="3" t="s">
        <v>113</v>
      </c>
      <c r="I771" s="5">
        <v>7640.78</v>
      </c>
      <c r="J771" s="4">
        <v>7</v>
      </c>
      <c r="K771" s="1">
        <v>29</v>
      </c>
      <c r="L771" s="4">
        <v>829.5</v>
      </c>
      <c r="M771" s="3" t="s">
        <v>21</v>
      </c>
      <c r="N771" s="3" t="s">
        <v>44</v>
      </c>
      <c r="O771" s="2" t="str">
        <f t="shared" si="60"/>
        <v>04-2025</v>
      </c>
      <c r="P771" t="str">
        <f t="shared" si="61"/>
        <v>2025</v>
      </c>
      <c r="Q771" s="6">
        <f t="shared" si="62"/>
        <v>0.10856221485241035</v>
      </c>
      <c r="R771" t="str">
        <f t="shared" si="63"/>
        <v>Profit</v>
      </c>
      <c r="S771" t="str">
        <f t="shared" si="64"/>
        <v>High (&gt;20%)</v>
      </c>
    </row>
    <row r="772" spans="1:19" x14ac:dyDescent="0.3">
      <c r="A772" s="3" t="s">
        <v>852</v>
      </c>
      <c r="B772" s="2">
        <v>45732</v>
      </c>
      <c r="C772" s="3" t="s">
        <v>24</v>
      </c>
      <c r="D772" s="3" t="s">
        <v>56</v>
      </c>
      <c r="E772" s="3" t="s">
        <v>108</v>
      </c>
      <c r="F772" s="3" t="s">
        <v>62</v>
      </c>
      <c r="G772" s="3" t="s">
        <v>63</v>
      </c>
      <c r="H772" s="3" t="s">
        <v>64</v>
      </c>
      <c r="I772" s="5">
        <v>11262.24</v>
      </c>
      <c r="J772" s="4">
        <v>8</v>
      </c>
      <c r="K772" s="1">
        <v>26</v>
      </c>
      <c r="L772" s="4">
        <v>733.61</v>
      </c>
      <c r="M772" s="3" t="s">
        <v>28</v>
      </c>
      <c r="N772" s="3" t="s">
        <v>44</v>
      </c>
      <c r="O772" s="2" t="str">
        <f t="shared" si="60"/>
        <v>03-2025</v>
      </c>
      <c r="P772" t="str">
        <f t="shared" si="61"/>
        <v>2025</v>
      </c>
      <c r="Q772" s="6">
        <f t="shared" si="62"/>
        <v>6.5138906647345465E-2</v>
      </c>
      <c r="R772" t="str">
        <f t="shared" si="63"/>
        <v>Profit</v>
      </c>
      <c r="S772" t="str">
        <f t="shared" si="64"/>
        <v>High (&gt;20%)</v>
      </c>
    </row>
    <row r="773" spans="1:19" x14ac:dyDescent="0.3">
      <c r="A773" s="3" t="s">
        <v>853</v>
      </c>
      <c r="B773" s="2">
        <v>45714</v>
      </c>
      <c r="C773" s="3" t="s">
        <v>73</v>
      </c>
      <c r="D773" s="3" t="s">
        <v>89</v>
      </c>
      <c r="E773" s="3" t="s">
        <v>97</v>
      </c>
      <c r="F773" s="3" t="s">
        <v>18</v>
      </c>
      <c r="G773" s="3" t="s">
        <v>94</v>
      </c>
      <c r="H773" s="3" t="s">
        <v>95</v>
      </c>
      <c r="I773" s="5">
        <v>2918.64</v>
      </c>
      <c r="J773" s="4">
        <v>6</v>
      </c>
      <c r="K773" s="1">
        <v>27</v>
      </c>
      <c r="L773" s="4">
        <v>174.34</v>
      </c>
      <c r="M773" s="3" t="s">
        <v>21</v>
      </c>
      <c r="N773" s="3" t="s">
        <v>40</v>
      </c>
      <c r="O773" s="2" t="str">
        <f t="shared" si="60"/>
        <v>02-2025</v>
      </c>
      <c r="P773" t="str">
        <f t="shared" si="61"/>
        <v>2025</v>
      </c>
      <c r="Q773" s="6">
        <f t="shared" si="62"/>
        <v>5.9733300441301429E-2</v>
      </c>
      <c r="R773" t="str">
        <f t="shared" si="63"/>
        <v>Profit</v>
      </c>
      <c r="S773" t="str">
        <f t="shared" si="64"/>
        <v>High (&gt;20%)</v>
      </c>
    </row>
    <row r="774" spans="1:19" x14ac:dyDescent="0.3">
      <c r="A774" s="3" t="s">
        <v>854</v>
      </c>
      <c r="B774" s="2">
        <v>45556</v>
      </c>
      <c r="C774" s="3" t="s">
        <v>15</v>
      </c>
      <c r="D774" s="3" t="s">
        <v>89</v>
      </c>
      <c r="E774" s="3" t="s">
        <v>116</v>
      </c>
      <c r="F774" s="3" t="s">
        <v>18</v>
      </c>
      <c r="G774" s="3" t="s">
        <v>94</v>
      </c>
      <c r="H774" s="3" t="s">
        <v>95</v>
      </c>
      <c r="I774" s="5">
        <v>976.08</v>
      </c>
      <c r="J774" s="4">
        <v>6</v>
      </c>
      <c r="K774" s="1">
        <v>12</v>
      </c>
      <c r="L774" s="4">
        <v>44.68</v>
      </c>
      <c r="M774" s="3" t="s">
        <v>28</v>
      </c>
      <c r="N774" s="3" t="s">
        <v>35</v>
      </c>
      <c r="O774" s="2" t="str">
        <f t="shared" si="60"/>
        <v>09-2024</v>
      </c>
      <c r="P774" t="str">
        <f t="shared" si="61"/>
        <v>2024</v>
      </c>
      <c r="Q774" s="6">
        <f t="shared" si="62"/>
        <v>4.5774936480616341E-2</v>
      </c>
      <c r="R774" t="str">
        <f t="shared" si="63"/>
        <v>Profit</v>
      </c>
      <c r="S774" t="str">
        <f t="shared" si="64"/>
        <v>Mid (11-20%)</v>
      </c>
    </row>
    <row r="775" spans="1:19" x14ac:dyDescent="0.3">
      <c r="A775" s="3" t="s">
        <v>855</v>
      </c>
      <c r="B775" s="2">
        <v>45772</v>
      </c>
      <c r="C775" s="3" t="s">
        <v>101</v>
      </c>
      <c r="D775" s="3" t="s">
        <v>56</v>
      </c>
      <c r="E775" s="3" t="s">
        <v>61</v>
      </c>
      <c r="F775" s="3" t="s">
        <v>62</v>
      </c>
      <c r="G775" s="3" t="s">
        <v>63</v>
      </c>
      <c r="H775" s="3" t="s">
        <v>64</v>
      </c>
      <c r="I775" s="5">
        <v>2285.88</v>
      </c>
      <c r="J775" s="4">
        <v>4</v>
      </c>
      <c r="K775" s="1">
        <v>5</v>
      </c>
      <c r="L775" s="4">
        <v>425.77</v>
      </c>
      <c r="M775" s="3" t="s">
        <v>51</v>
      </c>
      <c r="N775" s="3" t="s">
        <v>35</v>
      </c>
      <c r="O775" s="2" t="str">
        <f t="shared" si="60"/>
        <v>04-2025</v>
      </c>
      <c r="P775" t="str">
        <f t="shared" si="61"/>
        <v>2025</v>
      </c>
      <c r="Q775" s="6">
        <f t="shared" si="62"/>
        <v>0.18626087108684619</v>
      </c>
      <c r="R775" t="str">
        <f t="shared" si="63"/>
        <v>Profit</v>
      </c>
      <c r="S775" t="str">
        <f t="shared" si="64"/>
        <v>Low (1-10%)</v>
      </c>
    </row>
    <row r="776" spans="1:19" x14ac:dyDescent="0.3">
      <c r="A776" s="3" t="s">
        <v>856</v>
      </c>
      <c r="B776" s="2">
        <v>45448</v>
      </c>
      <c r="C776" s="3" t="s">
        <v>15</v>
      </c>
      <c r="D776" s="3" t="s">
        <v>38</v>
      </c>
      <c r="E776" s="3" t="s">
        <v>71</v>
      </c>
      <c r="F776" s="3" t="s">
        <v>62</v>
      </c>
      <c r="G776" s="3" t="s">
        <v>103</v>
      </c>
      <c r="H776" s="3" t="s">
        <v>104</v>
      </c>
      <c r="I776" s="5">
        <v>2272.27</v>
      </c>
      <c r="J776" s="4">
        <v>7</v>
      </c>
      <c r="K776" s="1">
        <v>3</v>
      </c>
      <c r="L776" s="4">
        <v>347.48</v>
      </c>
      <c r="M776" s="3" t="s">
        <v>21</v>
      </c>
      <c r="N776" s="3" t="s">
        <v>35</v>
      </c>
      <c r="O776" s="2" t="str">
        <f t="shared" si="60"/>
        <v>06-2024</v>
      </c>
      <c r="P776" t="str">
        <f t="shared" si="61"/>
        <v>2024</v>
      </c>
      <c r="Q776" s="6">
        <f t="shared" si="62"/>
        <v>0.15292196789994147</v>
      </c>
      <c r="R776" t="str">
        <f t="shared" si="63"/>
        <v>Profit</v>
      </c>
      <c r="S776" t="str">
        <f t="shared" si="64"/>
        <v>Low (1-10%)</v>
      </c>
    </row>
    <row r="777" spans="1:19" x14ac:dyDescent="0.3">
      <c r="A777" s="3" t="s">
        <v>857</v>
      </c>
      <c r="B777" s="2">
        <v>45476</v>
      </c>
      <c r="C777" s="3" t="s">
        <v>15</v>
      </c>
      <c r="D777" s="3" t="s">
        <v>16</v>
      </c>
      <c r="E777" s="3" t="s">
        <v>25</v>
      </c>
      <c r="F777" s="3" t="s">
        <v>32</v>
      </c>
      <c r="G777" s="3" t="s">
        <v>58</v>
      </c>
      <c r="H777" s="3" t="s">
        <v>59</v>
      </c>
      <c r="I777" s="5">
        <v>5561.43</v>
      </c>
      <c r="J777" s="4">
        <v>3</v>
      </c>
      <c r="K777" s="1">
        <v>27</v>
      </c>
      <c r="L777" s="4">
        <v>570.20000000000005</v>
      </c>
      <c r="M777" s="3" t="s">
        <v>28</v>
      </c>
      <c r="N777" s="3" t="s">
        <v>22</v>
      </c>
      <c r="O777" s="2" t="str">
        <f t="shared" si="60"/>
        <v>07-2024</v>
      </c>
      <c r="P777" t="str">
        <f t="shared" si="61"/>
        <v>2024</v>
      </c>
      <c r="Q777" s="6">
        <f t="shared" si="62"/>
        <v>0.10252758732915815</v>
      </c>
      <c r="R777" t="str">
        <f t="shared" si="63"/>
        <v>Profit</v>
      </c>
      <c r="S777" t="str">
        <f t="shared" si="64"/>
        <v>High (&gt;20%)</v>
      </c>
    </row>
    <row r="778" spans="1:19" x14ac:dyDescent="0.3">
      <c r="A778" s="3" t="s">
        <v>858</v>
      </c>
      <c r="B778" s="2">
        <v>45517</v>
      </c>
      <c r="C778" s="3" t="s">
        <v>42</v>
      </c>
      <c r="D778" s="3" t="s">
        <v>16</v>
      </c>
      <c r="E778" s="3" t="s">
        <v>17</v>
      </c>
      <c r="F778" s="3" t="s">
        <v>32</v>
      </c>
      <c r="G778" s="3" t="s">
        <v>47</v>
      </c>
      <c r="H778" s="3" t="s">
        <v>48</v>
      </c>
      <c r="I778" s="5">
        <v>2975.28</v>
      </c>
      <c r="J778" s="4">
        <v>2</v>
      </c>
      <c r="K778" s="1">
        <v>13</v>
      </c>
      <c r="L778" s="4">
        <v>570.04999999999995</v>
      </c>
      <c r="M778" s="3" t="s">
        <v>51</v>
      </c>
      <c r="N778" s="3" t="s">
        <v>22</v>
      </c>
      <c r="O778" s="2" t="str">
        <f t="shared" si="60"/>
        <v>08-2024</v>
      </c>
      <c r="P778" t="str">
        <f t="shared" si="61"/>
        <v>2024</v>
      </c>
      <c r="Q778" s="6">
        <f t="shared" si="62"/>
        <v>0.19159541286870477</v>
      </c>
      <c r="R778" t="str">
        <f t="shared" si="63"/>
        <v>Profit</v>
      </c>
      <c r="S778" t="str">
        <f t="shared" si="64"/>
        <v>Mid (11-20%)</v>
      </c>
    </row>
    <row r="779" spans="1:19" x14ac:dyDescent="0.3">
      <c r="A779" s="3" t="s">
        <v>859</v>
      </c>
      <c r="B779" s="2">
        <v>45626</v>
      </c>
      <c r="C779" s="3" t="s">
        <v>24</v>
      </c>
      <c r="D779" s="3" t="s">
        <v>38</v>
      </c>
      <c r="E779" s="3" t="s">
        <v>71</v>
      </c>
      <c r="F779" s="3" t="s">
        <v>62</v>
      </c>
      <c r="G779" s="3" t="s">
        <v>63</v>
      </c>
      <c r="H779" s="3" t="s">
        <v>64</v>
      </c>
      <c r="I779" s="5">
        <v>11932.83</v>
      </c>
      <c r="J779" s="4">
        <v>7</v>
      </c>
      <c r="K779" s="1">
        <v>5</v>
      </c>
      <c r="L779" s="4">
        <v>1583.17</v>
      </c>
      <c r="M779" s="3" t="s">
        <v>28</v>
      </c>
      <c r="N779" s="3" t="s">
        <v>22</v>
      </c>
      <c r="O779" s="2" t="str">
        <f t="shared" si="60"/>
        <v>11-2024</v>
      </c>
      <c r="P779" t="str">
        <f t="shared" si="61"/>
        <v>2024</v>
      </c>
      <c r="Q779" s="6">
        <f t="shared" si="62"/>
        <v>0.13267347309900501</v>
      </c>
      <c r="R779" t="str">
        <f t="shared" si="63"/>
        <v>Profit</v>
      </c>
      <c r="S779" t="str">
        <f t="shared" si="64"/>
        <v>Low (1-10%)</v>
      </c>
    </row>
    <row r="780" spans="1:19" x14ac:dyDescent="0.3">
      <c r="A780" s="3" t="s">
        <v>860</v>
      </c>
      <c r="B780" s="2">
        <v>45609</v>
      </c>
      <c r="C780" s="3" t="s">
        <v>84</v>
      </c>
      <c r="D780" s="3" t="s">
        <v>16</v>
      </c>
      <c r="E780" s="3" t="s">
        <v>31</v>
      </c>
      <c r="F780" s="3" t="s">
        <v>18</v>
      </c>
      <c r="G780" s="3" t="s">
        <v>76</v>
      </c>
      <c r="H780" s="3" t="s">
        <v>77</v>
      </c>
      <c r="I780" s="5">
        <v>10058.719999999999</v>
      </c>
      <c r="J780" s="4">
        <v>7</v>
      </c>
      <c r="K780" s="1">
        <v>3</v>
      </c>
      <c r="L780" s="4">
        <v>749.4</v>
      </c>
      <c r="M780" s="3" t="s">
        <v>28</v>
      </c>
      <c r="N780" s="3" t="s">
        <v>40</v>
      </c>
      <c r="O780" s="2" t="str">
        <f t="shared" si="60"/>
        <v>11-2024</v>
      </c>
      <c r="P780" t="str">
        <f t="shared" si="61"/>
        <v>2024</v>
      </c>
      <c r="Q780" s="6">
        <f t="shared" si="62"/>
        <v>7.4502521195539795E-2</v>
      </c>
      <c r="R780" t="str">
        <f t="shared" si="63"/>
        <v>Profit</v>
      </c>
      <c r="S780" t="str">
        <f t="shared" si="64"/>
        <v>Low (1-10%)</v>
      </c>
    </row>
    <row r="781" spans="1:19" x14ac:dyDescent="0.3">
      <c r="A781" s="3" t="s">
        <v>861</v>
      </c>
      <c r="B781" s="2">
        <v>45658</v>
      </c>
      <c r="C781" s="3" t="s">
        <v>15</v>
      </c>
      <c r="D781" s="3" t="s">
        <v>56</v>
      </c>
      <c r="E781" s="3" t="s">
        <v>61</v>
      </c>
      <c r="F781" s="3" t="s">
        <v>32</v>
      </c>
      <c r="G781" s="3" t="s">
        <v>47</v>
      </c>
      <c r="H781" s="3" t="s">
        <v>48</v>
      </c>
      <c r="I781" s="5">
        <v>1005.37</v>
      </c>
      <c r="J781" s="4">
        <v>1</v>
      </c>
      <c r="K781" s="1">
        <v>25</v>
      </c>
      <c r="L781" s="4">
        <v>104.35</v>
      </c>
      <c r="M781" s="3" t="s">
        <v>51</v>
      </c>
      <c r="N781" s="3" t="s">
        <v>35</v>
      </c>
      <c r="O781" s="2" t="str">
        <f t="shared" si="60"/>
        <v>01-2025</v>
      </c>
      <c r="P781" t="str">
        <f t="shared" si="61"/>
        <v>2025</v>
      </c>
      <c r="Q781" s="6">
        <f t="shared" si="62"/>
        <v>0.10379263355779464</v>
      </c>
      <c r="R781" t="str">
        <f t="shared" si="63"/>
        <v>Profit</v>
      </c>
      <c r="S781" t="str">
        <f t="shared" si="64"/>
        <v>High (&gt;20%)</v>
      </c>
    </row>
    <row r="782" spans="1:19" x14ac:dyDescent="0.3">
      <c r="A782" s="3" t="s">
        <v>862</v>
      </c>
      <c r="B782" s="2">
        <v>45510</v>
      </c>
      <c r="C782" s="3" t="s">
        <v>37</v>
      </c>
      <c r="D782" s="3" t="s">
        <v>56</v>
      </c>
      <c r="E782" s="3" t="s">
        <v>108</v>
      </c>
      <c r="F782" s="3" t="s">
        <v>62</v>
      </c>
      <c r="G782" s="3" t="s">
        <v>103</v>
      </c>
      <c r="H782" s="3" t="s">
        <v>104</v>
      </c>
      <c r="I782" s="5">
        <v>1281.24</v>
      </c>
      <c r="J782" s="4">
        <v>4</v>
      </c>
      <c r="K782" s="1">
        <v>5</v>
      </c>
      <c r="L782" s="4">
        <v>117.17</v>
      </c>
      <c r="M782" s="3" t="s">
        <v>51</v>
      </c>
      <c r="N782" s="3" t="s">
        <v>44</v>
      </c>
      <c r="O782" s="2" t="str">
        <f t="shared" si="60"/>
        <v>08-2024</v>
      </c>
      <c r="P782" t="str">
        <f t="shared" si="61"/>
        <v>2024</v>
      </c>
      <c r="Q782" s="6">
        <f t="shared" si="62"/>
        <v>9.1450469857325717E-2</v>
      </c>
      <c r="R782" t="str">
        <f t="shared" si="63"/>
        <v>Profit</v>
      </c>
      <c r="S782" t="str">
        <f t="shared" si="64"/>
        <v>Low (1-10%)</v>
      </c>
    </row>
    <row r="783" spans="1:19" x14ac:dyDescent="0.3">
      <c r="A783" s="3" t="s">
        <v>863</v>
      </c>
      <c r="B783" s="2">
        <v>45544</v>
      </c>
      <c r="C783" s="3" t="s">
        <v>75</v>
      </c>
      <c r="D783" s="3" t="s">
        <v>16</v>
      </c>
      <c r="E783" s="3" t="s">
        <v>25</v>
      </c>
      <c r="F783" s="3" t="s">
        <v>32</v>
      </c>
      <c r="G783" s="3" t="s">
        <v>112</v>
      </c>
      <c r="H783" s="3" t="s">
        <v>113</v>
      </c>
      <c r="I783" s="5">
        <v>8910.75</v>
      </c>
      <c r="J783" s="4">
        <v>5</v>
      </c>
      <c r="K783" s="1">
        <v>29</v>
      </c>
      <c r="L783" s="4">
        <v>835.33</v>
      </c>
      <c r="M783" s="3" t="s">
        <v>28</v>
      </c>
      <c r="N783" s="3" t="s">
        <v>40</v>
      </c>
      <c r="O783" s="2" t="str">
        <f t="shared" si="60"/>
        <v>09-2024</v>
      </c>
      <c r="P783" t="str">
        <f t="shared" si="61"/>
        <v>2024</v>
      </c>
      <c r="Q783" s="6">
        <f t="shared" si="62"/>
        <v>9.3744073170047418E-2</v>
      </c>
      <c r="R783" t="str">
        <f t="shared" si="63"/>
        <v>Profit</v>
      </c>
      <c r="S783" t="str">
        <f t="shared" si="64"/>
        <v>High (&gt;20%)</v>
      </c>
    </row>
    <row r="784" spans="1:19" x14ac:dyDescent="0.3">
      <c r="A784" s="3" t="s">
        <v>864</v>
      </c>
      <c r="B784" s="2">
        <v>45609</v>
      </c>
      <c r="C784" s="3" t="s">
        <v>133</v>
      </c>
      <c r="D784" s="3" t="s">
        <v>38</v>
      </c>
      <c r="E784" s="3" t="s">
        <v>71</v>
      </c>
      <c r="F784" s="3" t="s">
        <v>62</v>
      </c>
      <c r="G784" s="3" t="s">
        <v>80</v>
      </c>
      <c r="H784" s="3" t="s">
        <v>81</v>
      </c>
      <c r="I784" s="5">
        <v>9302.2999999999993</v>
      </c>
      <c r="J784" s="4">
        <v>10</v>
      </c>
      <c r="K784" s="1">
        <v>1</v>
      </c>
      <c r="L784" s="4">
        <v>1993.84</v>
      </c>
      <c r="M784" s="3" t="s">
        <v>51</v>
      </c>
      <c r="N784" s="3" t="s">
        <v>40</v>
      </c>
      <c r="O784" s="2" t="str">
        <f t="shared" si="60"/>
        <v>11-2024</v>
      </c>
      <c r="P784" t="str">
        <f t="shared" si="61"/>
        <v>2024</v>
      </c>
      <c r="Q784" s="6">
        <f t="shared" si="62"/>
        <v>0.21433838943057093</v>
      </c>
      <c r="R784" t="str">
        <f t="shared" si="63"/>
        <v>Profit</v>
      </c>
      <c r="S784" t="str">
        <f t="shared" si="64"/>
        <v>Low (1-10%)</v>
      </c>
    </row>
    <row r="785" spans="1:19" x14ac:dyDescent="0.3">
      <c r="A785" s="3" t="s">
        <v>865</v>
      </c>
      <c r="B785" s="2">
        <v>45683</v>
      </c>
      <c r="C785" s="3" t="s">
        <v>99</v>
      </c>
      <c r="D785" s="3" t="s">
        <v>16</v>
      </c>
      <c r="E785" s="3" t="s">
        <v>31</v>
      </c>
      <c r="F785" s="3" t="s">
        <v>18</v>
      </c>
      <c r="G785" s="3" t="s">
        <v>76</v>
      </c>
      <c r="H785" s="3" t="s">
        <v>77</v>
      </c>
      <c r="I785" s="5">
        <v>5747.82</v>
      </c>
      <c r="J785" s="4">
        <v>6</v>
      </c>
      <c r="K785" s="1">
        <v>27</v>
      </c>
      <c r="L785" s="4">
        <v>556.46</v>
      </c>
      <c r="M785" s="3" t="s">
        <v>21</v>
      </c>
      <c r="N785" s="3" t="s">
        <v>40</v>
      </c>
      <c r="O785" s="2" t="str">
        <f t="shared" si="60"/>
        <v>01-2025</v>
      </c>
      <c r="P785" t="str">
        <f t="shared" si="61"/>
        <v>2025</v>
      </c>
      <c r="Q785" s="6">
        <f t="shared" si="62"/>
        <v>9.6812356684795292E-2</v>
      </c>
      <c r="R785" t="str">
        <f t="shared" si="63"/>
        <v>Profit</v>
      </c>
      <c r="S785" t="str">
        <f t="shared" si="64"/>
        <v>High (&gt;20%)</v>
      </c>
    </row>
    <row r="786" spans="1:19" x14ac:dyDescent="0.3">
      <c r="A786" s="3" t="s">
        <v>866</v>
      </c>
      <c r="B786" s="2">
        <v>45624</v>
      </c>
      <c r="C786" s="3" t="s">
        <v>42</v>
      </c>
      <c r="D786" s="3" t="s">
        <v>56</v>
      </c>
      <c r="E786" s="3" t="s">
        <v>108</v>
      </c>
      <c r="F786" s="3" t="s">
        <v>32</v>
      </c>
      <c r="G786" s="3" t="s">
        <v>33</v>
      </c>
      <c r="H786" s="3" t="s">
        <v>34</v>
      </c>
      <c r="I786" s="5">
        <v>1848.78</v>
      </c>
      <c r="J786" s="4">
        <v>6</v>
      </c>
      <c r="K786" s="1">
        <v>0</v>
      </c>
      <c r="L786" s="4">
        <v>237.59</v>
      </c>
      <c r="M786" s="3" t="s">
        <v>28</v>
      </c>
      <c r="N786" s="3" t="s">
        <v>40</v>
      </c>
      <c r="O786" s="2" t="str">
        <f t="shared" si="60"/>
        <v>11-2024</v>
      </c>
      <c r="P786" t="str">
        <f t="shared" si="61"/>
        <v>2024</v>
      </c>
      <c r="Q786" s="6">
        <f t="shared" si="62"/>
        <v>0.12851177533292227</v>
      </c>
      <c r="R786" t="str">
        <f t="shared" si="63"/>
        <v>Profit</v>
      </c>
      <c r="S786" t="str">
        <f t="shared" si="64"/>
        <v>No Discount</v>
      </c>
    </row>
    <row r="787" spans="1:19" x14ac:dyDescent="0.3">
      <c r="A787" s="3" t="s">
        <v>867</v>
      </c>
      <c r="B787" s="2">
        <v>45756</v>
      </c>
      <c r="C787" s="3" t="s">
        <v>66</v>
      </c>
      <c r="D787" s="3" t="s">
        <v>56</v>
      </c>
      <c r="E787" s="3" t="s">
        <v>108</v>
      </c>
      <c r="F787" s="3" t="s">
        <v>62</v>
      </c>
      <c r="G787" s="3" t="s">
        <v>67</v>
      </c>
      <c r="H787" s="3" t="s">
        <v>68</v>
      </c>
      <c r="I787" s="5">
        <v>1089.54</v>
      </c>
      <c r="J787" s="4">
        <v>3</v>
      </c>
      <c r="K787" s="1">
        <v>4</v>
      </c>
      <c r="L787" s="4">
        <v>93.64</v>
      </c>
      <c r="M787" s="3" t="s">
        <v>21</v>
      </c>
      <c r="N787" s="3" t="s">
        <v>35</v>
      </c>
      <c r="O787" s="2" t="str">
        <f t="shared" si="60"/>
        <v>04-2025</v>
      </c>
      <c r="P787" t="str">
        <f t="shared" si="61"/>
        <v>2025</v>
      </c>
      <c r="Q787" s="6">
        <f t="shared" si="62"/>
        <v>8.5944527048112049E-2</v>
      </c>
      <c r="R787" t="str">
        <f t="shared" si="63"/>
        <v>Profit</v>
      </c>
      <c r="S787" t="str">
        <f t="shared" si="64"/>
        <v>Low (1-10%)</v>
      </c>
    </row>
    <row r="788" spans="1:19" x14ac:dyDescent="0.3">
      <c r="A788" s="3" t="s">
        <v>868</v>
      </c>
      <c r="B788" s="2">
        <v>45587</v>
      </c>
      <c r="C788" s="3" t="s">
        <v>15</v>
      </c>
      <c r="D788" s="3" t="s">
        <v>56</v>
      </c>
      <c r="E788" s="3" t="s">
        <v>61</v>
      </c>
      <c r="F788" s="3" t="s">
        <v>62</v>
      </c>
      <c r="G788" s="3" t="s">
        <v>80</v>
      </c>
      <c r="H788" s="3" t="s">
        <v>81</v>
      </c>
      <c r="I788" s="5">
        <v>6915.87</v>
      </c>
      <c r="J788" s="4">
        <v>9</v>
      </c>
      <c r="K788" s="1">
        <v>5</v>
      </c>
      <c r="L788" s="4">
        <v>563.84</v>
      </c>
      <c r="M788" s="3" t="s">
        <v>21</v>
      </c>
      <c r="N788" s="3" t="s">
        <v>22</v>
      </c>
      <c r="O788" s="2" t="str">
        <f t="shared" si="60"/>
        <v>10-2024</v>
      </c>
      <c r="P788" t="str">
        <f t="shared" si="61"/>
        <v>2024</v>
      </c>
      <c r="Q788" s="6">
        <f t="shared" si="62"/>
        <v>8.1528426647695815E-2</v>
      </c>
      <c r="R788" t="str">
        <f t="shared" si="63"/>
        <v>Profit</v>
      </c>
      <c r="S788" t="str">
        <f t="shared" si="64"/>
        <v>Low (1-10%)</v>
      </c>
    </row>
    <row r="789" spans="1:19" x14ac:dyDescent="0.3">
      <c r="A789" s="3" t="s">
        <v>869</v>
      </c>
      <c r="B789" s="2">
        <v>45556</v>
      </c>
      <c r="C789" s="3" t="s">
        <v>101</v>
      </c>
      <c r="D789" s="3" t="s">
        <v>16</v>
      </c>
      <c r="E789" s="3" t="s">
        <v>25</v>
      </c>
      <c r="F789" s="3" t="s">
        <v>62</v>
      </c>
      <c r="G789" s="3" t="s">
        <v>80</v>
      </c>
      <c r="H789" s="3" t="s">
        <v>81</v>
      </c>
      <c r="I789" s="5">
        <v>8697.36</v>
      </c>
      <c r="J789" s="4">
        <v>6</v>
      </c>
      <c r="K789" s="1">
        <v>17</v>
      </c>
      <c r="L789" s="4">
        <v>1283.9000000000001</v>
      </c>
      <c r="M789" s="3" t="s">
        <v>51</v>
      </c>
      <c r="N789" s="3" t="s">
        <v>22</v>
      </c>
      <c r="O789" s="2" t="str">
        <f t="shared" si="60"/>
        <v>09-2024</v>
      </c>
      <c r="P789" t="str">
        <f t="shared" si="61"/>
        <v>2024</v>
      </c>
      <c r="Q789" s="6">
        <f t="shared" si="62"/>
        <v>0.14761950752872136</v>
      </c>
      <c r="R789" t="str">
        <f t="shared" si="63"/>
        <v>Profit</v>
      </c>
      <c r="S789" t="str">
        <f t="shared" si="64"/>
        <v>Mid (11-20%)</v>
      </c>
    </row>
    <row r="790" spans="1:19" x14ac:dyDescent="0.3">
      <c r="A790" s="3" t="s">
        <v>870</v>
      </c>
      <c r="B790" s="2">
        <v>45470</v>
      </c>
      <c r="C790" s="3" t="s">
        <v>66</v>
      </c>
      <c r="D790" s="3" t="s">
        <v>89</v>
      </c>
      <c r="E790" s="3" t="s">
        <v>102</v>
      </c>
      <c r="F790" s="3" t="s">
        <v>32</v>
      </c>
      <c r="G790" s="3" t="s">
        <v>58</v>
      </c>
      <c r="H790" s="3" t="s">
        <v>59</v>
      </c>
      <c r="I790" s="5">
        <v>1718.18</v>
      </c>
      <c r="J790" s="4">
        <v>2</v>
      </c>
      <c r="K790" s="1">
        <v>25</v>
      </c>
      <c r="L790" s="4">
        <v>306.25</v>
      </c>
      <c r="M790" s="3" t="s">
        <v>51</v>
      </c>
      <c r="N790" s="3" t="s">
        <v>40</v>
      </c>
      <c r="O790" s="2" t="str">
        <f t="shared" si="60"/>
        <v>06-2024</v>
      </c>
      <c r="P790" t="str">
        <f t="shared" si="61"/>
        <v>2024</v>
      </c>
      <c r="Q790" s="6">
        <f t="shared" si="62"/>
        <v>0.1782409293554808</v>
      </c>
      <c r="R790" t="str">
        <f t="shared" si="63"/>
        <v>Profit</v>
      </c>
      <c r="S790" t="str">
        <f t="shared" si="64"/>
        <v>High (&gt;20%)</v>
      </c>
    </row>
    <row r="791" spans="1:19" x14ac:dyDescent="0.3">
      <c r="A791" s="3" t="s">
        <v>871</v>
      </c>
      <c r="B791" s="2">
        <v>45599</v>
      </c>
      <c r="C791" s="3" t="s">
        <v>73</v>
      </c>
      <c r="D791" s="3" t="s">
        <v>16</v>
      </c>
      <c r="E791" s="3" t="s">
        <v>31</v>
      </c>
      <c r="F791" s="3" t="s">
        <v>62</v>
      </c>
      <c r="G791" s="3" t="s">
        <v>103</v>
      </c>
      <c r="H791" s="3" t="s">
        <v>104</v>
      </c>
      <c r="I791" s="5">
        <v>16347.8</v>
      </c>
      <c r="J791" s="4">
        <v>10</v>
      </c>
      <c r="K791" s="1">
        <v>10</v>
      </c>
      <c r="L791" s="4">
        <v>1663.24</v>
      </c>
      <c r="M791" s="3" t="s">
        <v>21</v>
      </c>
      <c r="N791" s="3" t="s">
        <v>35</v>
      </c>
      <c r="O791" s="2" t="str">
        <f t="shared" si="60"/>
        <v>11-2024</v>
      </c>
      <c r="P791" t="str">
        <f t="shared" si="61"/>
        <v>2024</v>
      </c>
      <c r="Q791" s="6">
        <f t="shared" si="62"/>
        <v>0.10174090703336229</v>
      </c>
      <c r="R791" t="str">
        <f t="shared" si="63"/>
        <v>Profit</v>
      </c>
      <c r="S791" t="str">
        <f t="shared" si="64"/>
        <v>Low (1-10%)</v>
      </c>
    </row>
    <row r="792" spans="1:19" x14ac:dyDescent="0.3">
      <c r="A792" s="3" t="s">
        <v>872</v>
      </c>
      <c r="B792" s="2">
        <v>45522</v>
      </c>
      <c r="C792" s="3" t="s">
        <v>30</v>
      </c>
      <c r="D792" s="3" t="s">
        <v>16</v>
      </c>
      <c r="E792" s="3" t="s">
        <v>31</v>
      </c>
      <c r="F792" s="3" t="s">
        <v>32</v>
      </c>
      <c r="G792" s="3" t="s">
        <v>33</v>
      </c>
      <c r="H792" s="3" t="s">
        <v>34</v>
      </c>
      <c r="I792" s="5">
        <v>7855.68</v>
      </c>
      <c r="J792" s="4">
        <v>4</v>
      </c>
      <c r="K792" s="1">
        <v>26</v>
      </c>
      <c r="L792" s="4">
        <v>554.11</v>
      </c>
      <c r="M792" s="3" t="s">
        <v>21</v>
      </c>
      <c r="N792" s="3" t="s">
        <v>35</v>
      </c>
      <c r="O792" s="2" t="str">
        <f t="shared" si="60"/>
        <v>08-2024</v>
      </c>
      <c r="P792" t="str">
        <f t="shared" si="61"/>
        <v>2024</v>
      </c>
      <c r="Q792" s="6">
        <f t="shared" si="62"/>
        <v>7.0536223471424492E-2</v>
      </c>
      <c r="R792" t="str">
        <f t="shared" si="63"/>
        <v>Profit</v>
      </c>
      <c r="S792" t="str">
        <f t="shared" si="64"/>
        <v>High (&gt;20%)</v>
      </c>
    </row>
    <row r="793" spans="1:19" x14ac:dyDescent="0.3">
      <c r="A793" s="3" t="s">
        <v>873</v>
      </c>
      <c r="B793" s="2">
        <v>45747</v>
      </c>
      <c r="C793" s="3" t="s">
        <v>73</v>
      </c>
      <c r="D793" s="3" t="s">
        <v>89</v>
      </c>
      <c r="E793" s="3" t="s">
        <v>140</v>
      </c>
      <c r="F793" s="3" t="s">
        <v>32</v>
      </c>
      <c r="G793" s="3" t="s">
        <v>58</v>
      </c>
      <c r="H793" s="3" t="s">
        <v>59</v>
      </c>
      <c r="I793" s="5">
        <v>5458.65</v>
      </c>
      <c r="J793" s="4">
        <v>3</v>
      </c>
      <c r="K793" s="1">
        <v>26</v>
      </c>
      <c r="L793" s="4">
        <v>736.14</v>
      </c>
      <c r="M793" s="3" t="s">
        <v>21</v>
      </c>
      <c r="N793" s="3" t="s">
        <v>22</v>
      </c>
      <c r="O793" s="2" t="str">
        <f t="shared" si="60"/>
        <v>03-2025</v>
      </c>
      <c r="P793" t="str">
        <f t="shared" si="61"/>
        <v>2025</v>
      </c>
      <c r="Q793" s="6">
        <f t="shared" si="62"/>
        <v>0.13485751971641341</v>
      </c>
      <c r="R793" t="str">
        <f t="shared" si="63"/>
        <v>Profit</v>
      </c>
      <c r="S793" t="str">
        <f t="shared" si="64"/>
        <v>High (&gt;20%)</v>
      </c>
    </row>
    <row r="794" spans="1:19" x14ac:dyDescent="0.3">
      <c r="A794" s="3" t="s">
        <v>874</v>
      </c>
      <c r="B794" s="2">
        <v>45527</v>
      </c>
      <c r="C794" s="3" t="s">
        <v>86</v>
      </c>
      <c r="D794" s="3" t="s">
        <v>56</v>
      </c>
      <c r="E794" s="3" t="s">
        <v>61</v>
      </c>
      <c r="F794" s="3" t="s">
        <v>62</v>
      </c>
      <c r="G794" s="3" t="s">
        <v>103</v>
      </c>
      <c r="H794" s="3" t="s">
        <v>104</v>
      </c>
      <c r="I794" s="5">
        <v>820.72</v>
      </c>
      <c r="J794" s="4">
        <v>4</v>
      </c>
      <c r="K794" s="1">
        <v>9</v>
      </c>
      <c r="L794" s="4">
        <v>180.26</v>
      </c>
      <c r="M794" s="3" t="s">
        <v>51</v>
      </c>
      <c r="N794" s="3" t="s">
        <v>44</v>
      </c>
      <c r="O794" s="2" t="str">
        <f t="shared" si="60"/>
        <v>08-2024</v>
      </c>
      <c r="P794" t="str">
        <f t="shared" si="61"/>
        <v>2024</v>
      </c>
      <c r="Q794" s="6">
        <f t="shared" si="62"/>
        <v>0.21963641680475679</v>
      </c>
      <c r="R794" t="str">
        <f t="shared" si="63"/>
        <v>Profit</v>
      </c>
      <c r="S794" t="str">
        <f t="shared" si="64"/>
        <v>Low (1-10%)</v>
      </c>
    </row>
    <row r="795" spans="1:19" x14ac:dyDescent="0.3">
      <c r="A795" s="3" t="s">
        <v>875</v>
      </c>
      <c r="B795" s="2">
        <v>45772</v>
      </c>
      <c r="C795" s="3" t="s">
        <v>50</v>
      </c>
      <c r="D795" s="3" t="s">
        <v>56</v>
      </c>
      <c r="E795" s="3" t="s">
        <v>61</v>
      </c>
      <c r="F795" s="3" t="s">
        <v>62</v>
      </c>
      <c r="G795" s="3" t="s">
        <v>63</v>
      </c>
      <c r="H795" s="3" t="s">
        <v>64</v>
      </c>
      <c r="I795" s="5">
        <v>4884.16</v>
      </c>
      <c r="J795" s="4">
        <v>4</v>
      </c>
      <c r="K795" s="1">
        <v>10</v>
      </c>
      <c r="L795" s="4">
        <v>386.71</v>
      </c>
      <c r="M795" s="3" t="s">
        <v>28</v>
      </c>
      <c r="N795" s="3" t="s">
        <v>22</v>
      </c>
      <c r="O795" s="2" t="str">
        <f t="shared" si="60"/>
        <v>04-2025</v>
      </c>
      <c r="P795" t="str">
        <f t="shared" si="61"/>
        <v>2025</v>
      </c>
      <c r="Q795" s="6">
        <f t="shared" si="62"/>
        <v>7.9176357858874405E-2</v>
      </c>
      <c r="R795" t="str">
        <f t="shared" si="63"/>
        <v>Profit</v>
      </c>
      <c r="S795" t="str">
        <f t="shared" si="64"/>
        <v>Low (1-10%)</v>
      </c>
    </row>
    <row r="796" spans="1:19" x14ac:dyDescent="0.3">
      <c r="A796" s="3" t="s">
        <v>876</v>
      </c>
      <c r="B796" s="2">
        <v>45506</v>
      </c>
      <c r="C796" s="3" t="s">
        <v>15</v>
      </c>
      <c r="D796" s="3" t="s">
        <v>56</v>
      </c>
      <c r="E796" s="3" t="s">
        <v>61</v>
      </c>
      <c r="F796" s="3" t="s">
        <v>18</v>
      </c>
      <c r="G796" s="3" t="s">
        <v>76</v>
      </c>
      <c r="H796" s="3" t="s">
        <v>77</v>
      </c>
      <c r="I796" s="5">
        <v>2843.84</v>
      </c>
      <c r="J796" s="4">
        <v>4</v>
      </c>
      <c r="K796" s="1">
        <v>9</v>
      </c>
      <c r="L796" s="4">
        <v>336.82</v>
      </c>
      <c r="M796" s="3" t="s">
        <v>51</v>
      </c>
      <c r="N796" s="3" t="s">
        <v>44</v>
      </c>
      <c r="O796" s="2" t="str">
        <f t="shared" si="60"/>
        <v>08-2024</v>
      </c>
      <c r="P796" t="str">
        <f t="shared" si="61"/>
        <v>2024</v>
      </c>
      <c r="Q796" s="6">
        <f t="shared" si="62"/>
        <v>0.11843844942050184</v>
      </c>
      <c r="R796" t="str">
        <f t="shared" si="63"/>
        <v>Profit</v>
      </c>
      <c r="S796" t="str">
        <f t="shared" si="64"/>
        <v>Low (1-10%)</v>
      </c>
    </row>
    <row r="797" spans="1:19" x14ac:dyDescent="0.3">
      <c r="A797" s="3" t="s">
        <v>877</v>
      </c>
      <c r="B797" s="2">
        <v>45548</v>
      </c>
      <c r="C797" s="3" t="s">
        <v>66</v>
      </c>
      <c r="D797" s="3" t="s">
        <v>16</v>
      </c>
      <c r="E797" s="3" t="s">
        <v>31</v>
      </c>
      <c r="F797" s="3" t="s">
        <v>62</v>
      </c>
      <c r="G797" s="3" t="s">
        <v>67</v>
      </c>
      <c r="H797" s="3" t="s">
        <v>68</v>
      </c>
      <c r="I797" s="5">
        <v>2487.7800000000002</v>
      </c>
      <c r="J797" s="4">
        <v>6</v>
      </c>
      <c r="K797" s="1">
        <v>15</v>
      </c>
      <c r="L797" s="4">
        <v>374.55</v>
      </c>
      <c r="M797" s="3" t="s">
        <v>21</v>
      </c>
      <c r="N797" s="3" t="s">
        <v>35</v>
      </c>
      <c r="O797" s="2" t="str">
        <f t="shared" si="60"/>
        <v>09-2024</v>
      </c>
      <c r="P797" t="str">
        <f t="shared" si="61"/>
        <v>2024</v>
      </c>
      <c r="Q797" s="6">
        <f t="shared" si="62"/>
        <v>0.1505559173238791</v>
      </c>
      <c r="R797" t="str">
        <f t="shared" si="63"/>
        <v>Profit</v>
      </c>
      <c r="S797" t="str">
        <f t="shared" si="64"/>
        <v>Mid (11-20%)</v>
      </c>
    </row>
    <row r="798" spans="1:19" x14ac:dyDescent="0.3">
      <c r="A798" s="3" t="s">
        <v>878</v>
      </c>
      <c r="B798" s="2">
        <v>45470</v>
      </c>
      <c r="C798" s="3" t="s">
        <v>86</v>
      </c>
      <c r="D798" s="3" t="s">
        <v>38</v>
      </c>
      <c r="E798" s="3" t="s">
        <v>53</v>
      </c>
      <c r="F798" s="3" t="s">
        <v>62</v>
      </c>
      <c r="G798" s="3" t="s">
        <v>103</v>
      </c>
      <c r="H798" s="3" t="s">
        <v>104</v>
      </c>
      <c r="I798" s="5">
        <v>8350.2999999999993</v>
      </c>
      <c r="J798" s="4">
        <v>5</v>
      </c>
      <c r="K798" s="1">
        <v>0</v>
      </c>
      <c r="L798" s="4">
        <v>869.55</v>
      </c>
      <c r="M798" s="3" t="s">
        <v>28</v>
      </c>
      <c r="N798" s="3" t="s">
        <v>40</v>
      </c>
      <c r="O798" s="2" t="str">
        <f t="shared" si="60"/>
        <v>06-2024</v>
      </c>
      <c r="P798" t="str">
        <f t="shared" si="61"/>
        <v>2024</v>
      </c>
      <c r="Q798" s="6">
        <f t="shared" si="62"/>
        <v>0.10413398321018406</v>
      </c>
      <c r="R798" t="str">
        <f t="shared" si="63"/>
        <v>Profit</v>
      </c>
      <c r="S798" t="str">
        <f t="shared" si="64"/>
        <v>No Discount</v>
      </c>
    </row>
    <row r="799" spans="1:19" x14ac:dyDescent="0.3">
      <c r="A799" s="3" t="s">
        <v>879</v>
      </c>
      <c r="B799" s="2">
        <v>45649</v>
      </c>
      <c r="C799" s="3" t="s">
        <v>50</v>
      </c>
      <c r="D799" s="3" t="s">
        <v>16</v>
      </c>
      <c r="E799" s="3" t="s">
        <v>31</v>
      </c>
      <c r="F799" s="3" t="s">
        <v>62</v>
      </c>
      <c r="G799" s="3" t="s">
        <v>63</v>
      </c>
      <c r="H799" s="3" t="s">
        <v>64</v>
      </c>
      <c r="I799" s="5">
        <v>15735.33</v>
      </c>
      <c r="J799" s="4">
        <v>9</v>
      </c>
      <c r="K799" s="1">
        <v>7.0000000000000009</v>
      </c>
      <c r="L799" s="4">
        <v>2157.83</v>
      </c>
      <c r="M799" s="3" t="s">
        <v>51</v>
      </c>
      <c r="N799" s="3" t="s">
        <v>40</v>
      </c>
      <c r="O799" s="2" t="str">
        <f t="shared" si="60"/>
        <v>12-2024</v>
      </c>
      <c r="P799" t="str">
        <f t="shared" si="61"/>
        <v>2024</v>
      </c>
      <c r="Q799" s="6">
        <f t="shared" si="62"/>
        <v>0.13713280878125847</v>
      </c>
      <c r="R799" t="str">
        <f t="shared" si="63"/>
        <v>Profit</v>
      </c>
      <c r="S799" t="str">
        <f t="shared" si="64"/>
        <v>Low (1-10%)</v>
      </c>
    </row>
    <row r="800" spans="1:19" x14ac:dyDescent="0.3">
      <c r="A800" s="3" t="s">
        <v>880</v>
      </c>
      <c r="B800" s="2">
        <v>45498</v>
      </c>
      <c r="C800" s="3" t="s">
        <v>42</v>
      </c>
      <c r="D800" s="3" t="s">
        <v>89</v>
      </c>
      <c r="E800" s="3" t="s">
        <v>102</v>
      </c>
      <c r="F800" s="3" t="s">
        <v>62</v>
      </c>
      <c r="G800" s="3" t="s">
        <v>67</v>
      </c>
      <c r="H800" s="3" t="s">
        <v>68</v>
      </c>
      <c r="I800" s="5">
        <v>2906.24</v>
      </c>
      <c r="J800" s="4">
        <v>2</v>
      </c>
      <c r="K800" s="1">
        <v>23</v>
      </c>
      <c r="L800" s="4">
        <v>327.16000000000003</v>
      </c>
      <c r="M800" s="3" t="s">
        <v>28</v>
      </c>
      <c r="N800" s="3" t="s">
        <v>44</v>
      </c>
      <c r="O800" s="2" t="str">
        <f t="shared" si="60"/>
        <v>07-2024</v>
      </c>
      <c r="P800" t="str">
        <f t="shared" si="61"/>
        <v>2024</v>
      </c>
      <c r="Q800" s="6">
        <f t="shared" si="62"/>
        <v>0.11257157013873598</v>
      </c>
      <c r="R800" t="str">
        <f t="shared" si="63"/>
        <v>Profit</v>
      </c>
      <c r="S800" t="str">
        <f t="shared" si="64"/>
        <v>High (&gt;20%)</v>
      </c>
    </row>
    <row r="801" spans="1:19" x14ac:dyDescent="0.3">
      <c r="A801" s="3" t="s">
        <v>881</v>
      </c>
      <c r="B801" s="2">
        <v>45590</v>
      </c>
      <c r="C801" s="3" t="s">
        <v>37</v>
      </c>
      <c r="D801" s="3" t="s">
        <v>56</v>
      </c>
      <c r="E801" s="3" t="s">
        <v>57</v>
      </c>
      <c r="F801" s="3" t="s">
        <v>62</v>
      </c>
      <c r="G801" s="3" t="s">
        <v>103</v>
      </c>
      <c r="H801" s="3" t="s">
        <v>104</v>
      </c>
      <c r="I801" s="5">
        <v>2712.18</v>
      </c>
      <c r="J801" s="4">
        <v>2</v>
      </c>
      <c r="K801" s="1">
        <v>20</v>
      </c>
      <c r="L801" s="4">
        <v>399</v>
      </c>
      <c r="M801" s="3" t="s">
        <v>28</v>
      </c>
      <c r="N801" s="3" t="s">
        <v>35</v>
      </c>
      <c r="O801" s="2" t="str">
        <f t="shared" si="60"/>
        <v>10-2024</v>
      </c>
      <c r="P801" t="str">
        <f t="shared" si="61"/>
        <v>2024</v>
      </c>
      <c r="Q801" s="6">
        <f t="shared" si="62"/>
        <v>0.14711412959316861</v>
      </c>
      <c r="R801" t="str">
        <f t="shared" si="63"/>
        <v>Profit</v>
      </c>
      <c r="S801" t="str">
        <f t="shared" si="64"/>
        <v>Mid (11-20%)</v>
      </c>
    </row>
    <row r="802" spans="1:19" x14ac:dyDescent="0.3">
      <c r="A802" s="3" t="s">
        <v>882</v>
      </c>
      <c r="B802" s="2">
        <v>45587</v>
      </c>
      <c r="C802" s="3" t="s">
        <v>99</v>
      </c>
      <c r="D802" s="3" t="s">
        <v>89</v>
      </c>
      <c r="E802" s="3" t="s">
        <v>97</v>
      </c>
      <c r="F802" s="3" t="s">
        <v>62</v>
      </c>
      <c r="G802" s="3" t="s">
        <v>63</v>
      </c>
      <c r="H802" s="3" t="s">
        <v>64</v>
      </c>
      <c r="I802" s="5">
        <v>4983.6000000000004</v>
      </c>
      <c r="J802" s="4">
        <v>6</v>
      </c>
      <c r="K802" s="1">
        <v>20</v>
      </c>
      <c r="L802" s="4">
        <v>908.04</v>
      </c>
      <c r="M802" s="3" t="s">
        <v>51</v>
      </c>
      <c r="N802" s="3" t="s">
        <v>44</v>
      </c>
      <c r="O802" s="2" t="str">
        <f t="shared" si="60"/>
        <v>10-2024</v>
      </c>
      <c r="P802" t="str">
        <f t="shared" si="61"/>
        <v>2024</v>
      </c>
      <c r="Q802" s="6">
        <f t="shared" si="62"/>
        <v>0.18220563448109797</v>
      </c>
      <c r="R802" t="str">
        <f t="shared" si="63"/>
        <v>Profit</v>
      </c>
      <c r="S802" t="str">
        <f t="shared" si="64"/>
        <v>Mid (11-20%)</v>
      </c>
    </row>
    <row r="803" spans="1:19" x14ac:dyDescent="0.3">
      <c r="A803" s="3" t="s">
        <v>883</v>
      </c>
      <c r="B803" s="2">
        <v>45731</v>
      </c>
      <c r="C803" s="3" t="s">
        <v>133</v>
      </c>
      <c r="D803" s="3" t="s">
        <v>56</v>
      </c>
      <c r="E803" s="3" t="s">
        <v>61</v>
      </c>
      <c r="F803" s="3" t="s">
        <v>18</v>
      </c>
      <c r="G803" s="3" t="s">
        <v>94</v>
      </c>
      <c r="H803" s="3" t="s">
        <v>95</v>
      </c>
      <c r="I803" s="5">
        <v>1311.39</v>
      </c>
      <c r="J803" s="4">
        <v>3</v>
      </c>
      <c r="K803" s="1">
        <v>20</v>
      </c>
      <c r="L803" s="4">
        <v>95.24</v>
      </c>
      <c r="M803" s="3" t="s">
        <v>51</v>
      </c>
      <c r="N803" s="3" t="s">
        <v>40</v>
      </c>
      <c r="O803" s="2" t="str">
        <f t="shared" si="60"/>
        <v>03-2025</v>
      </c>
      <c r="P803" t="str">
        <f t="shared" si="61"/>
        <v>2025</v>
      </c>
      <c r="Q803" s="6">
        <f t="shared" si="62"/>
        <v>7.2625229718085382E-2</v>
      </c>
      <c r="R803" t="str">
        <f t="shared" si="63"/>
        <v>Profit</v>
      </c>
      <c r="S803" t="str">
        <f t="shared" si="64"/>
        <v>Mid (11-20%)</v>
      </c>
    </row>
    <row r="804" spans="1:19" x14ac:dyDescent="0.3">
      <c r="A804" s="3" t="s">
        <v>884</v>
      </c>
      <c r="B804" s="2">
        <v>45595</v>
      </c>
      <c r="C804" s="3" t="s">
        <v>37</v>
      </c>
      <c r="D804" s="3" t="s">
        <v>56</v>
      </c>
      <c r="E804" s="3" t="s">
        <v>108</v>
      </c>
      <c r="F804" s="3" t="s">
        <v>62</v>
      </c>
      <c r="G804" s="3" t="s">
        <v>80</v>
      </c>
      <c r="H804" s="3" t="s">
        <v>81</v>
      </c>
      <c r="I804" s="5">
        <v>763.32</v>
      </c>
      <c r="J804" s="4">
        <v>4</v>
      </c>
      <c r="K804" s="1">
        <v>17</v>
      </c>
      <c r="L804" s="4">
        <v>68.72</v>
      </c>
      <c r="M804" s="3" t="s">
        <v>21</v>
      </c>
      <c r="N804" s="3" t="s">
        <v>40</v>
      </c>
      <c r="O804" s="2" t="str">
        <f t="shared" si="60"/>
        <v>10-2024</v>
      </c>
      <c r="P804" t="str">
        <f t="shared" si="61"/>
        <v>2024</v>
      </c>
      <c r="Q804" s="6">
        <f t="shared" si="62"/>
        <v>9.0027773410889272E-2</v>
      </c>
      <c r="R804" t="str">
        <f t="shared" si="63"/>
        <v>Profit</v>
      </c>
      <c r="S804" t="str">
        <f t="shared" si="64"/>
        <v>Mid (11-20%)</v>
      </c>
    </row>
    <row r="805" spans="1:19" x14ac:dyDescent="0.3">
      <c r="A805" s="3" t="s">
        <v>885</v>
      </c>
      <c r="B805" s="2">
        <v>45604</v>
      </c>
      <c r="C805" s="3" t="s">
        <v>75</v>
      </c>
      <c r="D805" s="3" t="s">
        <v>56</v>
      </c>
      <c r="E805" s="3" t="s">
        <v>57</v>
      </c>
      <c r="F805" s="3" t="s">
        <v>32</v>
      </c>
      <c r="G805" s="3" t="s">
        <v>112</v>
      </c>
      <c r="H805" s="3" t="s">
        <v>113</v>
      </c>
      <c r="I805" s="5">
        <v>867.27</v>
      </c>
      <c r="J805" s="4">
        <v>1</v>
      </c>
      <c r="K805" s="1">
        <v>18</v>
      </c>
      <c r="L805" s="4">
        <v>140.68</v>
      </c>
      <c r="M805" s="3" t="s">
        <v>28</v>
      </c>
      <c r="N805" s="3" t="s">
        <v>35</v>
      </c>
      <c r="O805" s="2" t="str">
        <f t="shared" si="60"/>
        <v>11-2024</v>
      </c>
      <c r="P805" t="str">
        <f t="shared" si="61"/>
        <v>2024</v>
      </c>
      <c r="Q805" s="6">
        <f t="shared" si="62"/>
        <v>0.162210153700693</v>
      </c>
      <c r="R805" t="str">
        <f t="shared" si="63"/>
        <v>Profit</v>
      </c>
      <c r="S805" t="str">
        <f t="shared" si="64"/>
        <v>Mid (11-20%)</v>
      </c>
    </row>
    <row r="806" spans="1:19" x14ac:dyDescent="0.3">
      <c r="A806" s="3" t="s">
        <v>886</v>
      </c>
      <c r="B806" s="2">
        <v>45602</v>
      </c>
      <c r="C806" s="3" t="s">
        <v>101</v>
      </c>
      <c r="D806" s="3" t="s">
        <v>56</v>
      </c>
      <c r="E806" s="3" t="s">
        <v>61</v>
      </c>
      <c r="F806" s="3" t="s">
        <v>18</v>
      </c>
      <c r="G806" s="3" t="s">
        <v>26</v>
      </c>
      <c r="H806" s="3" t="s">
        <v>27</v>
      </c>
      <c r="I806" s="5">
        <v>5939.46</v>
      </c>
      <c r="J806" s="4">
        <v>6</v>
      </c>
      <c r="K806" s="1">
        <v>21</v>
      </c>
      <c r="L806" s="4">
        <v>352.18</v>
      </c>
      <c r="M806" s="3" t="s">
        <v>28</v>
      </c>
      <c r="N806" s="3" t="s">
        <v>40</v>
      </c>
      <c r="O806" s="2" t="str">
        <f t="shared" si="60"/>
        <v>11-2024</v>
      </c>
      <c r="P806" t="str">
        <f t="shared" si="61"/>
        <v>2024</v>
      </c>
      <c r="Q806" s="6">
        <f t="shared" si="62"/>
        <v>5.9294952739811363E-2</v>
      </c>
      <c r="R806" t="str">
        <f t="shared" si="63"/>
        <v>Profit</v>
      </c>
      <c r="S806" t="str">
        <f t="shared" si="64"/>
        <v>High (&gt;20%)</v>
      </c>
    </row>
    <row r="807" spans="1:19" x14ac:dyDescent="0.3">
      <c r="A807" s="3" t="s">
        <v>887</v>
      </c>
      <c r="B807" s="2">
        <v>45533</v>
      </c>
      <c r="C807" s="3" t="s">
        <v>133</v>
      </c>
      <c r="D807" s="3" t="s">
        <v>38</v>
      </c>
      <c r="E807" s="3" t="s">
        <v>71</v>
      </c>
      <c r="F807" s="3" t="s">
        <v>18</v>
      </c>
      <c r="G807" s="3" t="s">
        <v>94</v>
      </c>
      <c r="H807" s="3" t="s">
        <v>95</v>
      </c>
      <c r="I807" s="5">
        <v>13483.12</v>
      </c>
      <c r="J807" s="4">
        <v>8</v>
      </c>
      <c r="K807" s="1">
        <v>30</v>
      </c>
      <c r="L807" s="4">
        <v>2114.42</v>
      </c>
      <c r="M807" s="3" t="s">
        <v>28</v>
      </c>
      <c r="N807" s="3" t="s">
        <v>44</v>
      </c>
      <c r="O807" s="2" t="str">
        <f t="shared" si="60"/>
        <v>08-2024</v>
      </c>
      <c r="P807" t="str">
        <f t="shared" si="61"/>
        <v>2024</v>
      </c>
      <c r="Q807" s="6">
        <f t="shared" si="62"/>
        <v>0.15681978651825393</v>
      </c>
      <c r="R807" t="str">
        <f t="shared" si="63"/>
        <v>Profit</v>
      </c>
      <c r="S807" t="str">
        <f t="shared" si="64"/>
        <v>High (&gt;20%)</v>
      </c>
    </row>
    <row r="808" spans="1:19" x14ac:dyDescent="0.3">
      <c r="A808" s="3" t="s">
        <v>888</v>
      </c>
      <c r="B808" s="2">
        <v>45468</v>
      </c>
      <c r="C808" s="3" t="s">
        <v>70</v>
      </c>
      <c r="D808" s="3" t="s">
        <v>16</v>
      </c>
      <c r="E808" s="3" t="s">
        <v>17</v>
      </c>
      <c r="F808" s="3" t="s">
        <v>18</v>
      </c>
      <c r="G808" s="3" t="s">
        <v>19</v>
      </c>
      <c r="H808" s="3" t="s">
        <v>20</v>
      </c>
      <c r="I808" s="5">
        <v>5071.0200000000004</v>
      </c>
      <c r="J808" s="4">
        <v>6</v>
      </c>
      <c r="K808" s="1">
        <v>18</v>
      </c>
      <c r="L808" s="4">
        <v>841.74</v>
      </c>
      <c r="M808" s="3" t="s">
        <v>21</v>
      </c>
      <c r="N808" s="3" t="s">
        <v>40</v>
      </c>
      <c r="O808" s="2" t="str">
        <f t="shared" si="60"/>
        <v>06-2024</v>
      </c>
      <c r="P808" t="str">
        <f t="shared" si="61"/>
        <v>2024</v>
      </c>
      <c r="Q808" s="6">
        <f t="shared" si="62"/>
        <v>0.16599027414602979</v>
      </c>
      <c r="R808" t="str">
        <f t="shared" si="63"/>
        <v>Profit</v>
      </c>
      <c r="S808" t="str">
        <f t="shared" si="64"/>
        <v>Mid (11-20%)</v>
      </c>
    </row>
    <row r="809" spans="1:19" x14ac:dyDescent="0.3">
      <c r="A809" s="3" t="s">
        <v>889</v>
      </c>
      <c r="B809" s="2">
        <v>45561</v>
      </c>
      <c r="C809" s="3" t="s">
        <v>15</v>
      </c>
      <c r="D809" s="3" t="s">
        <v>38</v>
      </c>
      <c r="E809" s="3" t="s">
        <v>39</v>
      </c>
      <c r="F809" s="3" t="s">
        <v>62</v>
      </c>
      <c r="G809" s="3" t="s">
        <v>67</v>
      </c>
      <c r="H809" s="3" t="s">
        <v>68</v>
      </c>
      <c r="I809" s="5">
        <v>1495.69</v>
      </c>
      <c r="J809" s="4">
        <v>1</v>
      </c>
      <c r="K809" s="1">
        <v>17</v>
      </c>
      <c r="L809" s="4">
        <v>279.8</v>
      </c>
      <c r="M809" s="3" t="s">
        <v>51</v>
      </c>
      <c r="N809" s="3" t="s">
        <v>40</v>
      </c>
      <c r="O809" s="2" t="str">
        <f t="shared" si="60"/>
        <v>09-2024</v>
      </c>
      <c r="P809" t="str">
        <f t="shared" si="61"/>
        <v>2024</v>
      </c>
      <c r="Q809" s="6">
        <f t="shared" si="62"/>
        <v>0.18707085024303163</v>
      </c>
      <c r="R809" t="str">
        <f t="shared" si="63"/>
        <v>Profit</v>
      </c>
      <c r="S809" t="str">
        <f t="shared" si="64"/>
        <v>Mid (11-20%)</v>
      </c>
    </row>
    <row r="810" spans="1:19" x14ac:dyDescent="0.3">
      <c r="A810" s="3" t="s">
        <v>890</v>
      </c>
      <c r="B810" s="2">
        <v>45600</v>
      </c>
      <c r="C810" s="3" t="s">
        <v>24</v>
      </c>
      <c r="D810" s="3" t="s">
        <v>89</v>
      </c>
      <c r="E810" s="3" t="s">
        <v>97</v>
      </c>
      <c r="F810" s="3" t="s">
        <v>18</v>
      </c>
      <c r="G810" s="3" t="s">
        <v>19</v>
      </c>
      <c r="H810" s="3" t="s">
        <v>20</v>
      </c>
      <c r="I810" s="5">
        <v>6508.7</v>
      </c>
      <c r="J810" s="4">
        <v>5</v>
      </c>
      <c r="K810" s="1">
        <v>25</v>
      </c>
      <c r="L810" s="4">
        <v>335.09</v>
      </c>
      <c r="M810" s="3" t="s">
        <v>21</v>
      </c>
      <c r="N810" s="3" t="s">
        <v>35</v>
      </c>
      <c r="O810" s="2" t="str">
        <f t="shared" si="60"/>
        <v>11-2024</v>
      </c>
      <c r="P810" t="str">
        <f t="shared" si="61"/>
        <v>2024</v>
      </c>
      <c r="Q810" s="6">
        <f t="shared" si="62"/>
        <v>5.1483399142685939E-2</v>
      </c>
      <c r="R810" t="str">
        <f t="shared" si="63"/>
        <v>Profit</v>
      </c>
      <c r="S810" t="str">
        <f t="shared" si="64"/>
        <v>High (&gt;20%)</v>
      </c>
    </row>
    <row r="811" spans="1:19" x14ac:dyDescent="0.3">
      <c r="A811" s="3" t="s">
        <v>891</v>
      </c>
      <c r="B811" s="2">
        <v>45764</v>
      </c>
      <c r="C811" s="3" t="s">
        <v>73</v>
      </c>
      <c r="D811" s="3" t="s">
        <v>38</v>
      </c>
      <c r="E811" s="3" t="s">
        <v>71</v>
      </c>
      <c r="F811" s="3" t="s">
        <v>18</v>
      </c>
      <c r="G811" s="3" t="s">
        <v>26</v>
      </c>
      <c r="H811" s="3" t="s">
        <v>27</v>
      </c>
      <c r="I811" s="5">
        <v>1041.81</v>
      </c>
      <c r="J811" s="4">
        <v>7</v>
      </c>
      <c r="K811" s="1">
        <v>15</v>
      </c>
      <c r="L811" s="4">
        <v>146.04</v>
      </c>
      <c r="M811" s="3" t="s">
        <v>28</v>
      </c>
      <c r="N811" s="3" t="s">
        <v>40</v>
      </c>
      <c r="O811" s="2" t="str">
        <f t="shared" si="60"/>
        <v>04-2025</v>
      </c>
      <c r="P811" t="str">
        <f t="shared" si="61"/>
        <v>2025</v>
      </c>
      <c r="Q811" s="6">
        <f t="shared" si="62"/>
        <v>0.14017911135427766</v>
      </c>
      <c r="R811" t="str">
        <f t="shared" si="63"/>
        <v>Profit</v>
      </c>
      <c r="S811" t="str">
        <f t="shared" si="64"/>
        <v>Mid (11-20%)</v>
      </c>
    </row>
    <row r="812" spans="1:19" x14ac:dyDescent="0.3">
      <c r="A812" s="3" t="s">
        <v>892</v>
      </c>
      <c r="B812" s="2">
        <v>45466</v>
      </c>
      <c r="C812" s="3" t="s">
        <v>37</v>
      </c>
      <c r="D812" s="3" t="s">
        <v>38</v>
      </c>
      <c r="E812" s="3" t="s">
        <v>43</v>
      </c>
      <c r="F812" s="3" t="s">
        <v>32</v>
      </c>
      <c r="G812" s="3" t="s">
        <v>58</v>
      </c>
      <c r="H812" s="3" t="s">
        <v>59</v>
      </c>
      <c r="I812" s="5">
        <v>3976.59</v>
      </c>
      <c r="J812" s="4">
        <v>3</v>
      </c>
      <c r="K812" s="1">
        <v>16</v>
      </c>
      <c r="L812" s="4">
        <v>577.5</v>
      </c>
      <c r="M812" s="3" t="s">
        <v>21</v>
      </c>
      <c r="N812" s="3" t="s">
        <v>40</v>
      </c>
      <c r="O812" s="2" t="str">
        <f t="shared" si="60"/>
        <v>06-2024</v>
      </c>
      <c r="P812" t="str">
        <f t="shared" si="61"/>
        <v>2024</v>
      </c>
      <c r="Q812" s="6">
        <f t="shared" si="62"/>
        <v>0.14522492889636598</v>
      </c>
      <c r="R812" t="str">
        <f t="shared" si="63"/>
        <v>Profit</v>
      </c>
      <c r="S812" t="str">
        <f t="shared" si="64"/>
        <v>Mid (11-20%)</v>
      </c>
    </row>
    <row r="813" spans="1:19" x14ac:dyDescent="0.3">
      <c r="A813" s="3" t="s">
        <v>893</v>
      </c>
      <c r="B813" s="2">
        <v>45457</v>
      </c>
      <c r="C813" s="3" t="s">
        <v>133</v>
      </c>
      <c r="D813" s="3" t="s">
        <v>38</v>
      </c>
      <c r="E813" s="3" t="s">
        <v>43</v>
      </c>
      <c r="F813" s="3" t="s">
        <v>32</v>
      </c>
      <c r="G813" s="3" t="s">
        <v>58</v>
      </c>
      <c r="H813" s="3" t="s">
        <v>59</v>
      </c>
      <c r="I813" s="5">
        <v>2747.7</v>
      </c>
      <c r="J813" s="4">
        <v>2</v>
      </c>
      <c r="K813" s="1">
        <v>5</v>
      </c>
      <c r="L813" s="4">
        <v>519.14</v>
      </c>
      <c r="M813" s="3" t="s">
        <v>21</v>
      </c>
      <c r="N813" s="3" t="s">
        <v>44</v>
      </c>
      <c r="O813" s="2" t="str">
        <f t="shared" si="60"/>
        <v>06-2024</v>
      </c>
      <c r="P813" t="str">
        <f t="shared" si="61"/>
        <v>2024</v>
      </c>
      <c r="Q813" s="6">
        <f t="shared" si="62"/>
        <v>0.18893620118644686</v>
      </c>
      <c r="R813" t="str">
        <f t="shared" si="63"/>
        <v>Profit</v>
      </c>
      <c r="S813" t="str">
        <f t="shared" si="64"/>
        <v>Low (1-10%)</v>
      </c>
    </row>
    <row r="814" spans="1:19" x14ac:dyDescent="0.3">
      <c r="A814" s="3" t="s">
        <v>894</v>
      </c>
      <c r="B814" s="2">
        <v>45445</v>
      </c>
      <c r="C814" s="3" t="s">
        <v>37</v>
      </c>
      <c r="D814" s="3" t="s">
        <v>89</v>
      </c>
      <c r="E814" s="3" t="s">
        <v>102</v>
      </c>
      <c r="F814" s="3" t="s">
        <v>62</v>
      </c>
      <c r="G814" s="3" t="s">
        <v>80</v>
      </c>
      <c r="H814" s="3" t="s">
        <v>81</v>
      </c>
      <c r="I814" s="5">
        <v>2332.6799999999998</v>
      </c>
      <c r="J814" s="4">
        <v>6</v>
      </c>
      <c r="K814" s="1">
        <v>14</v>
      </c>
      <c r="L814" s="4">
        <v>137.13</v>
      </c>
      <c r="M814" s="3" t="s">
        <v>21</v>
      </c>
      <c r="N814" s="3" t="s">
        <v>44</v>
      </c>
      <c r="O814" s="2" t="str">
        <f t="shared" si="60"/>
        <v>06-2024</v>
      </c>
      <c r="P814" t="str">
        <f t="shared" si="61"/>
        <v>2024</v>
      </c>
      <c r="Q814" s="6">
        <f t="shared" si="62"/>
        <v>5.8786460208858485E-2</v>
      </c>
      <c r="R814" t="str">
        <f t="shared" si="63"/>
        <v>Profit</v>
      </c>
      <c r="S814" t="str">
        <f t="shared" si="64"/>
        <v>Mid (11-20%)</v>
      </c>
    </row>
    <row r="815" spans="1:19" x14ac:dyDescent="0.3">
      <c r="A815" s="3" t="s">
        <v>895</v>
      </c>
      <c r="B815" s="2">
        <v>45698</v>
      </c>
      <c r="C815" s="3" t="s">
        <v>99</v>
      </c>
      <c r="D815" s="3" t="s">
        <v>38</v>
      </c>
      <c r="E815" s="3" t="s">
        <v>71</v>
      </c>
      <c r="F815" s="3" t="s">
        <v>18</v>
      </c>
      <c r="G815" s="3" t="s">
        <v>26</v>
      </c>
      <c r="H815" s="3" t="s">
        <v>27</v>
      </c>
      <c r="I815" s="5">
        <v>5194.5</v>
      </c>
      <c r="J815" s="4">
        <v>10</v>
      </c>
      <c r="K815" s="1">
        <v>25</v>
      </c>
      <c r="L815" s="4">
        <v>199.22</v>
      </c>
      <c r="M815" s="3" t="s">
        <v>21</v>
      </c>
      <c r="N815" s="3" t="s">
        <v>40</v>
      </c>
      <c r="O815" s="2" t="str">
        <f t="shared" si="60"/>
        <v>02-2025</v>
      </c>
      <c r="P815" t="str">
        <f t="shared" si="61"/>
        <v>2025</v>
      </c>
      <c r="Q815" s="6">
        <f t="shared" si="62"/>
        <v>3.8352103186062178E-2</v>
      </c>
      <c r="R815" t="str">
        <f t="shared" si="63"/>
        <v>Profit</v>
      </c>
      <c r="S815" t="str">
        <f t="shared" si="64"/>
        <v>High (&gt;20%)</v>
      </c>
    </row>
    <row r="816" spans="1:19" x14ac:dyDescent="0.3">
      <c r="A816" s="3" t="s">
        <v>896</v>
      </c>
      <c r="B816" s="2">
        <v>45681</v>
      </c>
      <c r="C816" s="3" t="s">
        <v>84</v>
      </c>
      <c r="D816" s="3" t="s">
        <v>16</v>
      </c>
      <c r="E816" s="3" t="s">
        <v>17</v>
      </c>
      <c r="F816" s="3" t="s">
        <v>32</v>
      </c>
      <c r="G816" s="3" t="s">
        <v>112</v>
      </c>
      <c r="H816" s="3" t="s">
        <v>113</v>
      </c>
      <c r="I816" s="5">
        <v>4929.1899999999996</v>
      </c>
      <c r="J816" s="4">
        <v>7</v>
      </c>
      <c r="K816" s="1">
        <v>11</v>
      </c>
      <c r="L816" s="4">
        <v>955.68</v>
      </c>
      <c r="M816" s="3" t="s">
        <v>21</v>
      </c>
      <c r="N816" s="3" t="s">
        <v>22</v>
      </c>
      <c r="O816" s="2" t="str">
        <f t="shared" si="60"/>
        <v>01-2025</v>
      </c>
      <c r="P816" t="str">
        <f t="shared" si="61"/>
        <v>2025</v>
      </c>
      <c r="Q816" s="6">
        <f t="shared" si="62"/>
        <v>0.19388175339153085</v>
      </c>
      <c r="R816" t="str">
        <f t="shared" si="63"/>
        <v>Profit</v>
      </c>
      <c r="S816" t="str">
        <f t="shared" si="64"/>
        <v>Mid (11-20%)</v>
      </c>
    </row>
    <row r="817" spans="1:19" x14ac:dyDescent="0.3">
      <c r="A817" s="3" t="s">
        <v>897</v>
      </c>
      <c r="B817" s="2">
        <v>45537</v>
      </c>
      <c r="C817" s="3" t="s">
        <v>84</v>
      </c>
      <c r="D817" s="3" t="s">
        <v>56</v>
      </c>
      <c r="E817" s="3" t="s">
        <v>57</v>
      </c>
      <c r="F817" s="3" t="s">
        <v>18</v>
      </c>
      <c r="G817" s="3" t="s">
        <v>19</v>
      </c>
      <c r="H817" s="3" t="s">
        <v>20</v>
      </c>
      <c r="I817" s="5">
        <v>1587.18</v>
      </c>
      <c r="J817" s="4">
        <v>6</v>
      </c>
      <c r="K817" s="1">
        <v>12</v>
      </c>
      <c r="L817" s="4">
        <v>274.35000000000002</v>
      </c>
      <c r="M817" s="3" t="s">
        <v>28</v>
      </c>
      <c r="N817" s="3" t="s">
        <v>44</v>
      </c>
      <c r="O817" s="2" t="str">
        <f t="shared" si="60"/>
        <v>09-2024</v>
      </c>
      <c r="P817" t="str">
        <f t="shared" si="61"/>
        <v>2024</v>
      </c>
      <c r="Q817" s="6">
        <f t="shared" si="62"/>
        <v>0.17285374059652969</v>
      </c>
      <c r="R817" t="str">
        <f t="shared" si="63"/>
        <v>Profit</v>
      </c>
      <c r="S817" t="str">
        <f t="shared" si="64"/>
        <v>Mid (11-20%)</v>
      </c>
    </row>
    <row r="818" spans="1:19" x14ac:dyDescent="0.3">
      <c r="A818" s="3" t="s">
        <v>898</v>
      </c>
      <c r="B818" s="2">
        <v>45586</v>
      </c>
      <c r="C818" s="3" t="s">
        <v>75</v>
      </c>
      <c r="D818" s="3" t="s">
        <v>89</v>
      </c>
      <c r="E818" s="3" t="s">
        <v>140</v>
      </c>
      <c r="F818" s="3" t="s">
        <v>18</v>
      </c>
      <c r="G818" s="3" t="s">
        <v>76</v>
      </c>
      <c r="H818" s="3" t="s">
        <v>77</v>
      </c>
      <c r="I818" s="5">
        <v>3225</v>
      </c>
      <c r="J818" s="4">
        <v>2</v>
      </c>
      <c r="K818" s="1">
        <v>12</v>
      </c>
      <c r="L818" s="4">
        <v>648.48</v>
      </c>
      <c r="M818" s="3" t="s">
        <v>21</v>
      </c>
      <c r="N818" s="3" t="s">
        <v>44</v>
      </c>
      <c r="O818" s="2" t="str">
        <f t="shared" si="60"/>
        <v>10-2024</v>
      </c>
      <c r="P818" t="str">
        <f t="shared" si="61"/>
        <v>2024</v>
      </c>
      <c r="Q818" s="6">
        <f t="shared" si="62"/>
        <v>0.20107906976744186</v>
      </c>
      <c r="R818" t="str">
        <f t="shared" si="63"/>
        <v>Profit</v>
      </c>
      <c r="S818" t="str">
        <f t="shared" si="64"/>
        <v>Mid (11-20%)</v>
      </c>
    </row>
    <row r="819" spans="1:19" x14ac:dyDescent="0.3">
      <c r="A819" s="3" t="s">
        <v>899</v>
      </c>
      <c r="B819" s="2">
        <v>45514</v>
      </c>
      <c r="C819" s="3" t="s">
        <v>133</v>
      </c>
      <c r="D819" s="3" t="s">
        <v>56</v>
      </c>
      <c r="E819" s="3" t="s">
        <v>108</v>
      </c>
      <c r="F819" s="3" t="s">
        <v>32</v>
      </c>
      <c r="G819" s="3" t="s">
        <v>47</v>
      </c>
      <c r="H819" s="3" t="s">
        <v>48</v>
      </c>
      <c r="I819" s="5">
        <v>13721.54</v>
      </c>
      <c r="J819" s="4">
        <v>7</v>
      </c>
      <c r="K819" s="1">
        <v>12</v>
      </c>
      <c r="L819" s="4">
        <v>2122.98</v>
      </c>
      <c r="M819" s="3" t="s">
        <v>51</v>
      </c>
      <c r="N819" s="3" t="s">
        <v>35</v>
      </c>
      <c r="O819" s="2" t="str">
        <f t="shared" si="60"/>
        <v>08-2024</v>
      </c>
      <c r="P819" t="str">
        <f t="shared" si="61"/>
        <v>2024</v>
      </c>
      <c r="Q819" s="6">
        <f t="shared" si="62"/>
        <v>0.15471878520924034</v>
      </c>
      <c r="R819" t="str">
        <f t="shared" si="63"/>
        <v>Profit</v>
      </c>
      <c r="S819" t="str">
        <f t="shared" si="64"/>
        <v>Mid (11-20%)</v>
      </c>
    </row>
    <row r="820" spans="1:19" x14ac:dyDescent="0.3">
      <c r="A820" s="3" t="s">
        <v>900</v>
      </c>
      <c r="B820" s="2">
        <v>45760</v>
      </c>
      <c r="C820" s="3" t="s">
        <v>73</v>
      </c>
      <c r="D820" s="3" t="s">
        <v>89</v>
      </c>
      <c r="E820" s="3" t="s">
        <v>140</v>
      </c>
      <c r="F820" s="3" t="s">
        <v>32</v>
      </c>
      <c r="G820" s="3" t="s">
        <v>47</v>
      </c>
      <c r="H820" s="3" t="s">
        <v>48</v>
      </c>
      <c r="I820" s="5">
        <v>12752.6</v>
      </c>
      <c r="J820" s="4">
        <v>7</v>
      </c>
      <c r="K820" s="1">
        <v>17</v>
      </c>
      <c r="L820" s="4">
        <v>2130.5700000000002</v>
      </c>
      <c r="M820" s="3" t="s">
        <v>28</v>
      </c>
      <c r="N820" s="3" t="s">
        <v>35</v>
      </c>
      <c r="O820" s="2" t="str">
        <f t="shared" si="60"/>
        <v>04-2025</v>
      </c>
      <c r="P820" t="str">
        <f t="shared" si="61"/>
        <v>2025</v>
      </c>
      <c r="Q820" s="6">
        <f t="shared" si="62"/>
        <v>0.16706946034534134</v>
      </c>
      <c r="R820" t="str">
        <f t="shared" si="63"/>
        <v>Profit</v>
      </c>
      <c r="S820" t="str">
        <f t="shared" si="64"/>
        <v>Mid (11-20%)</v>
      </c>
    </row>
    <row r="821" spans="1:19" x14ac:dyDescent="0.3">
      <c r="A821" s="3" t="s">
        <v>901</v>
      </c>
      <c r="B821" s="2">
        <v>45734</v>
      </c>
      <c r="C821" s="3" t="s">
        <v>99</v>
      </c>
      <c r="D821" s="3" t="s">
        <v>56</v>
      </c>
      <c r="E821" s="3" t="s">
        <v>108</v>
      </c>
      <c r="F821" s="3" t="s">
        <v>18</v>
      </c>
      <c r="G821" s="3" t="s">
        <v>19</v>
      </c>
      <c r="H821" s="3" t="s">
        <v>20</v>
      </c>
      <c r="I821" s="5">
        <v>5371.96</v>
      </c>
      <c r="J821" s="4">
        <v>4</v>
      </c>
      <c r="K821" s="1">
        <v>15</v>
      </c>
      <c r="L821" s="4">
        <v>737.69</v>
      </c>
      <c r="M821" s="3" t="s">
        <v>51</v>
      </c>
      <c r="N821" s="3" t="s">
        <v>40</v>
      </c>
      <c r="O821" s="2" t="str">
        <f t="shared" si="60"/>
        <v>03-2025</v>
      </c>
      <c r="P821" t="str">
        <f t="shared" si="61"/>
        <v>2025</v>
      </c>
      <c r="Q821" s="6">
        <f t="shared" si="62"/>
        <v>0.1373223181110805</v>
      </c>
      <c r="R821" t="str">
        <f t="shared" si="63"/>
        <v>Profit</v>
      </c>
      <c r="S821" t="str">
        <f t="shared" si="64"/>
        <v>Mid (11-20%)</v>
      </c>
    </row>
    <row r="822" spans="1:19" x14ac:dyDescent="0.3">
      <c r="A822" s="3" t="s">
        <v>902</v>
      </c>
      <c r="B822" s="2">
        <v>45475</v>
      </c>
      <c r="C822" s="3" t="s">
        <v>101</v>
      </c>
      <c r="D822" s="3" t="s">
        <v>89</v>
      </c>
      <c r="E822" s="3" t="s">
        <v>90</v>
      </c>
      <c r="F822" s="3" t="s">
        <v>18</v>
      </c>
      <c r="G822" s="3" t="s">
        <v>76</v>
      </c>
      <c r="H822" s="3" t="s">
        <v>77</v>
      </c>
      <c r="I822" s="5">
        <v>12371.76</v>
      </c>
      <c r="J822" s="4">
        <v>9</v>
      </c>
      <c r="K822" s="1">
        <v>8</v>
      </c>
      <c r="L822" s="4">
        <v>1010.97</v>
      </c>
      <c r="M822" s="3" t="s">
        <v>28</v>
      </c>
      <c r="N822" s="3" t="s">
        <v>22</v>
      </c>
      <c r="O822" s="2" t="str">
        <f t="shared" si="60"/>
        <v>07-2024</v>
      </c>
      <c r="P822" t="str">
        <f t="shared" si="61"/>
        <v>2024</v>
      </c>
      <c r="Q822" s="6">
        <f t="shared" si="62"/>
        <v>8.1715940173427232E-2</v>
      </c>
      <c r="R822" t="str">
        <f t="shared" si="63"/>
        <v>Profit</v>
      </c>
      <c r="S822" t="str">
        <f t="shared" si="64"/>
        <v>Low (1-10%)</v>
      </c>
    </row>
    <row r="823" spans="1:19" x14ac:dyDescent="0.3">
      <c r="A823" s="3" t="s">
        <v>903</v>
      </c>
      <c r="B823" s="2">
        <v>45433</v>
      </c>
      <c r="C823" s="3" t="s">
        <v>42</v>
      </c>
      <c r="D823" s="3" t="s">
        <v>56</v>
      </c>
      <c r="E823" s="3" t="s">
        <v>57</v>
      </c>
      <c r="F823" s="3" t="s">
        <v>32</v>
      </c>
      <c r="G823" s="3" t="s">
        <v>112</v>
      </c>
      <c r="H823" s="3" t="s">
        <v>113</v>
      </c>
      <c r="I823" s="5">
        <v>3975.35</v>
      </c>
      <c r="J823" s="4">
        <v>5</v>
      </c>
      <c r="K823" s="1">
        <v>29</v>
      </c>
      <c r="L823" s="4">
        <v>474.95</v>
      </c>
      <c r="M823" s="3" t="s">
        <v>51</v>
      </c>
      <c r="N823" s="3" t="s">
        <v>35</v>
      </c>
      <c r="O823" s="2" t="str">
        <f t="shared" si="60"/>
        <v>05-2024</v>
      </c>
      <c r="P823" t="str">
        <f t="shared" si="61"/>
        <v>2024</v>
      </c>
      <c r="Q823" s="6">
        <f t="shared" si="62"/>
        <v>0.11947375702768309</v>
      </c>
      <c r="R823" t="str">
        <f t="shared" si="63"/>
        <v>Profit</v>
      </c>
      <c r="S823" t="str">
        <f t="shared" si="64"/>
        <v>High (&gt;20%)</v>
      </c>
    </row>
    <row r="824" spans="1:19" x14ac:dyDescent="0.3">
      <c r="A824" s="3" t="s">
        <v>904</v>
      </c>
      <c r="B824" s="2">
        <v>45620</v>
      </c>
      <c r="C824" s="3" t="s">
        <v>75</v>
      </c>
      <c r="D824" s="3" t="s">
        <v>56</v>
      </c>
      <c r="E824" s="3" t="s">
        <v>61</v>
      </c>
      <c r="F824" s="3" t="s">
        <v>32</v>
      </c>
      <c r="G824" s="3" t="s">
        <v>58</v>
      </c>
      <c r="H824" s="3" t="s">
        <v>59</v>
      </c>
      <c r="I824" s="5">
        <v>4039.7</v>
      </c>
      <c r="J824" s="4">
        <v>5</v>
      </c>
      <c r="K824" s="1">
        <v>25</v>
      </c>
      <c r="L824" s="4">
        <v>226.87</v>
      </c>
      <c r="M824" s="3" t="s">
        <v>51</v>
      </c>
      <c r="N824" s="3" t="s">
        <v>22</v>
      </c>
      <c r="O824" s="2" t="str">
        <f t="shared" si="60"/>
        <v>11-2024</v>
      </c>
      <c r="P824" t="str">
        <f t="shared" si="61"/>
        <v>2024</v>
      </c>
      <c r="Q824" s="6">
        <f t="shared" si="62"/>
        <v>5.6160110899324212E-2</v>
      </c>
      <c r="R824" t="str">
        <f t="shared" si="63"/>
        <v>Profit</v>
      </c>
      <c r="S824" t="str">
        <f t="shared" si="64"/>
        <v>High (&gt;20%)</v>
      </c>
    </row>
    <row r="825" spans="1:19" x14ac:dyDescent="0.3">
      <c r="A825" s="3" t="s">
        <v>905</v>
      </c>
      <c r="B825" s="2">
        <v>45624</v>
      </c>
      <c r="C825" s="3" t="s">
        <v>73</v>
      </c>
      <c r="D825" s="3" t="s">
        <v>38</v>
      </c>
      <c r="E825" s="3" t="s">
        <v>43</v>
      </c>
      <c r="F825" s="3" t="s">
        <v>18</v>
      </c>
      <c r="G825" s="3" t="s">
        <v>76</v>
      </c>
      <c r="H825" s="3" t="s">
        <v>77</v>
      </c>
      <c r="I825" s="5">
        <v>330.18</v>
      </c>
      <c r="J825" s="4">
        <v>2</v>
      </c>
      <c r="K825" s="1">
        <v>29</v>
      </c>
      <c r="L825" s="4">
        <v>42.83</v>
      </c>
      <c r="M825" s="3" t="s">
        <v>28</v>
      </c>
      <c r="N825" s="3" t="s">
        <v>22</v>
      </c>
      <c r="O825" s="2" t="str">
        <f t="shared" si="60"/>
        <v>11-2024</v>
      </c>
      <c r="P825" t="str">
        <f t="shared" si="61"/>
        <v>2024</v>
      </c>
      <c r="Q825" s="6">
        <f t="shared" si="62"/>
        <v>0.12971712399297353</v>
      </c>
      <c r="R825" t="str">
        <f t="shared" si="63"/>
        <v>Profit</v>
      </c>
      <c r="S825" t="str">
        <f t="shared" si="64"/>
        <v>High (&gt;20%)</v>
      </c>
    </row>
    <row r="826" spans="1:19" x14ac:dyDescent="0.3">
      <c r="A826" s="3" t="s">
        <v>906</v>
      </c>
      <c r="B826" s="2">
        <v>45582</v>
      </c>
      <c r="C826" s="3" t="s">
        <v>66</v>
      </c>
      <c r="D826" s="3" t="s">
        <v>89</v>
      </c>
      <c r="E826" s="3" t="s">
        <v>97</v>
      </c>
      <c r="F826" s="3" t="s">
        <v>62</v>
      </c>
      <c r="G826" s="3" t="s">
        <v>63</v>
      </c>
      <c r="H826" s="3" t="s">
        <v>64</v>
      </c>
      <c r="I826" s="5">
        <v>12039.48</v>
      </c>
      <c r="J826" s="4">
        <v>9</v>
      </c>
      <c r="K826" s="1">
        <v>2</v>
      </c>
      <c r="L826" s="4">
        <v>2484.9699999999998</v>
      </c>
      <c r="M826" s="3" t="s">
        <v>51</v>
      </c>
      <c r="N826" s="3" t="s">
        <v>35</v>
      </c>
      <c r="O826" s="2" t="str">
        <f t="shared" si="60"/>
        <v>10-2024</v>
      </c>
      <c r="P826" t="str">
        <f t="shared" si="61"/>
        <v>2024</v>
      </c>
      <c r="Q826" s="6">
        <f t="shared" si="62"/>
        <v>0.2064017715050816</v>
      </c>
      <c r="R826" t="str">
        <f t="shared" si="63"/>
        <v>Profit</v>
      </c>
      <c r="S826" t="str">
        <f t="shared" si="64"/>
        <v>Low (1-10%)</v>
      </c>
    </row>
    <row r="827" spans="1:19" x14ac:dyDescent="0.3">
      <c r="A827" s="3" t="s">
        <v>907</v>
      </c>
      <c r="B827" s="2">
        <v>45613</v>
      </c>
      <c r="C827" s="3" t="s">
        <v>75</v>
      </c>
      <c r="D827" s="3" t="s">
        <v>38</v>
      </c>
      <c r="E827" s="3" t="s">
        <v>39</v>
      </c>
      <c r="F827" s="3" t="s">
        <v>62</v>
      </c>
      <c r="G827" s="3" t="s">
        <v>63</v>
      </c>
      <c r="H827" s="3" t="s">
        <v>64</v>
      </c>
      <c r="I827" s="5">
        <v>628.98</v>
      </c>
      <c r="J827" s="4">
        <v>2</v>
      </c>
      <c r="K827" s="1">
        <v>14</v>
      </c>
      <c r="L827" s="4">
        <v>84.47</v>
      </c>
      <c r="M827" s="3" t="s">
        <v>21</v>
      </c>
      <c r="N827" s="3" t="s">
        <v>44</v>
      </c>
      <c r="O827" s="2" t="str">
        <f t="shared" si="60"/>
        <v>11-2024</v>
      </c>
      <c r="P827" t="str">
        <f t="shared" si="61"/>
        <v>2024</v>
      </c>
      <c r="Q827" s="6">
        <f t="shared" si="62"/>
        <v>0.13429679799039715</v>
      </c>
      <c r="R827" t="str">
        <f t="shared" si="63"/>
        <v>Profit</v>
      </c>
      <c r="S827" t="str">
        <f t="shared" si="64"/>
        <v>Mid (11-20%)</v>
      </c>
    </row>
    <row r="828" spans="1:19" x14ac:dyDescent="0.3">
      <c r="A828" s="3" t="s">
        <v>908</v>
      </c>
      <c r="B828" s="2">
        <v>45691</v>
      </c>
      <c r="C828" s="3" t="s">
        <v>86</v>
      </c>
      <c r="D828" s="3" t="s">
        <v>16</v>
      </c>
      <c r="E828" s="3" t="s">
        <v>31</v>
      </c>
      <c r="F828" s="3" t="s">
        <v>62</v>
      </c>
      <c r="G828" s="3" t="s">
        <v>80</v>
      </c>
      <c r="H828" s="3" t="s">
        <v>81</v>
      </c>
      <c r="I828" s="5">
        <v>10712.97</v>
      </c>
      <c r="J828" s="4">
        <v>9</v>
      </c>
      <c r="K828" s="1">
        <v>14</v>
      </c>
      <c r="L828" s="4">
        <v>2237.8000000000002</v>
      </c>
      <c r="M828" s="3" t="s">
        <v>51</v>
      </c>
      <c r="N828" s="3" t="s">
        <v>40</v>
      </c>
      <c r="O828" s="2" t="str">
        <f t="shared" si="60"/>
        <v>02-2025</v>
      </c>
      <c r="P828" t="str">
        <f t="shared" si="61"/>
        <v>2025</v>
      </c>
      <c r="Q828" s="6">
        <f t="shared" si="62"/>
        <v>0.20888698465504901</v>
      </c>
      <c r="R828" t="str">
        <f t="shared" si="63"/>
        <v>Profit</v>
      </c>
      <c r="S828" t="str">
        <f t="shared" si="64"/>
        <v>Mid (11-20%)</v>
      </c>
    </row>
    <row r="829" spans="1:19" x14ac:dyDescent="0.3">
      <c r="A829" s="3" t="s">
        <v>909</v>
      </c>
      <c r="B829" s="2">
        <v>45637</v>
      </c>
      <c r="C829" s="3" t="s">
        <v>70</v>
      </c>
      <c r="D829" s="3" t="s">
        <v>38</v>
      </c>
      <c r="E829" s="3" t="s">
        <v>43</v>
      </c>
      <c r="F829" s="3" t="s">
        <v>32</v>
      </c>
      <c r="G829" s="3" t="s">
        <v>47</v>
      </c>
      <c r="H829" s="3" t="s">
        <v>48</v>
      </c>
      <c r="I829" s="5">
        <v>1656.48</v>
      </c>
      <c r="J829" s="4">
        <v>6</v>
      </c>
      <c r="K829" s="1">
        <v>29</v>
      </c>
      <c r="L829" s="4">
        <v>82.31</v>
      </c>
      <c r="M829" s="3" t="s">
        <v>51</v>
      </c>
      <c r="N829" s="3" t="s">
        <v>35</v>
      </c>
      <c r="O829" s="2" t="str">
        <f t="shared" si="60"/>
        <v>12-2024</v>
      </c>
      <c r="P829" t="str">
        <f t="shared" si="61"/>
        <v>2024</v>
      </c>
      <c r="Q829" s="6">
        <f t="shared" si="62"/>
        <v>4.9689703467593938E-2</v>
      </c>
      <c r="R829" t="str">
        <f t="shared" si="63"/>
        <v>Profit</v>
      </c>
      <c r="S829" t="str">
        <f t="shared" si="64"/>
        <v>High (&gt;20%)</v>
      </c>
    </row>
    <row r="830" spans="1:19" x14ac:dyDescent="0.3">
      <c r="A830" s="3" t="s">
        <v>910</v>
      </c>
      <c r="B830" s="2">
        <v>45653</v>
      </c>
      <c r="C830" s="3" t="s">
        <v>84</v>
      </c>
      <c r="D830" s="3" t="s">
        <v>38</v>
      </c>
      <c r="E830" s="3" t="s">
        <v>43</v>
      </c>
      <c r="F830" s="3" t="s">
        <v>62</v>
      </c>
      <c r="G830" s="3" t="s">
        <v>103</v>
      </c>
      <c r="H830" s="3" t="s">
        <v>104</v>
      </c>
      <c r="I830" s="5">
        <v>8279.85</v>
      </c>
      <c r="J830" s="4">
        <v>5</v>
      </c>
      <c r="K830" s="1">
        <v>3</v>
      </c>
      <c r="L830" s="4">
        <v>1425.47</v>
      </c>
      <c r="M830" s="3" t="s">
        <v>21</v>
      </c>
      <c r="N830" s="3" t="s">
        <v>35</v>
      </c>
      <c r="O830" s="2" t="str">
        <f t="shared" si="60"/>
        <v>12-2024</v>
      </c>
      <c r="P830" t="str">
        <f t="shared" si="61"/>
        <v>2024</v>
      </c>
      <c r="Q830" s="6">
        <f t="shared" si="62"/>
        <v>0.17216133142508619</v>
      </c>
      <c r="R830" t="str">
        <f t="shared" si="63"/>
        <v>Profit</v>
      </c>
      <c r="S830" t="str">
        <f t="shared" si="64"/>
        <v>Low (1-10%)</v>
      </c>
    </row>
    <row r="831" spans="1:19" x14ac:dyDescent="0.3">
      <c r="A831" s="3" t="s">
        <v>911</v>
      </c>
      <c r="B831" s="2">
        <v>45668</v>
      </c>
      <c r="C831" s="3" t="s">
        <v>86</v>
      </c>
      <c r="D831" s="3" t="s">
        <v>16</v>
      </c>
      <c r="E831" s="3" t="s">
        <v>17</v>
      </c>
      <c r="F831" s="3" t="s">
        <v>32</v>
      </c>
      <c r="G831" s="3" t="s">
        <v>33</v>
      </c>
      <c r="H831" s="3" t="s">
        <v>34</v>
      </c>
      <c r="I831" s="5">
        <v>7192.14</v>
      </c>
      <c r="J831" s="4">
        <v>6</v>
      </c>
      <c r="K831" s="1">
        <v>19</v>
      </c>
      <c r="L831" s="4">
        <v>727.52</v>
      </c>
      <c r="M831" s="3" t="s">
        <v>28</v>
      </c>
      <c r="N831" s="3" t="s">
        <v>44</v>
      </c>
      <c r="O831" s="2" t="str">
        <f t="shared" si="60"/>
        <v>01-2025</v>
      </c>
      <c r="P831" t="str">
        <f t="shared" si="61"/>
        <v>2025</v>
      </c>
      <c r="Q831" s="6">
        <f t="shared" si="62"/>
        <v>0.10115487184620989</v>
      </c>
      <c r="R831" t="str">
        <f t="shared" si="63"/>
        <v>Profit</v>
      </c>
      <c r="S831" t="str">
        <f t="shared" si="64"/>
        <v>Mid (11-20%)</v>
      </c>
    </row>
    <row r="832" spans="1:19" x14ac:dyDescent="0.3">
      <c r="A832" s="3" t="s">
        <v>912</v>
      </c>
      <c r="B832" s="2">
        <v>45443</v>
      </c>
      <c r="C832" s="3" t="s">
        <v>86</v>
      </c>
      <c r="D832" s="3" t="s">
        <v>38</v>
      </c>
      <c r="E832" s="3" t="s">
        <v>71</v>
      </c>
      <c r="F832" s="3" t="s">
        <v>18</v>
      </c>
      <c r="G832" s="3" t="s">
        <v>76</v>
      </c>
      <c r="H832" s="3" t="s">
        <v>77</v>
      </c>
      <c r="I832" s="5">
        <v>2520.3000000000002</v>
      </c>
      <c r="J832" s="4">
        <v>2</v>
      </c>
      <c r="K832" s="1">
        <v>18</v>
      </c>
      <c r="L832" s="4">
        <v>262.43</v>
      </c>
      <c r="M832" s="3" t="s">
        <v>28</v>
      </c>
      <c r="N832" s="3" t="s">
        <v>35</v>
      </c>
      <c r="O832" s="2" t="str">
        <f t="shared" si="60"/>
        <v>05-2024</v>
      </c>
      <c r="P832" t="str">
        <f t="shared" si="61"/>
        <v>2024</v>
      </c>
      <c r="Q832" s="6">
        <f t="shared" si="62"/>
        <v>0.104126492877832</v>
      </c>
      <c r="R832" t="str">
        <f t="shared" si="63"/>
        <v>Profit</v>
      </c>
      <c r="S832" t="str">
        <f t="shared" si="64"/>
        <v>Mid (11-20%)</v>
      </c>
    </row>
    <row r="833" spans="1:19" x14ac:dyDescent="0.3">
      <c r="A833" s="3" t="s">
        <v>913</v>
      </c>
      <c r="B833" s="2">
        <v>45724</v>
      </c>
      <c r="C833" s="3" t="s">
        <v>70</v>
      </c>
      <c r="D833" s="3" t="s">
        <v>16</v>
      </c>
      <c r="E833" s="3" t="s">
        <v>25</v>
      </c>
      <c r="F833" s="3" t="s">
        <v>62</v>
      </c>
      <c r="G833" s="3" t="s">
        <v>63</v>
      </c>
      <c r="H833" s="3" t="s">
        <v>64</v>
      </c>
      <c r="I833" s="5">
        <v>3159.51</v>
      </c>
      <c r="J833" s="4">
        <v>3</v>
      </c>
      <c r="K833" s="1">
        <v>3</v>
      </c>
      <c r="L833" s="4">
        <v>170</v>
      </c>
      <c r="M833" s="3" t="s">
        <v>51</v>
      </c>
      <c r="N833" s="3" t="s">
        <v>35</v>
      </c>
      <c r="O833" s="2" t="str">
        <f t="shared" si="60"/>
        <v>03-2025</v>
      </c>
      <c r="P833" t="str">
        <f t="shared" si="61"/>
        <v>2025</v>
      </c>
      <c r="Q833" s="6">
        <f t="shared" si="62"/>
        <v>5.3805811660668897E-2</v>
      </c>
      <c r="R833" t="str">
        <f t="shared" si="63"/>
        <v>Profit</v>
      </c>
      <c r="S833" t="str">
        <f t="shared" si="64"/>
        <v>Low (1-10%)</v>
      </c>
    </row>
    <row r="834" spans="1:19" x14ac:dyDescent="0.3">
      <c r="A834" s="3" t="s">
        <v>914</v>
      </c>
      <c r="B834" s="2">
        <v>45438</v>
      </c>
      <c r="C834" s="3" t="s">
        <v>15</v>
      </c>
      <c r="D834" s="3" t="s">
        <v>16</v>
      </c>
      <c r="E834" s="3" t="s">
        <v>31</v>
      </c>
      <c r="F834" s="3" t="s">
        <v>32</v>
      </c>
      <c r="G834" s="3" t="s">
        <v>33</v>
      </c>
      <c r="H834" s="3" t="s">
        <v>34</v>
      </c>
      <c r="I834" s="5">
        <v>1567.68</v>
      </c>
      <c r="J834" s="4">
        <v>3</v>
      </c>
      <c r="K834" s="1">
        <v>17</v>
      </c>
      <c r="L834" s="4">
        <v>78.709999999999994</v>
      </c>
      <c r="M834" s="3" t="s">
        <v>51</v>
      </c>
      <c r="N834" s="3" t="s">
        <v>35</v>
      </c>
      <c r="O834" s="2" t="str">
        <f t="shared" ref="O834:O897" si="65" xml:space="preserve"> TEXT(B834,"MM-YYYY")</f>
        <v>05-2024</v>
      </c>
      <c r="P834" t="str">
        <f t="shared" ref="P834:P897" si="66">TEXT(B834,"YYYY")</f>
        <v>2024</v>
      </c>
      <c r="Q834" s="6">
        <f t="shared" ref="Q834:Q897" si="67">IFERROR(L834/I834,0)</f>
        <v>5.0207950602163702E-2</v>
      </c>
      <c r="R834" t="str">
        <f t="shared" ref="R834:R897" si="68">IF(L834&gt;0,"Profit","Loss")</f>
        <v>Profit</v>
      </c>
      <c r="S834" t="str">
        <f t="shared" ref="S834:S897" si="69">IF(K834=0,"No Discount",IF(K834&lt;=10,"Low (1-10%)",IF(K834&lt;=20,"Mid (11-20%)","High (&gt;20%)")))</f>
        <v>Mid (11-20%)</v>
      </c>
    </row>
    <row r="835" spans="1:19" x14ac:dyDescent="0.3">
      <c r="A835" s="3" t="s">
        <v>915</v>
      </c>
      <c r="B835" s="2">
        <v>45467</v>
      </c>
      <c r="C835" s="3" t="s">
        <v>75</v>
      </c>
      <c r="D835" s="3" t="s">
        <v>38</v>
      </c>
      <c r="E835" s="3" t="s">
        <v>39</v>
      </c>
      <c r="F835" s="3" t="s">
        <v>32</v>
      </c>
      <c r="G835" s="3" t="s">
        <v>33</v>
      </c>
      <c r="H835" s="3" t="s">
        <v>34</v>
      </c>
      <c r="I835" s="5">
        <v>3507.18</v>
      </c>
      <c r="J835" s="4">
        <v>6</v>
      </c>
      <c r="K835" s="1">
        <v>23</v>
      </c>
      <c r="L835" s="4">
        <v>489.59</v>
      </c>
      <c r="M835" s="3" t="s">
        <v>21</v>
      </c>
      <c r="N835" s="3" t="s">
        <v>35</v>
      </c>
      <c r="O835" s="2" t="str">
        <f t="shared" si="65"/>
        <v>06-2024</v>
      </c>
      <c r="P835" t="str">
        <f t="shared" si="66"/>
        <v>2024</v>
      </c>
      <c r="Q835" s="6">
        <f t="shared" si="67"/>
        <v>0.13959648492521057</v>
      </c>
      <c r="R835" t="str">
        <f t="shared" si="68"/>
        <v>Profit</v>
      </c>
      <c r="S835" t="str">
        <f t="shared" si="69"/>
        <v>High (&gt;20%)</v>
      </c>
    </row>
    <row r="836" spans="1:19" x14ac:dyDescent="0.3">
      <c r="A836" s="3" t="s">
        <v>916</v>
      </c>
      <c r="B836" s="2">
        <v>45590</v>
      </c>
      <c r="C836" s="3" t="s">
        <v>24</v>
      </c>
      <c r="D836" s="3" t="s">
        <v>89</v>
      </c>
      <c r="E836" s="3" t="s">
        <v>116</v>
      </c>
      <c r="F836" s="3" t="s">
        <v>32</v>
      </c>
      <c r="G836" s="3" t="s">
        <v>33</v>
      </c>
      <c r="H836" s="3" t="s">
        <v>34</v>
      </c>
      <c r="I836" s="5">
        <v>6779.04</v>
      </c>
      <c r="J836" s="4">
        <v>6</v>
      </c>
      <c r="K836" s="1">
        <v>5</v>
      </c>
      <c r="L836" s="4">
        <v>422.15</v>
      </c>
      <c r="M836" s="3" t="s">
        <v>21</v>
      </c>
      <c r="N836" s="3" t="s">
        <v>40</v>
      </c>
      <c r="O836" s="2" t="str">
        <f t="shared" si="65"/>
        <v>10-2024</v>
      </c>
      <c r="P836" t="str">
        <f t="shared" si="66"/>
        <v>2024</v>
      </c>
      <c r="Q836" s="6">
        <f t="shared" si="67"/>
        <v>6.2272829191153907E-2</v>
      </c>
      <c r="R836" t="str">
        <f t="shared" si="68"/>
        <v>Profit</v>
      </c>
      <c r="S836" t="str">
        <f t="shared" si="69"/>
        <v>Low (1-10%)</v>
      </c>
    </row>
    <row r="837" spans="1:19" x14ac:dyDescent="0.3">
      <c r="A837" s="3" t="s">
        <v>917</v>
      </c>
      <c r="B837" s="2">
        <v>45748</v>
      </c>
      <c r="C837" s="3" t="s">
        <v>42</v>
      </c>
      <c r="D837" s="3" t="s">
        <v>56</v>
      </c>
      <c r="E837" s="3" t="s">
        <v>108</v>
      </c>
      <c r="F837" s="3" t="s">
        <v>18</v>
      </c>
      <c r="G837" s="3" t="s">
        <v>26</v>
      </c>
      <c r="H837" s="3" t="s">
        <v>27</v>
      </c>
      <c r="I837" s="5">
        <v>1188.78</v>
      </c>
      <c r="J837" s="4">
        <v>2</v>
      </c>
      <c r="K837" s="1">
        <v>10</v>
      </c>
      <c r="L837" s="4">
        <v>81.67</v>
      </c>
      <c r="M837" s="3" t="s">
        <v>28</v>
      </c>
      <c r="N837" s="3" t="s">
        <v>22</v>
      </c>
      <c r="O837" s="2" t="str">
        <f t="shared" si="65"/>
        <v>04-2025</v>
      </c>
      <c r="P837" t="str">
        <f t="shared" si="66"/>
        <v>2025</v>
      </c>
      <c r="Q837" s="6">
        <f t="shared" si="67"/>
        <v>6.8700684735611306E-2</v>
      </c>
      <c r="R837" t="str">
        <f t="shared" si="68"/>
        <v>Profit</v>
      </c>
      <c r="S837" t="str">
        <f t="shared" si="69"/>
        <v>Low (1-10%)</v>
      </c>
    </row>
    <row r="838" spans="1:19" x14ac:dyDescent="0.3">
      <c r="A838" s="3" t="s">
        <v>918</v>
      </c>
      <c r="B838" s="2">
        <v>45504</v>
      </c>
      <c r="C838" s="3" t="s">
        <v>86</v>
      </c>
      <c r="D838" s="3" t="s">
        <v>38</v>
      </c>
      <c r="E838" s="3" t="s">
        <v>53</v>
      </c>
      <c r="F838" s="3" t="s">
        <v>18</v>
      </c>
      <c r="G838" s="3" t="s">
        <v>26</v>
      </c>
      <c r="H838" s="3" t="s">
        <v>27</v>
      </c>
      <c r="I838" s="5">
        <v>6671.43</v>
      </c>
      <c r="J838" s="4">
        <v>9</v>
      </c>
      <c r="K838" s="1">
        <v>27</v>
      </c>
      <c r="L838" s="4">
        <v>796.8</v>
      </c>
      <c r="M838" s="3" t="s">
        <v>51</v>
      </c>
      <c r="N838" s="3" t="s">
        <v>22</v>
      </c>
      <c r="O838" s="2" t="str">
        <f t="shared" si="65"/>
        <v>07-2024</v>
      </c>
      <c r="P838" t="str">
        <f t="shared" si="66"/>
        <v>2024</v>
      </c>
      <c r="Q838" s="6">
        <f t="shared" si="67"/>
        <v>0.11943466393262013</v>
      </c>
      <c r="R838" t="str">
        <f t="shared" si="68"/>
        <v>Profit</v>
      </c>
      <c r="S838" t="str">
        <f t="shared" si="69"/>
        <v>High (&gt;20%)</v>
      </c>
    </row>
    <row r="839" spans="1:19" x14ac:dyDescent="0.3">
      <c r="A839" s="3" t="s">
        <v>919</v>
      </c>
      <c r="B839" s="2">
        <v>45583</v>
      </c>
      <c r="C839" s="3" t="s">
        <v>99</v>
      </c>
      <c r="D839" s="3" t="s">
        <v>56</v>
      </c>
      <c r="E839" s="3" t="s">
        <v>61</v>
      </c>
      <c r="F839" s="3" t="s">
        <v>18</v>
      </c>
      <c r="G839" s="3" t="s">
        <v>94</v>
      </c>
      <c r="H839" s="3" t="s">
        <v>95</v>
      </c>
      <c r="I839" s="5">
        <v>3274.08</v>
      </c>
      <c r="J839" s="4">
        <v>8</v>
      </c>
      <c r="K839" s="1">
        <v>14</v>
      </c>
      <c r="L839" s="4">
        <v>437.36</v>
      </c>
      <c r="M839" s="3" t="s">
        <v>28</v>
      </c>
      <c r="N839" s="3" t="s">
        <v>40</v>
      </c>
      <c r="O839" s="2" t="str">
        <f t="shared" si="65"/>
        <v>10-2024</v>
      </c>
      <c r="P839" t="str">
        <f t="shared" si="66"/>
        <v>2024</v>
      </c>
      <c r="Q839" s="6">
        <f t="shared" si="67"/>
        <v>0.13358256365146851</v>
      </c>
      <c r="R839" t="str">
        <f t="shared" si="68"/>
        <v>Profit</v>
      </c>
      <c r="S839" t="str">
        <f t="shared" si="69"/>
        <v>Mid (11-20%)</v>
      </c>
    </row>
    <row r="840" spans="1:19" x14ac:dyDescent="0.3">
      <c r="A840" s="3" t="s">
        <v>920</v>
      </c>
      <c r="B840" s="2">
        <v>45518</v>
      </c>
      <c r="C840" s="3" t="s">
        <v>24</v>
      </c>
      <c r="D840" s="3" t="s">
        <v>89</v>
      </c>
      <c r="E840" s="3" t="s">
        <v>102</v>
      </c>
      <c r="F840" s="3" t="s">
        <v>32</v>
      </c>
      <c r="G840" s="3" t="s">
        <v>58</v>
      </c>
      <c r="H840" s="3" t="s">
        <v>59</v>
      </c>
      <c r="I840" s="5">
        <v>6254</v>
      </c>
      <c r="J840" s="4">
        <v>4</v>
      </c>
      <c r="K840" s="1">
        <v>11</v>
      </c>
      <c r="L840" s="4">
        <v>890.82</v>
      </c>
      <c r="M840" s="3" t="s">
        <v>21</v>
      </c>
      <c r="N840" s="3" t="s">
        <v>40</v>
      </c>
      <c r="O840" s="2" t="str">
        <f t="shared" si="65"/>
        <v>08-2024</v>
      </c>
      <c r="P840" t="str">
        <f t="shared" si="66"/>
        <v>2024</v>
      </c>
      <c r="Q840" s="6">
        <f t="shared" si="67"/>
        <v>0.14244003837543973</v>
      </c>
      <c r="R840" t="str">
        <f t="shared" si="68"/>
        <v>Profit</v>
      </c>
      <c r="S840" t="str">
        <f t="shared" si="69"/>
        <v>Mid (11-20%)</v>
      </c>
    </row>
    <row r="841" spans="1:19" x14ac:dyDescent="0.3">
      <c r="A841" s="3" t="s">
        <v>921</v>
      </c>
      <c r="B841" s="2">
        <v>45456</v>
      </c>
      <c r="C841" s="3" t="s">
        <v>73</v>
      </c>
      <c r="D841" s="3" t="s">
        <v>38</v>
      </c>
      <c r="E841" s="3" t="s">
        <v>43</v>
      </c>
      <c r="F841" s="3" t="s">
        <v>62</v>
      </c>
      <c r="G841" s="3" t="s">
        <v>80</v>
      </c>
      <c r="H841" s="3" t="s">
        <v>81</v>
      </c>
      <c r="I841" s="5">
        <v>3457.88</v>
      </c>
      <c r="J841" s="4">
        <v>4</v>
      </c>
      <c r="K841" s="1">
        <v>30</v>
      </c>
      <c r="L841" s="4">
        <v>276.37</v>
      </c>
      <c r="M841" s="3" t="s">
        <v>21</v>
      </c>
      <c r="N841" s="3" t="s">
        <v>35</v>
      </c>
      <c r="O841" s="2" t="str">
        <f t="shared" si="65"/>
        <v>06-2024</v>
      </c>
      <c r="P841" t="str">
        <f t="shared" si="66"/>
        <v>2024</v>
      </c>
      <c r="Q841" s="6">
        <f t="shared" si="67"/>
        <v>7.9924693742987038E-2</v>
      </c>
      <c r="R841" t="str">
        <f t="shared" si="68"/>
        <v>Profit</v>
      </c>
      <c r="S841" t="str">
        <f t="shared" si="69"/>
        <v>High (&gt;20%)</v>
      </c>
    </row>
    <row r="842" spans="1:19" x14ac:dyDescent="0.3">
      <c r="A842" s="3" t="s">
        <v>922</v>
      </c>
      <c r="B842" s="2">
        <v>45520</v>
      </c>
      <c r="C842" s="3" t="s">
        <v>42</v>
      </c>
      <c r="D842" s="3" t="s">
        <v>56</v>
      </c>
      <c r="E842" s="3" t="s">
        <v>57</v>
      </c>
      <c r="F842" s="3" t="s">
        <v>32</v>
      </c>
      <c r="G842" s="3" t="s">
        <v>58</v>
      </c>
      <c r="H842" s="3" t="s">
        <v>59</v>
      </c>
      <c r="I842" s="5">
        <v>2268.14</v>
      </c>
      <c r="J842" s="4">
        <v>7</v>
      </c>
      <c r="K842" s="1">
        <v>6</v>
      </c>
      <c r="L842" s="4">
        <v>249.14</v>
      </c>
      <c r="M842" s="3" t="s">
        <v>28</v>
      </c>
      <c r="N842" s="3" t="s">
        <v>35</v>
      </c>
      <c r="O842" s="2" t="str">
        <f t="shared" si="65"/>
        <v>08-2024</v>
      </c>
      <c r="P842" t="str">
        <f t="shared" si="66"/>
        <v>2024</v>
      </c>
      <c r="Q842" s="6">
        <f t="shared" si="67"/>
        <v>0.10984330773232692</v>
      </c>
      <c r="R842" t="str">
        <f t="shared" si="68"/>
        <v>Profit</v>
      </c>
      <c r="S842" t="str">
        <f t="shared" si="69"/>
        <v>Low (1-10%)</v>
      </c>
    </row>
    <row r="843" spans="1:19" x14ac:dyDescent="0.3">
      <c r="A843" s="3" t="s">
        <v>923</v>
      </c>
      <c r="B843" s="2">
        <v>45689</v>
      </c>
      <c r="C843" s="3" t="s">
        <v>24</v>
      </c>
      <c r="D843" s="3" t="s">
        <v>89</v>
      </c>
      <c r="E843" s="3" t="s">
        <v>90</v>
      </c>
      <c r="F843" s="3" t="s">
        <v>62</v>
      </c>
      <c r="G843" s="3" t="s">
        <v>67</v>
      </c>
      <c r="H843" s="3" t="s">
        <v>68</v>
      </c>
      <c r="I843" s="5">
        <v>1266.57</v>
      </c>
      <c r="J843" s="4">
        <v>9</v>
      </c>
      <c r="K843" s="1">
        <v>20</v>
      </c>
      <c r="L843" s="4">
        <v>160.6</v>
      </c>
      <c r="M843" s="3" t="s">
        <v>28</v>
      </c>
      <c r="N843" s="3" t="s">
        <v>22</v>
      </c>
      <c r="O843" s="2" t="str">
        <f t="shared" si="65"/>
        <v>02-2025</v>
      </c>
      <c r="P843" t="str">
        <f t="shared" si="66"/>
        <v>2025</v>
      </c>
      <c r="Q843" s="6">
        <f t="shared" si="67"/>
        <v>0.1267991504614826</v>
      </c>
      <c r="R843" t="str">
        <f t="shared" si="68"/>
        <v>Profit</v>
      </c>
      <c r="S843" t="str">
        <f t="shared" si="69"/>
        <v>Mid (11-20%)</v>
      </c>
    </row>
    <row r="844" spans="1:19" x14ac:dyDescent="0.3">
      <c r="A844" s="3" t="s">
        <v>924</v>
      </c>
      <c r="B844" s="2">
        <v>45558</v>
      </c>
      <c r="C844" s="3" t="s">
        <v>86</v>
      </c>
      <c r="D844" s="3" t="s">
        <v>16</v>
      </c>
      <c r="E844" s="3" t="s">
        <v>25</v>
      </c>
      <c r="F844" s="3" t="s">
        <v>62</v>
      </c>
      <c r="G844" s="3" t="s">
        <v>67</v>
      </c>
      <c r="H844" s="3" t="s">
        <v>68</v>
      </c>
      <c r="I844" s="5">
        <v>701.7</v>
      </c>
      <c r="J844" s="4">
        <v>2</v>
      </c>
      <c r="K844" s="1">
        <v>6</v>
      </c>
      <c r="L844" s="4">
        <v>35.25</v>
      </c>
      <c r="M844" s="3" t="s">
        <v>51</v>
      </c>
      <c r="N844" s="3" t="s">
        <v>35</v>
      </c>
      <c r="O844" s="2" t="str">
        <f t="shared" si="65"/>
        <v>09-2024</v>
      </c>
      <c r="P844" t="str">
        <f t="shared" si="66"/>
        <v>2024</v>
      </c>
      <c r="Q844" s="6">
        <f t="shared" si="67"/>
        <v>5.0235143223599829E-2</v>
      </c>
      <c r="R844" t="str">
        <f t="shared" si="68"/>
        <v>Profit</v>
      </c>
      <c r="S844" t="str">
        <f t="shared" si="69"/>
        <v>Low (1-10%)</v>
      </c>
    </row>
    <row r="845" spans="1:19" x14ac:dyDescent="0.3">
      <c r="A845" s="3" t="s">
        <v>925</v>
      </c>
      <c r="B845" s="2">
        <v>45607</v>
      </c>
      <c r="C845" s="3" t="s">
        <v>30</v>
      </c>
      <c r="D845" s="3" t="s">
        <v>89</v>
      </c>
      <c r="E845" s="3" t="s">
        <v>97</v>
      </c>
      <c r="F845" s="3" t="s">
        <v>62</v>
      </c>
      <c r="G845" s="3" t="s">
        <v>80</v>
      </c>
      <c r="H845" s="3" t="s">
        <v>81</v>
      </c>
      <c r="I845" s="5">
        <v>1194.8699999999999</v>
      </c>
      <c r="J845" s="4">
        <v>1</v>
      </c>
      <c r="K845" s="1">
        <v>13</v>
      </c>
      <c r="L845" s="4">
        <v>151.02000000000001</v>
      </c>
      <c r="M845" s="3" t="s">
        <v>21</v>
      </c>
      <c r="N845" s="3" t="s">
        <v>22</v>
      </c>
      <c r="O845" s="2" t="str">
        <f t="shared" si="65"/>
        <v>11-2024</v>
      </c>
      <c r="P845" t="str">
        <f t="shared" si="66"/>
        <v>2024</v>
      </c>
      <c r="Q845" s="6">
        <f t="shared" si="67"/>
        <v>0.12639031861206659</v>
      </c>
      <c r="R845" t="str">
        <f t="shared" si="68"/>
        <v>Profit</v>
      </c>
      <c r="S845" t="str">
        <f t="shared" si="69"/>
        <v>Mid (11-20%)</v>
      </c>
    </row>
    <row r="846" spans="1:19" x14ac:dyDescent="0.3">
      <c r="A846" s="3" t="s">
        <v>926</v>
      </c>
      <c r="B846" s="2">
        <v>45474</v>
      </c>
      <c r="C846" s="3" t="s">
        <v>101</v>
      </c>
      <c r="D846" s="3" t="s">
        <v>56</v>
      </c>
      <c r="E846" s="3" t="s">
        <v>57</v>
      </c>
      <c r="F846" s="3" t="s">
        <v>18</v>
      </c>
      <c r="G846" s="3" t="s">
        <v>19</v>
      </c>
      <c r="H846" s="3" t="s">
        <v>20</v>
      </c>
      <c r="I846" s="5">
        <v>7021.05</v>
      </c>
      <c r="J846" s="4">
        <v>5</v>
      </c>
      <c r="K846" s="1">
        <v>15</v>
      </c>
      <c r="L846" s="4">
        <v>1264.83</v>
      </c>
      <c r="M846" s="3" t="s">
        <v>51</v>
      </c>
      <c r="N846" s="3" t="s">
        <v>40</v>
      </c>
      <c r="O846" s="2" t="str">
        <f t="shared" si="65"/>
        <v>07-2024</v>
      </c>
      <c r="P846" t="str">
        <f t="shared" si="66"/>
        <v>2024</v>
      </c>
      <c r="Q846" s="6">
        <f t="shared" si="67"/>
        <v>0.18014826842138995</v>
      </c>
      <c r="R846" t="str">
        <f t="shared" si="68"/>
        <v>Profit</v>
      </c>
      <c r="S846" t="str">
        <f t="shared" si="69"/>
        <v>Mid (11-20%)</v>
      </c>
    </row>
    <row r="847" spans="1:19" x14ac:dyDescent="0.3">
      <c r="A847" s="3" t="s">
        <v>927</v>
      </c>
      <c r="B847" s="2">
        <v>45574</v>
      </c>
      <c r="C847" s="3" t="s">
        <v>133</v>
      </c>
      <c r="D847" s="3" t="s">
        <v>89</v>
      </c>
      <c r="E847" s="3" t="s">
        <v>90</v>
      </c>
      <c r="F847" s="3" t="s">
        <v>32</v>
      </c>
      <c r="G847" s="3" t="s">
        <v>47</v>
      </c>
      <c r="H847" s="3" t="s">
        <v>48</v>
      </c>
      <c r="I847" s="5">
        <v>1005.06</v>
      </c>
      <c r="J847" s="4">
        <v>1</v>
      </c>
      <c r="K847" s="1">
        <v>29</v>
      </c>
      <c r="L847" s="4">
        <v>46.25</v>
      </c>
      <c r="M847" s="3" t="s">
        <v>21</v>
      </c>
      <c r="N847" s="3" t="s">
        <v>22</v>
      </c>
      <c r="O847" s="2" t="str">
        <f t="shared" si="65"/>
        <v>10-2024</v>
      </c>
      <c r="P847" t="str">
        <f t="shared" si="66"/>
        <v>2024</v>
      </c>
      <c r="Q847" s="6">
        <f t="shared" si="67"/>
        <v>4.6017153204783799E-2</v>
      </c>
      <c r="R847" t="str">
        <f t="shared" si="68"/>
        <v>Profit</v>
      </c>
      <c r="S847" t="str">
        <f t="shared" si="69"/>
        <v>High (&gt;20%)</v>
      </c>
    </row>
    <row r="848" spans="1:19" x14ac:dyDescent="0.3">
      <c r="A848" s="3" t="s">
        <v>928</v>
      </c>
      <c r="B848" s="2">
        <v>45628</v>
      </c>
      <c r="C848" s="3" t="s">
        <v>73</v>
      </c>
      <c r="D848" s="3" t="s">
        <v>89</v>
      </c>
      <c r="E848" s="3" t="s">
        <v>140</v>
      </c>
      <c r="F848" s="3" t="s">
        <v>32</v>
      </c>
      <c r="G848" s="3" t="s">
        <v>33</v>
      </c>
      <c r="H848" s="3" t="s">
        <v>34</v>
      </c>
      <c r="I848" s="5">
        <v>8064.6</v>
      </c>
      <c r="J848" s="4">
        <v>6</v>
      </c>
      <c r="K848" s="1">
        <v>1</v>
      </c>
      <c r="L848" s="4">
        <v>1365.38</v>
      </c>
      <c r="M848" s="3" t="s">
        <v>51</v>
      </c>
      <c r="N848" s="3" t="s">
        <v>44</v>
      </c>
      <c r="O848" s="2" t="str">
        <f t="shared" si="65"/>
        <v>12-2024</v>
      </c>
      <c r="P848" t="str">
        <f t="shared" si="66"/>
        <v>2024</v>
      </c>
      <c r="Q848" s="6">
        <f t="shared" si="67"/>
        <v>0.16930535922426407</v>
      </c>
      <c r="R848" t="str">
        <f t="shared" si="68"/>
        <v>Profit</v>
      </c>
      <c r="S848" t="str">
        <f t="shared" si="69"/>
        <v>Low (1-10%)</v>
      </c>
    </row>
    <row r="849" spans="1:19" x14ac:dyDescent="0.3">
      <c r="A849" s="3" t="s">
        <v>929</v>
      </c>
      <c r="B849" s="2">
        <v>45545</v>
      </c>
      <c r="C849" s="3" t="s">
        <v>133</v>
      </c>
      <c r="D849" s="3" t="s">
        <v>16</v>
      </c>
      <c r="E849" s="3" t="s">
        <v>31</v>
      </c>
      <c r="F849" s="3" t="s">
        <v>18</v>
      </c>
      <c r="G849" s="3" t="s">
        <v>94</v>
      </c>
      <c r="H849" s="3" t="s">
        <v>95</v>
      </c>
      <c r="I849" s="5">
        <v>5198.24</v>
      </c>
      <c r="J849" s="4">
        <v>8</v>
      </c>
      <c r="K849" s="1">
        <v>9</v>
      </c>
      <c r="L849" s="4">
        <v>722.81</v>
      </c>
      <c r="M849" s="3" t="s">
        <v>28</v>
      </c>
      <c r="N849" s="3" t="s">
        <v>44</v>
      </c>
      <c r="O849" s="2" t="str">
        <f t="shared" si="65"/>
        <v>09-2024</v>
      </c>
      <c r="P849" t="str">
        <f t="shared" si="66"/>
        <v>2024</v>
      </c>
      <c r="Q849" s="6">
        <f t="shared" si="67"/>
        <v>0.13904898581058203</v>
      </c>
      <c r="R849" t="str">
        <f t="shared" si="68"/>
        <v>Profit</v>
      </c>
      <c r="S849" t="str">
        <f t="shared" si="69"/>
        <v>Low (1-10%)</v>
      </c>
    </row>
    <row r="850" spans="1:19" x14ac:dyDescent="0.3">
      <c r="A850" s="3" t="s">
        <v>930</v>
      </c>
      <c r="B850" s="2">
        <v>45430</v>
      </c>
      <c r="C850" s="3" t="s">
        <v>70</v>
      </c>
      <c r="D850" s="3" t="s">
        <v>56</v>
      </c>
      <c r="E850" s="3" t="s">
        <v>57</v>
      </c>
      <c r="F850" s="3" t="s">
        <v>32</v>
      </c>
      <c r="G850" s="3" t="s">
        <v>112</v>
      </c>
      <c r="H850" s="3" t="s">
        <v>113</v>
      </c>
      <c r="I850" s="5">
        <v>8254.89</v>
      </c>
      <c r="J850" s="4">
        <v>9</v>
      </c>
      <c r="K850" s="1">
        <v>10</v>
      </c>
      <c r="L850" s="4">
        <v>688.09</v>
      </c>
      <c r="M850" s="3" t="s">
        <v>51</v>
      </c>
      <c r="N850" s="3" t="s">
        <v>44</v>
      </c>
      <c r="O850" s="2" t="str">
        <f t="shared" si="65"/>
        <v>05-2024</v>
      </c>
      <c r="P850" t="str">
        <f t="shared" si="66"/>
        <v>2024</v>
      </c>
      <c r="Q850" s="6">
        <f t="shared" si="67"/>
        <v>8.3355441441375966E-2</v>
      </c>
      <c r="R850" t="str">
        <f t="shared" si="68"/>
        <v>Profit</v>
      </c>
      <c r="S850" t="str">
        <f t="shared" si="69"/>
        <v>Low (1-10%)</v>
      </c>
    </row>
    <row r="851" spans="1:19" x14ac:dyDescent="0.3">
      <c r="A851" s="3" t="s">
        <v>931</v>
      </c>
      <c r="B851" s="2">
        <v>45444</v>
      </c>
      <c r="C851" s="3" t="s">
        <v>42</v>
      </c>
      <c r="D851" s="3" t="s">
        <v>16</v>
      </c>
      <c r="E851" s="3" t="s">
        <v>17</v>
      </c>
      <c r="F851" s="3" t="s">
        <v>62</v>
      </c>
      <c r="G851" s="3" t="s">
        <v>103</v>
      </c>
      <c r="H851" s="3" t="s">
        <v>104</v>
      </c>
      <c r="I851" s="5">
        <v>16609.3</v>
      </c>
      <c r="J851" s="4">
        <v>10</v>
      </c>
      <c r="K851" s="1">
        <v>30</v>
      </c>
      <c r="L851" s="4">
        <v>2503.6</v>
      </c>
      <c r="M851" s="3" t="s">
        <v>28</v>
      </c>
      <c r="N851" s="3" t="s">
        <v>22</v>
      </c>
      <c r="O851" s="2" t="str">
        <f t="shared" si="65"/>
        <v>06-2024</v>
      </c>
      <c r="P851" t="str">
        <f t="shared" si="66"/>
        <v>2024</v>
      </c>
      <c r="Q851" s="6">
        <f t="shared" si="67"/>
        <v>0.15073482928238999</v>
      </c>
      <c r="R851" t="str">
        <f t="shared" si="68"/>
        <v>Profit</v>
      </c>
      <c r="S851" t="str">
        <f t="shared" si="69"/>
        <v>High (&gt;20%)</v>
      </c>
    </row>
    <row r="852" spans="1:19" x14ac:dyDescent="0.3">
      <c r="A852" s="3" t="s">
        <v>932</v>
      </c>
      <c r="B852" s="2">
        <v>45509</v>
      </c>
      <c r="C852" s="3" t="s">
        <v>101</v>
      </c>
      <c r="D852" s="3" t="s">
        <v>16</v>
      </c>
      <c r="E852" s="3" t="s">
        <v>17</v>
      </c>
      <c r="F852" s="3" t="s">
        <v>62</v>
      </c>
      <c r="G852" s="3" t="s">
        <v>63</v>
      </c>
      <c r="H852" s="3" t="s">
        <v>64</v>
      </c>
      <c r="I852" s="5">
        <v>10279.98</v>
      </c>
      <c r="J852" s="4">
        <v>9</v>
      </c>
      <c r="K852" s="1">
        <v>28</v>
      </c>
      <c r="L852" s="4">
        <v>482.3</v>
      </c>
      <c r="M852" s="3" t="s">
        <v>51</v>
      </c>
      <c r="N852" s="3" t="s">
        <v>40</v>
      </c>
      <c r="O852" s="2" t="str">
        <f t="shared" si="65"/>
        <v>08-2024</v>
      </c>
      <c r="P852" t="str">
        <f t="shared" si="66"/>
        <v>2024</v>
      </c>
      <c r="Q852" s="6">
        <f t="shared" si="67"/>
        <v>4.6916433689559708E-2</v>
      </c>
      <c r="R852" t="str">
        <f t="shared" si="68"/>
        <v>Profit</v>
      </c>
      <c r="S852" t="str">
        <f t="shared" si="69"/>
        <v>High (&gt;20%)</v>
      </c>
    </row>
    <row r="853" spans="1:19" x14ac:dyDescent="0.3">
      <c r="A853" s="3" t="s">
        <v>933</v>
      </c>
      <c r="B853" s="2">
        <v>45561</v>
      </c>
      <c r="C853" s="3" t="s">
        <v>84</v>
      </c>
      <c r="D853" s="3" t="s">
        <v>89</v>
      </c>
      <c r="E853" s="3" t="s">
        <v>90</v>
      </c>
      <c r="F853" s="3" t="s">
        <v>62</v>
      </c>
      <c r="G853" s="3" t="s">
        <v>63</v>
      </c>
      <c r="H853" s="3" t="s">
        <v>64</v>
      </c>
      <c r="I853" s="5">
        <v>1683.09</v>
      </c>
      <c r="J853" s="4">
        <v>3</v>
      </c>
      <c r="K853" s="1">
        <v>26</v>
      </c>
      <c r="L853" s="4">
        <v>270.97000000000003</v>
      </c>
      <c r="M853" s="3" t="s">
        <v>51</v>
      </c>
      <c r="N853" s="3" t="s">
        <v>22</v>
      </c>
      <c r="O853" s="2" t="str">
        <f t="shared" si="65"/>
        <v>09-2024</v>
      </c>
      <c r="P853" t="str">
        <f t="shared" si="66"/>
        <v>2024</v>
      </c>
      <c r="Q853" s="6">
        <f t="shared" si="67"/>
        <v>0.16099554985176076</v>
      </c>
      <c r="R853" t="str">
        <f t="shared" si="68"/>
        <v>Profit</v>
      </c>
      <c r="S853" t="str">
        <f t="shared" si="69"/>
        <v>High (&gt;20%)</v>
      </c>
    </row>
    <row r="854" spans="1:19" x14ac:dyDescent="0.3">
      <c r="A854" s="3" t="s">
        <v>934</v>
      </c>
      <c r="B854" s="2">
        <v>45679</v>
      </c>
      <c r="C854" s="3" t="s">
        <v>42</v>
      </c>
      <c r="D854" s="3" t="s">
        <v>38</v>
      </c>
      <c r="E854" s="3" t="s">
        <v>71</v>
      </c>
      <c r="F854" s="3" t="s">
        <v>18</v>
      </c>
      <c r="G854" s="3" t="s">
        <v>94</v>
      </c>
      <c r="H854" s="3" t="s">
        <v>95</v>
      </c>
      <c r="I854" s="5">
        <v>16597.8</v>
      </c>
      <c r="J854" s="4">
        <v>10</v>
      </c>
      <c r="K854" s="1">
        <v>16</v>
      </c>
      <c r="L854" s="4">
        <v>2692.54</v>
      </c>
      <c r="M854" s="3" t="s">
        <v>21</v>
      </c>
      <c r="N854" s="3" t="s">
        <v>35</v>
      </c>
      <c r="O854" s="2" t="str">
        <f t="shared" si="65"/>
        <v>01-2025</v>
      </c>
      <c r="P854" t="str">
        <f t="shared" si="66"/>
        <v>2025</v>
      </c>
      <c r="Q854" s="6">
        <f t="shared" si="67"/>
        <v>0.16222270421381146</v>
      </c>
      <c r="R854" t="str">
        <f t="shared" si="68"/>
        <v>Profit</v>
      </c>
      <c r="S854" t="str">
        <f t="shared" si="69"/>
        <v>Mid (11-20%)</v>
      </c>
    </row>
    <row r="855" spans="1:19" x14ac:dyDescent="0.3">
      <c r="A855" s="3" t="s">
        <v>935</v>
      </c>
      <c r="B855" s="2">
        <v>45745</v>
      </c>
      <c r="C855" s="3" t="s">
        <v>24</v>
      </c>
      <c r="D855" s="3" t="s">
        <v>38</v>
      </c>
      <c r="E855" s="3" t="s">
        <v>71</v>
      </c>
      <c r="F855" s="3" t="s">
        <v>18</v>
      </c>
      <c r="G855" s="3" t="s">
        <v>76</v>
      </c>
      <c r="H855" s="3" t="s">
        <v>77</v>
      </c>
      <c r="I855" s="5">
        <v>1801.34</v>
      </c>
      <c r="J855" s="4">
        <v>2</v>
      </c>
      <c r="K855" s="1">
        <v>30</v>
      </c>
      <c r="L855" s="4">
        <v>110.46</v>
      </c>
      <c r="M855" s="3" t="s">
        <v>28</v>
      </c>
      <c r="N855" s="3" t="s">
        <v>44</v>
      </c>
      <c r="O855" s="2" t="str">
        <f t="shared" si="65"/>
        <v>03-2025</v>
      </c>
      <c r="P855" t="str">
        <f t="shared" si="66"/>
        <v>2025</v>
      </c>
      <c r="Q855" s="6">
        <f t="shared" si="67"/>
        <v>6.1321016576548572E-2</v>
      </c>
      <c r="R855" t="str">
        <f t="shared" si="68"/>
        <v>Profit</v>
      </c>
      <c r="S855" t="str">
        <f t="shared" si="69"/>
        <v>High (&gt;20%)</v>
      </c>
    </row>
    <row r="856" spans="1:19" x14ac:dyDescent="0.3">
      <c r="A856" s="3" t="s">
        <v>936</v>
      </c>
      <c r="B856" s="2">
        <v>45586</v>
      </c>
      <c r="C856" s="3" t="s">
        <v>75</v>
      </c>
      <c r="D856" s="3" t="s">
        <v>38</v>
      </c>
      <c r="E856" s="3" t="s">
        <v>53</v>
      </c>
      <c r="F856" s="3" t="s">
        <v>18</v>
      </c>
      <c r="G856" s="3" t="s">
        <v>26</v>
      </c>
      <c r="H856" s="3" t="s">
        <v>27</v>
      </c>
      <c r="I856" s="5">
        <v>5823.96</v>
      </c>
      <c r="J856" s="4">
        <v>4</v>
      </c>
      <c r="K856" s="1">
        <v>16</v>
      </c>
      <c r="L856" s="4">
        <v>992.09</v>
      </c>
      <c r="M856" s="3" t="s">
        <v>28</v>
      </c>
      <c r="N856" s="3" t="s">
        <v>35</v>
      </c>
      <c r="O856" s="2" t="str">
        <f t="shared" si="65"/>
        <v>10-2024</v>
      </c>
      <c r="P856" t="str">
        <f t="shared" si="66"/>
        <v>2024</v>
      </c>
      <c r="Q856" s="6">
        <f t="shared" si="67"/>
        <v>0.17034629358718123</v>
      </c>
      <c r="R856" t="str">
        <f t="shared" si="68"/>
        <v>Profit</v>
      </c>
      <c r="S856" t="str">
        <f t="shared" si="69"/>
        <v>Mid (11-20%)</v>
      </c>
    </row>
    <row r="857" spans="1:19" x14ac:dyDescent="0.3">
      <c r="A857" s="3" t="s">
        <v>937</v>
      </c>
      <c r="B857" s="2">
        <v>45475</v>
      </c>
      <c r="C857" s="3" t="s">
        <v>24</v>
      </c>
      <c r="D857" s="3" t="s">
        <v>89</v>
      </c>
      <c r="E857" s="3" t="s">
        <v>102</v>
      </c>
      <c r="F857" s="3" t="s">
        <v>62</v>
      </c>
      <c r="G857" s="3" t="s">
        <v>80</v>
      </c>
      <c r="H857" s="3" t="s">
        <v>81</v>
      </c>
      <c r="I857" s="5">
        <v>11546.76</v>
      </c>
      <c r="J857" s="4">
        <v>6</v>
      </c>
      <c r="K857" s="1">
        <v>19</v>
      </c>
      <c r="L857" s="4">
        <v>1813.43</v>
      </c>
      <c r="M857" s="3" t="s">
        <v>51</v>
      </c>
      <c r="N857" s="3" t="s">
        <v>35</v>
      </c>
      <c r="O857" s="2" t="str">
        <f t="shared" si="65"/>
        <v>07-2024</v>
      </c>
      <c r="P857" t="str">
        <f t="shared" si="66"/>
        <v>2024</v>
      </c>
      <c r="Q857" s="6">
        <f t="shared" si="67"/>
        <v>0.15705098226688699</v>
      </c>
      <c r="R857" t="str">
        <f t="shared" si="68"/>
        <v>Profit</v>
      </c>
      <c r="S857" t="str">
        <f t="shared" si="69"/>
        <v>Mid (11-20%)</v>
      </c>
    </row>
    <row r="858" spans="1:19" x14ac:dyDescent="0.3">
      <c r="A858" s="3" t="s">
        <v>938</v>
      </c>
      <c r="B858" s="2">
        <v>45748</v>
      </c>
      <c r="C858" s="3" t="s">
        <v>66</v>
      </c>
      <c r="D858" s="3" t="s">
        <v>89</v>
      </c>
      <c r="E858" s="3" t="s">
        <v>90</v>
      </c>
      <c r="F858" s="3" t="s">
        <v>18</v>
      </c>
      <c r="G858" s="3" t="s">
        <v>94</v>
      </c>
      <c r="H858" s="3" t="s">
        <v>95</v>
      </c>
      <c r="I858" s="5">
        <v>8941.41</v>
      </c>
      <c r="J858" s="4">
        <v>9</v>
      </c>
      <c r="K858" s="1">
        <v>30</v>
      </c>
      <c r="L858" s="4">
        <v>694.19</v>
      </c>
      <c r="M858" s="3" t="s">
        <v>21</v>
      </c>
      <c r="N858" s="3" t="s">
        <v>22</v>
      </c>
      <c r="O858" s="2" t="str">
        <f t="shared" si="65"/>
        <v>04-2025</v>
      </c>
      <c r="P858" t="str">
        <f t="shared" si="66"/>
        <v>2025</v>
      </c>
      <c r="Q858" s="6">
        <f t="shared" si="67"/>
        <v>7.7637643279974869E-2</v>
      </c>
      <c r="R858" t="str">
        <f t="shared" si="68"/>
        <v>Profit</v>
      </c>
      <c r="S858" t="str">
        <f t="shared" si="69"/>
        <v>High (&gt;20%)</v>
      </c>
    </row>
    <row r="859" spans="1:19" x14ac:dyDescent="0.3">
      <c r="A859" s="3" t="s">
        <v>939</v>
      </c>
      <c r="B859" s="2">
        <v>45521</v>
      </c>
      <c r="C859" s="3" t="s">
        <v>70</v>
      </c>
      <c r="D859" s="3" t="s">
        <v>16</v>
      </c>
      <c r="E859" s="3" t="s">
        <v>17</v>
      </c>
      <c r="F859" s="3" t="s">
        <v>32</v>
      </c>
      <c r="G859" s="3" t="s">
        <v>58</v>
      </c>
      <c r="H859" s="3" t="s">
        <v>59</v>
      </c>
      <c r="I859" s="5">
        <v>515.98</v>
      </c>
      <c r="J859" s="4">
        <v>1</v>
      </c>
      <c r="K859" s="1">
        <v>13</v>
      </c>
      <c r="L859" s="4">
        <v>47.68</v>
      </c>
      <c r="M859" s="3" t="s">
        <v>28</v>
      </c>
      <c r="N859" s="3" t="s">
        <v>35</v>
      </c>
      <c r="O859" s="2" t="str">
        <f t="shared" si="65"/>
        <v>08-2024</v>
      </c>
      <c r="P859" t="str">
        <f t="shared" si="66"/>
        <v>2024</v>
      </c>
      <c r="Q859" s="6">
        <f t="shared" si="67"/>
        <v>9.2406682429551523E-2</v>
      </c>
      <c r="R859" t="str">
        <f t="shared" si="68"/>
        <v>Profit</v>
      </c>
      <c r="S859" t="str">
        <f t="shared" si="69"/>
        <v>Mid (11-20%)</v>
      </c>
    </row>
    <row r="860" spans="1:19" x14ac:dyDescent="0.3">
      <c r="A860" s="3" t="s">
        <v>940</v>
      </c>
      <c r="B860" s="2">
        <v>45445</v>
      </c>
      <c r="C860" s="3" t="s">
        <v>133</v>
      </c>
      <c r="D860" s="3" t="s">
        <v>56</v>
      </c>
      <c r="E860" s="3" t="s">
        <v>108</v>
      </c>
      <c r="F860" s="3" t="s">
        <v>18</v>
      </c>
      <c r="G860" s="3" t="s">
        <v>19</v>
      </c>
      <c r="H860" s="3" t="s">
        <v>20</v>
      </c>
      <c r="I860" s="5">
        <v>2846.58</v>
      </c>
      <c r="J860" s="4">
        <v>2</v>
      </c>
      <c r="K860" s="1">
        <v>22</v>
      </c>
      <c r="L860" s="4">
        <v>549.17999999999995</v>
      </c>
      <c r="M860" s="3" t="s">
        <v>21</v>
      </c>
      <c r="N860" s="3" t="s">
        <v>22</v>
      </c>
      <c r="O860" s="2" t="str">
        <f t="shared" si="65"/>
        <v>06-2024</v>
      </c>
      <c r="P860" t="str">
        <f t="shared" si="66"/>
        <v>2024</v>
      </c>
      <c r="Q860" s="6">
        <f t="shared" si="67"/>
        <v>0.19292624834011338</v>
      </c>
      <c r="R860" t="str">
        <f t="shared" si="68"/>
        <v>Profit</v>
      </c>
      <c r="S860" t="str">
        <f t="shared" si="69"/>
        <v>High (&gt;20%)</v>
      </c>
    </row>
    <row r="861" spans="1:19" x14ac:dyDescent="0.3">
      <c r="A861" s="3" t="s">
        <v>941</v>
      </c>
      <c r="B861" s="2">
        <v>45654</v>
      </c>
      <c r="C861" s="3" t="s">
        <v>73</v>
      </c>
      <c r="D861" s="3" t="s">
        <v>56</v>
      </c>
      <c r="E861" s="3" t="s">
        <v>108</v>
      </c>
      <c r="F861" s="3" t="s">
        <v>32</v>
      </c>
      <c r="G861" s="3" t="s">
        <v>33</v>
      </c>
      <c r="H861" s="3" t="s">
        <v>34</v>
      </c>
      <c r="I861" s="5">
        <v>9961.1200000000008</v>
      </c>
      <c r="J861" s="4">
        <v>8</v>
      </c>
      <c r="K861" s="1">
        <v>24</v>
      </c>
      <c r="L861" s="4">
        <v>1052.79</v>
      </c>
      <c r="M861" s="3" t="s">
        <v>21</v>
      </c>
      <c r="N861" s="3" t="s">
        <v>35</v>
      </c>
      <c r="O861" s="2" t="str">
        <f t="shared" si="65"/>
        <v>12-2024</v>
      </c>
      <c r="P861" t="str">
        <f t="shared" si="66"/>
        <v>2024</v>
      </c>
      <c r="Q861" s="6">
        <f t="shared" si="67"/>
        <v>0.10568992241836259</v>
      </c>
      <c r="R861" t="str">
        <f t="shared" si="68"/>
        <v>Profit</v>
      </c>
      <c r="S861" t="str">
        <f t="shared" si="69"/>
        <v>High (&gt;20%)</v>
      </c>
    </row>
    <row r="862" spans="1:19" x14ac:dyDescent="0.3">
      <c r="A862" s="3" t="s">
        <v>942</v>
      </c>
      <c r="B862" s="2">
        <v>45427</v>
      </c>
      <c r="C862" s="3" t="s">
        <v>101</v>
      </c>
      <c r="D862" s="3" t="s">
        <v>16</v>
      </c>
      <c r="E862" s="3" t="s">
        <v>31</v>
      </c>
      <c r="F862" s="3" t="s">
        <v>18</v>
      </c>
      <c r="G862" s="3" t="s">
        <v>76</v>
      </c>
      <c r="H862" s="3" t="s">
        <v>77</v>
      </c>
      <c r="I862" s="5">
        <v>548.46</v>
      </c>
      <c r="J862" s="4">
        <v>1</v>
      </c>
      <c r="K862" s="1">
        <v>24</v>
      </c>
      <c r="L862" s="4">
        <v>22.49</v>
      </c>
      <c r="M862" s="3" t="s">
        <v>21</v>
      </c>
      <c r="N862" s="3" t="s">
        <v>40</v>
      </c>
      <c r="O862" s="2" t="str">
        <f t="shared" si="65"/>
        <v>05-2024</v>
      </c>
      <c r="P862" t="str">
        <f t="shared" si="66"/>
        <v>2024</v>
      </c>
      <c r="Q862" s="6">
        <f t="shared" si="67"/>
        <v>4.100572512124858E-2</v>
      </c>
      <c r="R862" t="str">
        <f t="shared" si="68"/>
        <v>Profit</v>
      </c>
      <c r="S862" t="str">
        <f t="shared" si="69"/>
        <v>High (&gt;20%)</v>
      </c>
    </row>
    <row r="863" spans="1:19" x14ac:dyDescent="0.3">
      <c r="A863" s="3" t="s">
        <v>943</v>
      </c>
      <c r="B863" s="2">
        <v>45776</v>
      </c>
      <c r="C863" s="3" t="s">
        <v>42</v>
      </c>
      <c r="D863" s="3" t="s">
        <v>56</v>
      </c>
      <c r="E863" s="3" t="s">
        <v>61</v>
      </c>
      <c r="F863" s="3" t="s">
        <v>18</v>
      </c>
      <c r="G863" s="3" t="s">
        <v>94</v>
      </c>
      <c r="H863" s="3" t="s">
        <v>95</v>
      </c>
      <c r="I863" s="5">
        <v>1897.2</v>
      </c>
      <c r="J863" s="4">
        <v>10</v>
      </c>
      <c r="K863" s="1">
        <v>11</v>
      </c>
      <c r="L863" s="4">
        <v>341</v>
      </c>
      <c r="M863" s="3" t="s">
        <v>28</v>
      </c>
      <c r="N863" s="3" t="s">
        <v>35</v>
      </c>
      <c r="O863" s="2" t="str">
        <f t="shared" si="65"/>
        <v>04-2025</v>
      </c>
      <c r="P863" t="str">
        <f t="shared" si="66"/>
        <v>2025</v>
      </c>
      <c r="Q863" s="6">
        <f t="shared" si="67"/>
        <v>0.17973856209150327</v>
      </c>
      <c r="R863" t="str">
        <f t="shared" si="68"/>
        <v>Profit</v>
      </c>
      <c r="S863" t="str">
        <f t="shared" si="69"/>
        <v>Mid (11-20%)</v>
      </c>
    </row>
    <row r="864" spans="1:19" x14ac:dyDescent="0.3">
      <c r="A864" s="3" t="s">
        <v>944</v>
      </c>
      <c r="B864" s="2">
        <v>45471</v>
      </c>
      <c r="C864" s="3" t="s">
        <v>73</v>
      </c>
      <c r="D864" s="3" t="s">
        <v>89</v>
      </c>
      <c r="E864" s="3" t="s">
        <v>102</v>
      </c>
      <c r="F864" s="3" t="s">
        <v>32</v>
      </c>
      <c r="G864" s="3" t="s">
        <v>47</v>
      </c>
      <c r="H864" s="3" t="s">
        <v>48</v>
      </c>
      <c r="I864" s="5">
        <v>1264.75</v>
      </c>
      <c r="J864" s="4">
        <v>5</v>
      </c>
      <c r="K864" s="1">
        <v>10</v>
      </c>
      <c r="L864" s="4">
        <v>235.03</v>
      </c>
      <c r="M864" s="3" t="s">
        <v>28</v>
      </c>
      <c r="N864" s="3" t="s">
        <v>35</v>
      </c>
      <c r="O864" s="2" t="str">
        <f t="shared" si="65"/>
        <v>06-2024</v>
      </c>
      <c r="P864" t="str">
        <f t="shared" si="66"/>
        <v>2024</v>
      </c>
      <c r="Q864" s="6">
        <f t="shared" si="67"/>
        <v>0.18583119193516506</v>
      </c>
      <c r="R864" t="str">
        <f t="shared" si="68"/>
        <v>Profit</v>
      </c>
      <c r="S864" t="str">
        <f t="shared" si="69"/>
        <v>Low (1-10%)</v>
      </c>
    </row>
    <row r="865" spans="1:19" x14ac:dyDescent="0.3">
      <c r="A865" s="3" t="s">
        <v>945</v>
      </c>
      <c r="B865" s="2">
        <v>45670</v>
      </c>
      <c r="C865" s="3" t="s">
        <v>86</v>
      </c>
      <c r="D865" s="3" t="s">
        <v>38</v>
      </c>
      <c r="E865" s="3" t="s">
        <v>43</v>
      </c>
      <c r="F865" s="3" t="s">
        <v>62</v>
      </c>
      <c r="G865" s="3" t="s">
        <v>103</v>
      </c>
      <c r="H865" s="3" t="s">
        <v>104</v>
      </c>
      <c r="I865" s="5">
        <v>1582.74</v>
      </c>
      <c r="J865" s="4">
        <v>1</v>
      </c>
      <c r="K865" s="1">
        <v>27</v>
      </c>
      <c r="L865" s="4">
        <v>145.09</v>
      </c>
      <c r="M865" s="3" t="s">
        <v>28</v>
      </c>
      <c r="N865" s="3" t="s">
        <v>22</v>
      </c>
      <c r="O865" s="2" t="str">
        <f t="shared" si="65"/>
        <v>01-2025</v>
      </c>
      <c r="P865" t="str">
        <f t="shared" si="66"/>
        <v>2025</v>
      </c>
      <c r="Q865" s="6">
        <f t="shared" si="67"/>
        <v>9.1670141653082626E-2</v>
      </c>
      <c r="R865" t="str">
        <f t="shared" si="68"/>
        <v>Profit</v>
      </c>
      <c r="S865" t="str">
        <f t="shared" si="69"/>
        <v>High (&gt;20%)</v>
      </c>
    </row>
    <row r="866" spans="1:19" x14ac:dyDescent="0.3">
      <c r="A866" s="3" t="s">
        <v>946</v>
      </c>
      <c r="B866" s="2">
        <v>45575</v>
      </c>
      <c r="C866" s="3" t="s">
        <v>15</v>
      </c>
      <c r="D866" s="3" t="s">
        <v>56</v>
      </c>
      <c r="E866" s="3" t="s">
        <v>57</v>
      </c>
      <c r="F866" s="3" t="s">
        <v>32</v>
      </c>
      <c r="G866" s="3" t="s">
        <v>33</v>
      </c>
      <c r="H866" s="3" t="s">
        <v>34</v>
      </c>
      <c r="I866" s="5">
        <v>5842.92</v>
      </c>
      <c r="J866" s="4">
        <v>4</v>
      </c>
      <c r="K866" s="1">
        <v>15</v>
      </c>
      <c r="L866" s="4">
        <v>1196.26</v>
      </c>
      <c r="M866" s="3" t="s">
        <v>28</v>
      </c>
      <c r="N866" s="3" t="s">
        <v>44</v>
      </c>
      <c r="O866" s="2" t="str">
        <f t="shared" si="65"/>
        <v>10-2024</v>
      </c>
      <c r="P866" t="str">
        <f t="shared" si="66"/>
        <v>2024</v>
      </c>
      <c r="Q866" s="6">
        <f t="shared" si="67"/>
        <v>0.20473667275951066</v>
      </c>
      <c r="R866" t="str">
        <f t="shared" si="68"/>
        <v>Profit</v>
      </c>
      <c r="S866" t="str">
        <f t="shared" si="69"/>
        <v>Mid (11-20%)</v>
      </c>
    </row>
    <row r="867" spans="1:19" x14ac:dyDescent="0.3">
      <c r="A867" s="3" t="s">
        <v>947</v>
      </c>
      <c r="B867" s="2">
        <v>45467</v>
      </c>
      <c r="C867" s="3" t="s">
        <v>24</v>
      </c>
      <c r="D867" s="3" t="s">
        <v>38</v>
      </c>
      <c r="E867" s="3" t="s">
        <v>53</v>
      </c>
      <c r="F867" s="3" t="s">
        <v>32</v>
      </c>
      <c r="G867" s="3" t="s">
        <v>58</v>
      </c>
      <c r="H867" s="3" t="s">
        <v>59</v>
      </c>
      <c r="I867" s="5">
        <v>3775.83</v>
      </c>
      <c r="J867" s="4">
        <v>3</v>
      </c>
      <c r="K867" s="1">
        <v>28</v>
      </c>
      <c r="L867" s="4">
        <v>645.46</v>
      </c>
      <c r="M867" s="3" t="s">
        <v>28</v>
      </c>
      <c r="N867" s="3" t="s">
        <v>35</v>
      </c>
      <c r="O867" s="2" t="str">
        <f t="shared" si="65"/>
        <v>06-2024</v>
      </c>
      <c r="P867" t="str">
        <f t="shared" si="66"/>
        <v>2024</v>
      </c>
      <c r="Q867" s="6">
        <f t="shared" si="67"/>
        <v>0.17094519615554726</v>
      </c>
      <c r="R867" t="str">
        <f t="shared" si="68"/>
        <v>Profit</v>
      </c>
      <c r="S867" t="str">
        <f t="shared" si="69"/>
        <v>High (&gt;20%)</v>
      </c>
    </row>
    <row r="868" spans="1:19" x14ac:dyDescent="0.3">
      <c r="A868" s="3" t="s">
        <v>948</v>
      </c>
      <c r="B868" s="2">
        <v>45508</v>
      </c>
      <c r="C868" s="3" t="s">
        <v>133</v>
      </c>
      <c r="D868" s="3" t="s">
        <v>89</v>
      </c>
      <c r="E868" s="3" t="s">
        <v>97</v>
      </c>
      <c r="F868" s="3" t="s">
        <v>18</v>
      </c>
      <c r="G868" s="3" t="s">
        <v>26</v>
      </c>
      <c r="H868" s="3" t="s">
        <v>27</v>
      </c>
      <c r="I868" s="5">
        <v>15228</v>
      </c>
      <c r="J868" s="4">
        <v>9</v>
      </c>
      <c r="K868" s="1">
        <v>17</v>
      </c>
      <c r="L868" s="4">
        <v>2050.6799999999998</v>
      </c>
      <c r="M868" s="3" t="s">
        <v>28</v>
      </c>
      <c r="N868" s="3" t="s">
        <v>44</v>
      </c>
      <c r="O868" s="2" t="str">
        <f t="shared" si="65"/>
        <v>08-2024</v>
      </c>
      <c r="P868" t="str">
        <f t="shared" si="66"/>
        <v>2024</v>
      </c>
      <c r="Q868" s="6">
        <f t="shared" si="67"/>
        <v>0.13466509062253743</v>
      </c>
      <c r="R868" t="str">
        <f t="shared" si="68"/>
        <v>Profit</v>
      </c>
      <c r="S868" t="str">
        <f t="shared" si="69"/>
        <v>Mid (11-20%)</v>
      </c>
    </row>
    <row r="869" spans="1:19" x14ac:dyDescent="0.3">
      <c r="A869" s="3" t="s">
        <v>949</v>
      </c>
      <c r="B869" s="2">
        <v>45503</v>
      </c>
      <c r="C869" s="3" t="s">
        <v>99</v>
      </c>
      <c r="D869" s="3" t="s">
        <v>56</v>
      </c>
      <c r="E869" s="3" t="s">
        <v>108</v>
      </c>
      <c r="F869" s="3" t="s">
        <v>18</v>
      </c>
      <c r="G869" s="3" t="s">
        <v>94</v>
      </c>
      <c r="H869" s="3" t="s">
        <v>95</v>
      </c>
      <c r="I869" s="5">
        <v>11171.84</v>
      </c>
      <c r="J869" s="4">
        <v>8</v>
      </c>
      <c r="K869" s="1">
        <v>1</v>
      </c>
      <c r="L869" s="4">
        <v>2236.56</v>
      </c>
      <c r="M869" s="3" t="s">
        <v>21</v>
      </c>
      <c r="N869" s="3" t="s">
        <v>22</v>
      </c>
      <c r="O869" s="2" t="str">
        <f t="shared" si="65"/>
        <v>07-2024</v>
      </c>
      <c r="P869" t="str">
        <f t="shared" si="66"/>
        <v>2024</v>
      </c>
      <c r="Q869" s="6">
        <f t="shared" si="67"/>
        <v>0.20019620760769935</v>
      </c>
      <c r="R869" t="str">
        <f t="shared" si="68"/>
        <v>Profit</v>
      </c>
      <c r="S869" t="str">
        <f t="shared" si="69"/>
        <v>Low (1-10%)</v>
      </c>
    </row>
    <row r="870" spans="1:19" x14ac:dyDescent="0.3">
      <c r="A870" s="3" t="s">
        <v>950</v>
      </c>
      <c r="B870" s="2">
        <v>45428</v>
      </c>
      <c r="C870" s="3" t="s">
        <v>37</v>
      </c>
      <c r="D870" s="3" t="s">
        <v>38</v>
      </c>
      <c r="E870" s="3" t="s">
        <v>53</v>
      </c>
      <c r="F870" s="3" t="s">
        <v>32</v>
      </c>
      <c r="G870" s="3" t="s">
        <v>58</v>
      </c>
      <c r="H870" s="3" t="s">
        <v>59</v>
      </c>
      <c r="I870" s="5">
        <v>10296.24</v>
      </c>
      <c r="J870" s="4">
        <v>6</v>
      </c>
      <c r="K870" s="1">
        <v>28</v>
      </c>
      <c r="L870" s="4">
        <v>1243.8499999999999</v>
      </c>
      <c r="M870" s="3" t="s">
        <v>51</v>
      </c>
      <c r="N870" s="3" t="s">
        <v>22</v>
      </c>
      <c r="O870" s="2" t="str">
        <f t="shared" si="65"/>
        <v>05-2024</v>
      </c>
      <c r="P870" t="str">
        <f t="shared" si="66"/>
        <v>2024</v>
      </c>
      <c r="Q870" s="6">
        <f t="shared" si="67"/>
        <v>0.12080623606287343</v>
      </c>
      <c r="R870" t="str">
        <f t="shared" si="68"/>
        <v>Profit</v>
      </c>
      <c r="S870" t="str">
        <f t="shared" si="69"/>
        <v>High (&gt;20%)</v>
      </c>
    </row>
    <row r="871" spans="1:19" x14ac:dyDescent="0.3">
      <c r="A871" s="3" t="s">
        <v>951</v>
      </c>
      <c r="B871" s="2">
        <v>45444</v>
      </c>
      <c r="C871" s="3" t="s">
        <v>15</v>
      </c>
      <c r="D871" s="3" t="s">
        <v>38</v>
      </c>
      <c r="E871" s="3" t="s">
        <v>39</v>
      </c>
      <c r="F871" s="3" t="s">
        <v>32</v>
      </c>
      <c r="G871" s="3" t="s">
        <v>33</v>
      </c>
      <c r="H871" s="3" t="s">
        <v>34</v>
      </c>
      <c r="I871" s="5">
        <v>6321.07</v>
      </c>
      <c r="J871" s="4">
        <v>7</v>
      </c>
      <c r="K871" s="1">
        <v>11</v>
      </c>
      <c r="L871" s="4">
        <v>556.62</v>
      </c>
      <c r="M871" s="3" t="s">
        <v>21</v>
      </c>
      <c r="N871" s="3" t="s">
        <v>35</v>
      </c>
      <c r="O871" s="2" t="str">
        <f t="shared" si="65"/>
        <v>06-2024</v>
      </c>
      <c r="P871" t="str">
        <f t="shared" si="66"/>
        <v>2024</v>
      </c>
      <c r="Q871" s="6">
        <f t="shared" si="67"/>
        <v>8.8057876277275848E-2</v>
      </c>
      <c r="R871" t="str">
        <f t="shared" si="68"/>
        <v>Profit</v>
      </c>
      <c r="S871" t="str">
        <f t="shared" si="69"/>
        <v>Mid (11-20%)</v>
      </c>
    </row>
    <row r="872" spans="1:19" x14ac:dyDescent="0.3">
      <c r="A872" s="3" t="s">
        <v>952</v>
      </c>
      <c r="B872" s="2">
        <v>45501</v>
      </c>
      <c r="C872" s="3" t="s">
        <v>73</v>
      </c>
      <c r="D872" s="3" t="s">
        <v>16</v>
      </c>
      <c r="E872" s="3" t="s">
        <v>25</v>
      </c>
      <c r="F872" s="3" t="s">
        <v>32</v>
      </c>
      <c r="G872" s="3" t="s">
        <v>47</v>
      </c>
      <c r="H872" s="3" t="s">
        <v>48</v>
      </c>
      <c r="I872" s="5">
        <v>7489.3</v>
      </c>
      <c r="J872" s="4">
        <v>10</v>
      </c>
      <c r="K872" s="1">
        <v>8</v>
      </c>
      <c r="L872" s="4">
        <v>1147.53</v>
      </c>
      <c r="M872" s="3" t="s">
        <v>51</v>
      </c>
      <c r="N872" s="3" t="s">
        <v>35</v>
      </c>
      <c r="O872" s="2" t="str">
        <f t="shared" si="65"/>
        <v>07-2024</v>
      </c>
      <c r="P872" t="str">
        <f t="shared" si="66"/>
        <v>2024</v>
      </c>
      <c r="Q872" s="6">
        <f t="shared" si="67"/>
        <v>0.15322259757253681</v>
      </c>
      <c r="R872" t="str">
        <f t="shared" si="68"/>
        <v>Profit</v>
      </c>
      <c r="S872" t="str">
        <f t="shared" si="69"/>
        <v>Low (1-10%)</v>
      </c>
    </row>
    <row r="873" spans="1:19" x14ac:dyDescent="0.3">
      <c r="A873" s="3" t="s">
        <v>953</v>
      </c>
      <c r="B873" s="2">
        <v>45726</v>
      </c>
      <c r="C873" s="3" t="s">
        <v>86</v>
      </c>
      <c r="D873" s="3" t="s">
        <v>38</v>
      </c>
      <c r="E873" s="3" t="s">
        <v>39</v>
      </c>
      <c r="F873" s="3" t="s">
        <v>32</v>
      </c>
      <c r="G873" s="3" t="s">
        <v>47</v>
      </c>
      <c r="H873" s="3" t="s">
        <v>48</v>
      </c>
      <c r="I873" s="5">
        <v>2180.2800000000002</v>
      </c>
      <c r="J873" s="4">
        <v>4</v>
      </c>
      <c r="K873" s="1">
        <v>14</v>
      </c>
      <c r="L873" s="4">
        <v>208.99</v>
      </c>
      <c r="M873" s="3" t="s">
        <v>28</v>
      </c>
      <c r="N873" s="3" t="s">
        <v>44</v>
      </c>
      <c r="O873" s="2" t="str">
        <f t="shared" si="65"/>
        <v>03-2025</v>
      </c>
      <c r="P873" t="str">
        <f t="shared" si="66"/>
        <v>2025</v>
      </c>
      <c r="Q873" s="6">
        <f t="shared" si="67"/>
        <v>9.5854660869246142E-2</v>
      </c>
      <c r="R873" t="str">
        <f t="shared" si="68"/>
        <v>Profit</v>
      </c>
      <c r="S873" t="str">
        <f t="shared" si="69"/>
        <v>Mid (11-20%)</v>
      </c>
    </row>
    <row r="874" spans="1:19" x14ac:dyDescent="0.3">
      <c r="A874" s="3" t="s">
        <v>954</v>
      </c>
      <c r="B874" s="2">
        <v>45629</v>
      </c>
      <c r="C874" s="3" t="s">
        <v>75</v>
      </c>
      <c r="D874" s="3" t="s">
        <v>38</v>
      </c>
      <c r="E874" s="3" t="s">
        <v>71</v>
      </c>
      <c r="F874" s="3" t="s">
        <v>18</v>
      </c>
      <c r="G874" s="3" t="s">
        <v>19</v>
      </c>
      <c r="H874" s="3" t="s">
        <v>20</v>
      </c>
      <c r="I874" s="5">
        <v>3084.66</v>
      </c>
      <c r="J874" s="4">
        <v>9</v>
      </c>
      <c r="K874" s="1">
        <v>14</v>
      </c>
      <c r="L874" s="4">
        <v>645.59</v>
      </c>
      <c r="M874" s="3" t="s">
        <v>21</v>
      </c>
      <c r="N874" s="3" t="s">
        <v>22</v>
      </c>
      <c r="O874" s="2" t="str">
        <f t="shared" si="65"/>
        <v>12-2024</v>
      </c>
      <c r="P874" t="str">
        <f t="shared" si="66"/>
        <v>2024</v>
      </c>
      <c r="Q874" s="6">
        <f t="shared" si="67"/>
        <v>0.20929048906524547</v>
      </c>
      <c r="R874" t="str">
        <f t="shared" si="68"/>
        <v>Profit</v>
      </c>
      <c r="S874" t="str">
        <f t="shared" si="69"/>
        <v>Mid (11-20%)</v>
      </c>
    </row>
    <row r="875" spans="1:19" x14ac:dyDescent="0.3">
      <c r="A875" s="3" t="s">
        <v>955</v>
      </c>
      <c r="B875" s="2">
        <v>45431</v>
      </c>
      <c r="C875" s="3" t="s">
        <v>66</v>
      </c>
      <c r="D875" s="3" t="s">
        <v>38</v>
      </c>
      <c r="E875" s="3" t="s">
        <v>39</v>
      </c>
      <c r="F875" s="3" t="s">
        <v>62</v>
      </c>
      <c r="G875" s="3" t="s">
        <v>103</v>
      </c>
      <c r="H875" s="3" t="s">
        <v>104</v>
      </c>
      <c r="I875" s="5">
        <v>2533.16</v>
      </c>
      <c r="J875" s="4">
        <v>7</v>
      </c>
      <c r="K875" s="1">
        <v>22</v>
      </c>
      <c r="L875" s="4">
        <v>258.10000000000002</v>
      </c>
      <c r="M875" s="3" t="s">
        <v>21</v>
      </c>
      <c r="N875" s="3" t="s">
        <v>40</v>
      </c>
      <c r="O875" s="2" t="str">
        <f t="shared" si="65"/>
        <v>05-2024</v>
      </c>
      <c r="P875" t="str">
        <f t="shared" si="66"/>
        <v>2024</v>
      </c>
      <c r="Q875" s="6">
        <f t="shared" si="67"/>
        <v>0.10188855026922897</v>
      </c>
      <c r="R875" t="str">
        <f t="shared" si="68"/>
        <v>Profit</v>
      </c>
      <c r="S875" t="str">
        <f t="shared" si="69"/>
        <v>High (&gt;20%)</v>
      </c>
    </row>
    <row r="876" spans="1:19" x14ac:dyDescent="0.3">
      <c r="A876" s="3" t="s">
        <v>956</v>
      </c>
      <c r="B876" s="2">
        <v>45754</v>
      </c>
      <c r="C876" s="3" t="s">
        <v>86</v>
      </c>
      <c r="D876" s="3" t="s">
        <v>89</v>
      </c>
      <c r="E876" s="3" t="s">
        <v>90</v>
      </c>
      <c r="F876" s="3" t="s">
        <v>32</v>
      </c>
      <c r="G876" s="3" t="s">
        <v>58</v>
      </c>
      <c r="H876" s="3" t="s">
        <v>59</v>
      </c>
      <c r="I876" s="5">
        <v>14603.13</v>
      </c>
      <c r="J876" s="4">
        <v>9</v>
      </c>
      <c r="K876" s="1">
        <v>9</v>
      </c>
      <c r="L876" s="4">
        <v>1017.9</v>
      </c>
      <c r="M876" s="3" t="s">
        <v>21</v>
      </c>
      <c r="N876" s="3" t="s">
        <v>35</v>
      </c>
      <c r="O876" s="2" t="str">
        <f t="shared" si="65"/>
        <v>04-2025</v>
      </c>
      <c r="P876" t="str">
        <f t="shared" si="66"/>
        <v>2025</v>
      </c>
      <c r="Q876" s="6">
        <f t="shared" si="67"/>
        <v>6.9704234640107984E-2</v>
      </c>
      <c r="R876" t="str">
        <f t="shared" si="68"/>
        <v>Profit</v>
      </c>
      <c r="S876" t="str">
        <f t="shared" si="69"/>
        <v>Low (1-10%)</v>
      </c>
    </row>
    <row r="877" spans="1:19" x14ac:dyDescent="0.3">
      <c r="A877" s="3" t="s">
        <v>957</v>
      </c>
      <c r="B877" s="2">
        <v>45500</v>
      </c>
      <c r="C877" s="3" t="s">
        <v>101</v>
      </c>
      <c r="D877" s="3" t="s">
        <v>38</v>
      </c>
      <c r="E877" s="3" t="s">
        <v>39</v>
      </c>
      <c r="F877" s="3" t="s">
        <v>62</v>
      </c>
      <c r="G877" s="3" t="s">
        <v>67</v>
      </c>
      <c r="H877" s="3" t="s">
        <v>68</v>
      </c>
      <c r="I877" s="5">
        <v>6008.84</v>
      </c>
      <c r="J877" s="4">
        <v>4</v>
      </c>
      <c r="K877" s="1">
        <v>18</v>
      </c>
      <c r="L877" s="4">
        <v>666.36</v>
      </c>
      <c r="M877" s="3" t="s">
        <v>21</v>
      </c>
      <c r="N877" s="3" t="s">
        <v>22</v>
      </c>
      <c r="O877" s="2" t="str">
        <f t="shared" si="65"/>
        <v>07-2024</v>
      </c>
      <c r="P877" t="str">
        <f t="shared" si="66"/>
        <v>2024</v>
      </c>
      <c r="Q877" s="6">
        <f t="shared" si="67"/>
        <v>0.11089661232450855</v>
      </c>
      <c r="R877" t="str">
        <f t="shared" si="68"/>
        <v>Profit</v>
      </c>
      <c r="S877" t="str">
        <f t="shared" si="69"/>
        <v>Mid (11-20%)</v>
      </c>
    </row>
    <row r="878" spans="1:19" x14ac:dyDescent="0.3">
      <c r="A878" s="3" t="s">
        <v>958</v>
      </c>
      <c r="B878" s="2">
        <v>45655</v>
      </c>
      <c r="C878" s="3" t="s">
        <v>37</v>
      </c>
      <c r="D878" s="3" t="s">
        <v>38</v>
      </c>
      <c r="E878" s="3" t="s">
        <v>43</v>
      </c>
      <c r="F878" s="3" t="s">
        <v>32</v>
      </c>
      <c r="G878" s="3" t="s">
        <v>33</v>
      </c>
      <c r="H878" s="3" t="s">
        <v>34</v>
      </c>
      <c r="I878" s="5">
        <v>4860.45</v>
      </c>
      <c r="J878" s="4">
        <v>5</v>
      </c>
      <c r="K878" s="1">
        <v>2</v>
      </c>
      <c r="L878" s="4">
        <v>935.8</v>
      </c>
      <c r="M878" s="3" t="s">
        <v>51</v>
      </c>
      <c r="N878" s="3" t="s">
        <v>44</v>
      </c>
      <c r="O878" s="2" t="str">
        <f t="shared" si="65"/>
        <v>12-2024</v>
      </c>
      <c r="P878" t="str">
        <f t="shared" si="66"/>
        <v>2024</v>
      </c>
      <c r="Q878" s="6">
        <f t="shared" si="67"/>
        <v>0.192533613142816</v>
      </c>
      <c r="R878" t="str">
        <f t="shared" si="68"/>
        <v>Profit</v>
      </c>
      <c r="S878" t="str">
        <f t="shared" si="69"/>
        <v>Low (1-10%)</v>
      </c>
    </row>
    <row r="879" spans="1:19" x14ac:dyDescent="0.3">
      <c r="A879" s="3" t="s">
        <v>959</v>
      </c>
      <c r="B879" s="2">
        <v>45734</v>
      </c>
      <c r="C879" s="3" t="s">
        <v>50</v>
      </c>
      <c r="D879" s="3" t="s">
        <v>56</v>
      </c>
      <c r="E879" s="3" t="s">
        <v>108</v>
      </c>
      <c r="F879" s="3" t="s">
        <v>32</v>
      </c>
      <c r="G879" s="3" t="s">
        <v>112</v>
      </c>
      <c r="H879" s="3" t="s">
        <v>113</v>
      </c>
      <c r="I879" s="5">
        <v>9004.94</v>
      </c>
      <c r="J879" s="4">
        <v>7</v>
      </c>
      <c r="K879" s="1">
        <v>5</v>
      </c>
      <c r="L879" s="4">
        <v>1330.41</v>
      </c>
      <c r="M879" s="3" t="s">
        <v>21</v>
      </c>
      <c r="N879" s="3" t="s">
        <v>22</v>
      </c>
      <c r="O879" s="2" t="str">
        <f t="shared" si="65"/>
        <v>03-2025</v>
      </c>
      <c r="P879" t="str">
        <f t="shared" si="66"/>
        <v>2025</v>
      </c>
      <c r="Q879" s="6">
        <f t="shared" si="67"/>
        <v>0.14774223925978408</v>
      </c>
      <c r="R879" t="str">
        <f t="shared" si="68"/>
        <v>Profit</v>
      </c>
      <c r="S879" t="str">
        <f t="shared" si="69"/>
        <v>Low (1-10%)</v>
      </c>
    </row>
    <row r="880" spans="1:19" x14ac:dyDescent="0.3">
      <c r="A880" s="3" t="s">
        <v>960</v>
      </c>
      <c r="B880" s="2">
        <v>45759</v>
      </c>
      <c r="C880" s="3" t="s">
        <v>30</v>
      </c>
      <c r="D880" s="3" t="s">
        <v>89</v>
      </c>
      <c r="E880" s="3" t="s">
        <v>102</v>
      </c>
      <c r="F880" s="3" t="s">
        <v>62</v>
      </c>
      <c r="G880" s="3" t="s">
        <v>67</v>
      </c>
      <c r="H880" s="3" t="s">
        <v>68</v>
      </c>
      <c r="I880" s="5">
        <v>1773.02</v>
      </c>
      <c r="J880" s="4">
        <v>2</v>
      </c>
      <c r="K880" s="1">
        <v>28</v>
      </c>
      <c r="L880" s="4">
        <v>254.55</v>
      </c>
      <c r="M880" s="3" t="s">
        <v>21</v>
      </c>
      <c r="N880" s="3" t="s">
        <v>44</v>
      </c>
      <c r="O880" s="2" t="str">
        <f t="shared" si="65"/>
        <v>04-2025</v>
      </c>
      <c r="P880" t="str">
        <f t="shared" si="66"/>
        <v>2025</v>
      </c>
      <c r="Q880" s="6">
        <f t="shared" si="67"/>
        <v>0.14356860046699982</v>
      </c>
      <c r="R880" t="str">
        <f t="shared" si="68"/>
        <v>Profit</v>
      </c>
      <c r="S880" t="str">
        <f t="shared" si="69"/>
        <v>High (&gt;20%)</v>
      </c>
    </row>
    <row r="881" spans="1:19" x14ac:dyDescent="0.3">
      <c r="A881" s="3" t="s">
        <v>961</v>
      </c>
      <c r="B881" s="2">
        <v>45688</v>
      </c>
      <c r="C881" s="3" t="s">
        <v>70</v>
      </c>
      <c r="D881" s="3" t="s">
        <v>38</v>
      </c>
      <c r="E881" s="3" t="s">
        <v>71</v>
      </c>
      <c r="F881" s="3" t="s">
        <v>32</v>
      </c>
      <c r="G881" s="3" t="s">
        <v>47</v>
      </c>
      <c r="H881" s="3" t="s">
        <v>48</v>
      </c>
      <c r="I881" s="5">
        <v>4637.24</v>
      </c>
      <c r="J881" s="4">
        <v>4</v>
      </c>
      <c r="K881" s="1">
        <v>8</v>
      </c>
      <c r="L881" s="4">
        <v>555.17999999999995</v>
      </c>
      <c r="M881" s="3" t="s">
        <v>21</v>
      </c>
      <c r="N881" s="3" t="s">
        <v>35</v>
      </c>
      <c r="O881" s="2" t="str">
        <f t="shared" si="65"/>
        <v>01-2025</v>
      </c>
      <c r="P881" t="str">
        <f t="shared" si="66"/>
        <v>2025</v>
      </c>
      <c r="Q881" s="6">
        <f t="shared" si="67"/>
        <v>0.11972207606248544</v>
      </c>
      <c r="R881" t="str">
        <f t="shared" si="68"/>
        <v>Profit</v>
      </c>
      <c r="S881" t="str">
        <f t="shared" si="69"/>
        <v>Low (1-10%)</v>
      </c>
    </row>
    <row r="882" spans="1:19" x14ac:dyDescent="0.3">
      <c r="A882" s="3" t="s">
        <v>962</v>
      </c>
      <c r="B882" s="2">
        <v>45677</v>
      </c>
      <c r="C882" s="3" t="s">
        <v>75</v>
      </c>
      <c r="D882" s="3" t="s">
        <v>38</v>
      </c>
      <c r="E882" s="3" t="s">
        <v>71</v>
      </c>
      <c r="F882" s="3" t="s">
        <v>32</v>
      </c>
      <c r="G882" s="3" t="s">
        <v>33</v>
      </c>
      <c r="H882" s="3" t="s">
        <v>34</v>
      </c>
      <c r="I882" s="5">
        <v>3497.46</v>
      </c>
      <c r="J882" s="4">
        <v>6</v>
      </c>
      <c r="K882" s="1">
        <v>17</v>
      </c>
      <c r="L882" s="4">
        <v>520.75</v>
      </c>
      <c r="M882" s="3" t="s">
        <v>51</v>
      </c>
      <c r="N882" s="3" t="s">
        <v>44</v>
      </c>
      <c r="O882" s="2" t="str">
        <f t="shared" si="65"/>
        <v>01-2025</v>
      </c>
      <c r="P882" t="str">
        <f t="shared" si="66"/>
        <v>2025</v>
      </c>
      <c r="Q882" s="6">
        <f t="shared" si="67"/>
        <v>0.14889376862065612</v>
      </c>
      <c r="R882" t="str">
        <f t="shared" si="68"/>
        <v>Profit</v>
      </c>
      <c r="S882" t="str">
        <f t="shared" si="69"/>
        <v>Mid (11-20%)</v>
      </c>
    </row>
    <row r="883" spans="1:19" x14ac:dyDescent="0.3">
      <c r="A883" s="3" t="s">
        <v>963</v>
      </c>
      <c r="B883" s="2">
        <v>45641</v>
      </c>
      <c r="C883" s="3" t="s">
        <v>66</v>
      </c>
      <c r="D883" s="3" t="s">
        <v>56</v>
      </c>
      <c r="E883" s="3" t="s">
        <v>108</v>
      </c>
      <c r="F883" s="3" t="s">
        <v>18</v>
      </c>
      <c r="G883" s="3" t="s">
        <v>94</v>
      </c>
      <c r="H883" s="3" t="s">
        <v>95</v>
      </c>
      <c r="I883" s="5">
        <v>2838</v>
      </c>
      <c r="J883" s="4">
        <v>10</v>
      </c>
      <c r="K883" s="1">
        <v>6</v>
      </c>
      <c r="L883" s="4">
        <v>219.38</v>
      </c>
      <c r="M883" s="3" t="s">
        <v>21</v>
      </c>
      <c r="N883" s="3" t="s">
        <v>40</v>
      </c>
      <c r="O883" s="2" t="str">
        <f t="shared" si="65"/>
        <v>12-2024</v>
      </c>
      <c r="P883" t="str">
        <f t="shared" si="66"/>
        <v>2024</v>
      </c>
      <c r="Q883" s="6">
        <f t="shared" si="67"/>
        <v>7.7300916138125439E-2</v>
      </c>
      <c r="R883" t="str">
        <f t="shared" si="68"/>
        <v>Profit</v>
      </c>
      <c r="S883" t="str">
        <f t="shared" si="69"/>
        <v>Low (1-10%)</v>
      </c>
    </row>
    <row r="884" spans="1:19" x14ac:dyDescent="0.3">
      <c r="A884" s="3" t="s">
        <v>964</v>
      </c>
      <c r="B884" s="2">
        <v>45591</v>
      </c>
      <c r="C884" s="3" t="s">
        <v>73</v>
      </c>
      <c r="D884" s="3" t="s">
        <v>38</v>
      </c>
      <c r="E884" s="3" t="s">
        <v>43</v>
      </c>
      <c r="F884" s="3" t="s">
        <v>18</v>
      </c>
      <c r="G884" s="3" t="s">
        <v>19</v>
      </c>
      <c r="H884" s="3" t="s">
        <v>20</v>
      </c>
      <c r="I884" s="5">
        <v>7165.65</v>
      </c>
      <c r="J884" s="4">
        <v>5</v>
      </c>
      <c r="K884" s="1">
        <v>29</v>
      </c>
      <c r="L884" s="4">
        <v>903.11</v>
      </c>
      <c r="M884" s="3" t="s">
        <v>51</v>
      </c>
      <c r="N884" s="3" t="s">
        <v>44</v>
      </c>
      <c r="O884" s="2" t="str">
        <f t="shared" si="65"/>
        <v>10-2024</v>
      </c>
      <c r="P884" t="str">
        <f t="shared" si="66"/>
        <v>2024</v>
      </c>
      <c r="Q884" s="6">
        <f t="shared" si="67"/>
        <v>0.12603322796954919</v>
      </c>
      <c r="R884" t="str">
        <f t="shared" si="68"/>
        <v>Profit</v>
      </c>
      <c r="S884" t="str">
        <f t="shared" si="69"/>
        <v>High (&gt;20%)</v>
      </c>
    </row>
    <row r="885" spans="1:19" x14ac:dyDescent="0.3">
      <c r="A885" s="3" t="s">
        <v>965</v>
      </c>
      <c r="B885" s="2">
        <v>45510</v>
      </c>
      <c r="C885" s="3" t="s">
        <v>30</v>
      </c>
      <c r="D885" s="3" t="s">
        <v>56</v>
      </c>
      <c r="E885" s="3" t="s">
        <v>61</v>
      </c>
      <c r="F885" s="3" t="s">
        <v>62</v>
      </c>
      <c r="G885" s="3" t="s">
        <v>80</v>
      </c>
      <c r="H885" s="3" t="s">
        <v>81</v>
      </c>
      <c r="I885" s="5">
        <v>15267.52</v>
      </c>
      <c r="J885" s="4">
        <v>8</v>
      </c>
      <c r="K885" s="1">
        <v>5</v>
      </c>
      <c r="L885" s="4">
        <v>1279.6099999999999</v>
      </c>
      <c r="M885" s="3" t="s">
        <v>51</v>
      </c>
      <c r="N885" s="3" t="s">
        <v>40</v>
      </c>
      <c r="O885" s="2" t="str">
        <f t="shared" si="65"/>
        <v>08-2024</v>
      </c>
      <c r="P885" t="str">
        <f t="shared" si="66"/>
        <v>2024</v>
      </c>
      <c r="Q885" s="6">
        <f t="shared" si="67"/>
        <v>8.3812564188551902E-2</v>
      </c>
      <c r="R885" t="str">
        <f t="shared" si="68"/>
        <v>Profit</v>
      </c>
      <c r="S885" t="str">
        <f t="shared" si="69"/>
        <v>Low (1-10%)</v>
      </c>
    </row>
    <row r="886" spans="1:19" x14ac:dyDescent="0.3">
      <c r="A886" s="3" t="s">
        <v>966</v>
      </c>
      <c r="B886" s="2">
        <v>45485</v>
      </c>
      <c r="C886" s="3" t="s">
        <v>30</v>
      </c>
      <c r="D886" s="3" t="s">
        <v>16</v>
      </c>
      <c r="E886" s="3" t="s">
        <v>25</v>
      </c>
      <c r="F886" s="3" t="s">
        <v>18</v>
      </c>
      <c r="G886" s="3" t="s">
        <v>19</v>
      </c>
      <c r="H886" s="3" t="s">
        <v>20</v>
      </c>
      <c r="I886" s="5">
        <v>1977.18</v>
      </c>
      <c r="J886" s="4">
        <v>2</v>
      </c>
      <c r="K886" s="1">
        <v>16</v>
      </c>
      <c r="L886" s="4">
        <v>93.63</v>
      </c>
      <c r="M886" s="3" t="s">
        <v>51</v>
      </c>
      <c r="N886" s="3" t="s">
        <v>44</v>
      </c>
      <c r="O886" s="2" t="str">
        <f t="shared" si="65"/>
        <v>07-2024</v>
      </c>
      <c r="P886" t="str">
        <f t="shared" si="66"/>
        <v>2024</v>
      </c>
      <c r="Q886" s="6">
        <f t="shared" si="67"/>
        <v>4.7355324249688947E-2</v>
      </c>
      <c r="R886" t="str">
        <f t="shared" si="68"/>
        <v>Profit</v>
      </c>
      <c r="S886" t="str">
        <f t="shared" si="69"/>
        <v>Mid (11-20%)</v>
      </c>
    </row>
    <row r="887" spans="1:19" x14ac:dyDescent="0.3">
      <c r="A887" s="3" t="s">
        <v>967</v>
      </c>
      <c r="B887" s="2">
        <v>45778</v>
      </c>
      <c r="C887" s="3" t="s">
        <v>101</v>
      </c>
      <c r="D887" s="3" t="s">
        <v>16</v>
      </c>
      <c r="E887" s="3" t="s">
        <v>25</v>
      </c>
      <c r="F887" s="3" t="s">
        <v>62</v>
      </c>
      <c r="G887" s="3" t="s">
        <v>63</v>
      </c>
      <c r="H887" s="3" t="s">
        <v>64</v>
      </c>
      <c r="I887" s="5">
        <v>6201.7</v>
      </c>
      <c r="J887" s="4">
        <v>5</v>
      </c>
      <c r="K887" s="1">
        <v>15</v>
      </c>
      <c r="L887" s="4">
        <v>1298.6199999999999</v>
      </c>
      <c r="M887" s="3" t="s">
        <v>21</v>
      </c>
      <c r="N887" s="3" t="s">
        <v>40</v>
      </c>
      <c r="O887" s="2" t="str">
        <f t="shared" si="65"/>
        <v>05-2025</v>
      </c>
      <c r="P887" t="str">
        <f t="shared" si="66"/>
        <v>2025</v>
      </c>
      <c r="Q887" s="6">
        <f t="shared" si="67"/>
        <v>0.20939742328716318</v>
      </c>
      <c r="R887" t="str">
        <f t="shared" si="68"/>
        <v>Profit</v>
      </c>
      <c r="S887" t="str">
        <f t="shared" si="69"/>
        <v>Mid (11-20%)</v>
      </c>
    </row>
    <row r="888" spans="1:19" x14ac:dyDescent="0.3">
      <c r="A888" s="3" t="s">
        <v>968</v>
      </c>
      <c r="B888" s="2">
        <v>45433</v>
      </c>
      <c r="C888" s="3" t="s">
        <v>37</v>
      </c>
      <c r="D888" s="3" t="s">
        <v>89</v>
      </c>
      <c r="E888" s="3" t="s">
        <v>90</v>
      </c>
      <c r="F888" s="3" t="s">
        <v>62</v>
      </c>
      <c r="G888" s="3" t="s">
        <v>63</v>
      </c>
      <c r="H888" s="3" t="s">
        <v>64</v>
      </c>
      <c r="I888" s="5">
        <v>3568.92</v>
      </c>
      <c r="J888" s="4">
        <v>6</v>
      </c>
      <c r="K888" s="1">
        <v>19</v>
      </c>
      <c r="L888" s="4">
        <v>234.81</v>
      </c>
      <c r="M888" s="3" t="s">
        <v>51</v>
      </c>
      <c r="N888" s="3" t="s">
        <v>35</v>
      </c>
      <c r="O888" s="2" t="str">
        <f t="shared" si="65"/>
        <v>05-2024</v>
      </c>
      <c r="P888" t="str">
        <f t="shared" si="66"/>
        <v>2024</v>
      </c>
      <c r="Q888" s="6">
        <f t="shared" si="67"/>
        <v>6.5793013012339863E-2</v>
      </c>
      <c r="R888" t="str">
        <f t="shared" si="68"/>
        <v>Profit</v>
      </c>
      <c r="S888" t="str">
        <f t="shared" si="69"/>
        <v>Mid (11-20%)</v>
      </c>
    </row>
    <row r="889" spans="1:19" x14ac:dyDescent="0.3">
      <c r="A889" s="3" t="s">
        <v>969</v>
      </c>
      <c r="B889" s="2">
        <v>45469</v>
      </c>
      <c r="C889" s="3" t="s">
        <v>101</v>
      </c>
      <c r="D889" s="3" t="s">
        <v>56</v>
      </c>
      <c r="E889" s="3" t="s">
        <v>61</v>
      </c>
      <c r="F889" s="3" t="s">
        <v>32</v>
      </c>
      <c r="G889" s="3" t="s">
        <v>47</v>
      </c>
      <c r="H889" s="3" t="s">
        <v>48</v>
      </c>
      <c r="I889" s="5">
        <v>6698.4</v>
      </c>
      <c r="J889" s="4">
        <v>10</v>
      </c>
      <c r="K889" s="1">
        <v>22</v>
      </c>
      <c r="L889" s="4">
        <v>1088.74</v>
      </c>
      <c r="M889" s="3" t="s">
        <v>21</v>
      </c>
      <c r="N889" s="3" t="s">
        <v>22</v>
      </c>
      <c r="O889" s="2" t="str">
        <f t="shared" si="65"/>
        <v>06-2024</v>
      </c>
      <c r="P889" t="str">
        <f t="shared" si="66"/>
        <v>2024</v>
      </c>
      <c r="Q889" s="6">
        <f t="shared" si="67"/>
        <v>0.16253732234563478</v>
      </c>
      <c r="R889" t="str">
        <f t="shared" si="68"/>
        <v>Profit</v>
      </c>
      <c r="S889" t="str">
        <f t="shared" si="69"/>
        <v>High (&gt;20%)</v>
      </c>
    </row>
    <row r="890" spans="1:19" x14ac:dyDescent="0.3">
      <c r="A890" s="3" t="s">
        <v>970</v>
      </c>
      <c r="B890" s="2">
        <v>45563</v>
      </c>
      <c r="C890" s="3" t="s">
        <v>73</v>
      </c>
      <c r="D890" s="3" t="s">
        <v>56</v>
      </c>
      <c r="E890" s="3" t="s">
        <v>57</v>
      </c>
      <c r="F890" s="3" t="s">
        <v>32</v>
      </c>
      <c r="G890" s="3" t="s">
        <v>47</v>
      </c>
      <c r="H890" s="3" t="s">
        <v>48</v>
      </c>
      <c r="I890" s="5">
        <v>8369.76</v>
      </c>
      <c r="J890" s="4">
        <v>6</v>
      </c>
      <c r="K890" s="1">
        <v>2</v>
      </c>
      <c r="L890" s="4">
        <v>434.92</v>
      </c>
      <c r="M890" s="3" t="s">
        <v>51</v>
      </c>
      <c r="N890" s="3" t="s">
        <v>40</v>
      </c>
      <c r="O890" s="2" t="str">
        <f t="shared" si="65"/>
        <v>09-2024</v>
      </c>
      <c r="P890" t="str">
        <f t="shared" si="66"/>
        <v>2024</v>
      </c>
      <c r="Q890" s="6">
        <f t="shared" si="67"/>
        <v>5.1963258205731111E-2</v>
      </c>
      <c r="R890" t="str">
        <f t="shared" si="68"/>
        <v>Profit</v>
      </c>
      <c r="S890" t="str">
        <f t="shared" si="69"/>
        <v>Low (1-10%)</v>
      </c>
    </row>
    <row r="891" spans="1:19" x14ac:dyDescent="0.3">
      <c r="A891" s="3" t="s">
        <v>971</v>
      </c>
      <c r="B891" s="2">
        <v>45513</v>
      </c>
      <c r="C891" s="3" t="s">
        <v>84</v>
      </c>
      <c r="D891" s="3" t="s">
        <v>89</v>
      </c>
      <c r="E891" s="3" t="s">
        <v>140</v>
      </c>
      <c r="F891" s="3" t="s">
        <v>62</v>
      </c>
      <c r="G891" s="3" t="s">
        <v>67</v>
      </c>
      <c r="H891" s="3" t="s">
        <v>68</v>
      </c>
      <c r="I891" s="5">
        <v>1410.56</v>
      </c>
      <c r="J891" s="4">
        <v>4</v>
      </c>
      <c r="K891" s="1">
        <v>17</v>
      </c>
      <c r="L891" s="4">
        <v>177.21</v>
      </c>
      <c r="M891" s="3" t="s">
        <v>51</v>
      </c>
      <c r="N891" s="3" t="s">
        <v>22</v>
      </c>
      <c r="O891" s="2" t="str">
        <f t="shared" si="65"/>
        <v>08-2024</v>
      </c>
      <c r="P891" t="str">
        <f t="shared" si="66"/>
        <v>2024</v>
      </c>
      <c r="Q891" s="6">
        <f t="shared" si="67"/>
        <v>0.12563095508166972</v>
      </c>
      <c r="R891" t="str">
        <f t="shared" si="68"/>
        <v>Profit</v>
      </c>
      <c r="S891" t="str">
        <f t="shared" si="69"/>
        <v>Mid (11-20%)</v>
      </c>
    </row>
    <row r="892" spans="1:19" x14ac:dyDescent="0.3">
      <c r="A892" s="3" t="s">
        <v>972</v>
      </c>
      <c r="B892" s="2">
        <v>45766</v>
      </c>
      <c r="C892" s="3" t="s">
        <v>66</v>
      </c>
      <c r="D892" s="3" t="s">
        <v>89</v>
      </c>
      <c r="E892" s="3" t="s">
        <v>102</v>
      </c>
      <c r="F892" s="3" t="s">
        <v>18</v>
      </c>
      <c r="G892" s="3" t="s">
        <v>94</v>
      </c>
      <c r="H892" s="3" t="s">
        <v>95</v>
      </c>
      <c r="I892" s="5">
        <v>170.18</v>
      </c>
      <c r="J892" s="4">
        <v>1</v>
      </c>
      <c r="K892" s="1">
        <v>27</v>
      </c>
      <c r="L892" s="4">
        <v>22.09</v>
      </c>
      <c r="M892" s="3" t="s">
        <v>28</v>
      </c>
      <c r="N892" s="3" t="s">
        <v>22</v>
      </c>
      <c r="O892" s="2" t="str">
        <f t="shared" si="65"/>
        <v>04-2025</v>
      </c>
      <c r="P892" t="str">
        <f t="shared" si="66"/>
        <v>2025</v>
      </c>
      <c r="Q892" s="6">
        <f t="shared" si="67"/>
        <v>0.12980373721941474</v>
      </c>
      <c r="R892" t="str">
        <f t="shared" si="68"/>
        <v>Profit</v>
      </c>
      <c r="S892" t="str">
        <f t="shared" si="69"/>
        <v>High (&gt;20%)</v>
      </c>
    </row>
    <row r="893" spans="1:19" x14ac:dyDescent="0.3">
      <c r="A893" s="3" t="s">
        <v>973</v>
      </c>
      <c r="B893" s="2">
        <v>45731</v>
      </c>
      <c r="C893" s="3" t="s">
        <v>70</v>
      </c>
      <c r="D893" s="3" t="s">
        <v>16</v>
      </c>
      <c r="E893" s="3" t="s">
        <v>17</v>
      </c>
      <c r="F893" s="3" t="s">
        <v>18</v>
      </c>
      <c r="G893" s="3" t="s">
        <v>19</v>
      </c>
      <c r="H893" s="3" t="s">
        <v>20</v>
      </c>
      <c r="I893" s="5">
        <v>1095.8399999999999</v>
      </c>
      <c r="J893" s="4">
        <v>9</v>
      </c>
      <c r="K893" s="1">
        <v>21</v>
      </c>
      <c r="L893" s="4">
        <v>148.99</v>
      </c>
      <c r="M893" s="3" t="s">
        <v>51</v>
      </c>
      <c r="N893" s="3" t="s">
        <v>44</v>
      </c>
      <c r="O893" s="2" t="str">
        <f t="shared" si="65"/>
        <v>03-2025</v>
      </c>
      <c r="P893" t="str">
        <f t="shared" si="66"/>
        <v>2025</v>
      </c>
      <c r="Q893" s="6">
        <f t="shared" si="67"/>
        <v>0.1359596291429406</v>
      </c>
      <c r="R893" t="str">
        <f t="shared" si="68"/>
        <v>Profit</v>
      </c>
      <c r="S893" t="str">
        <f t="shared" si="69"/>
        <v>High (&gt;20%)</v>
      </c>
    </row>
    <row r="894" spans="1:19" x14ac:dyDescent="0.3">
      <c r="A894" s="3" t="s">
        <v>974</v>
      </c>
      <c r="B894" s="2">
        <v>45691</v>
      </c>
      <c r="C894" s="3" t="s">
        <v>37</v>
      </c>
      <c r="D894" s="3" t="s">
        <v>89</v>
      </c>
      <c r="E894" s="3" t="s">
        <v>116</v>
      </c>
      <c r="F894" s="3" t="s">
        <v>32</v>
      </c>
      <c r="G894" s="3" t="s">
        <v>33</v>
      </c>
      <c r="H894" s="3" t="s">
        <v>34</v>
      </c>
      <c r="I894" s="5">
        <v>871.26</v>
      </c>
      <c r="J894" s="4">
        <v>3</v>
      </c>
      <c r="K894" s="1">
        <v>12</v>
      </c>
      <c r="L894" s="4">
        <v>166.77</v>
      </c>
      <c r="M894" s="3" t="s">
        <v>51</v>
      </c>
      <c r="N894" s="3" t="s">
        <v>44</v>
      </c>
      <c r="O894" s="2" t="str">
        <f t="shared" si="65"/>
        <v>02-2025</v>
      </c>
      <c r="P894" t="str">
        <f t="shared" si="66"/>
        <v>2025</v>
      </c>
      <c r="Q894" s="6">
        <f t="shared" si="67"/>
        <v>0.19141243715997522</v>
      </c>
      <c r="R894" t="str">
        <f t="shared" si="68"/>
        <v>Profit</v>
      </c>
      <c r="S894" t="str">
        <f t="shared" si="69"/>
        <v>Mid (11-20%)</v>
      </c>
    </row>
    <row r="895" spans="1:19" x14ac:dyDescent="0.3">
      <c r="A895" s="3" t="s">
        <v>975</v>
      </c>
      <c r="B895" s="2">
        <v>45787</v>
      </c>
      <c r="C895" s="3" t="s">
        <v>42</v>
      </c>
      <c r="D895" s="3" t="s">
        <v>56</v>
      </c>
      <c r="E895" s="3" t="s">
        <v>61</v>
      </c>
      <c r="F895" s="3" t="s">
        <v>32</v>
      </c>
      <c r="G895" s="3" t="s">
        <v>112</v>
      </c>
      <c r="H895" s="3" t="s">
        <v>113</v>
      </c>
      <c r="I895" s="5">
        <v>822.07</v>
      </c>
      <c r="J895" s="4">
        <v>1</v>
      </c>
      <c r="K895" s="1">
        <v>27</v>
      </c>
      <c r="L895" s="4">
        <v>62.91</v>
      </c>
      <c r="M895" s="3" t="s">
        <v>51</v>
      </c>
      <c r="N895" s="3" t="s">
        <v>44</v>
      </c>
      <c r="O895" s="2" t="str">
        <f t="shared" si="65"/>
        <v>05-2025</v>
      </c>
      <c r="P895" t="str">
        <f t="shared" si="66"/>
        <v>2025</v>
      </c>
      <c r="Q895" s="6">
        <f t="shared" si="67"/>
        <v>7.6526329874584881E-2</v>
      </c>
      <c r="R895" t="str">
        <f t="shared" si="68"/>
        <v>Profit</v>
      </c>
      <c r="S895" t="str">
        <f t="shared" si="69"/>
        <v>High (&gt;20%)</v>
      </c>
    </row>
    <row r="896" spans="1:19" x14ac:dyDescent="0.3">
      <c r="A896" s="3" t="s">
        <v>976</v>
      </c>
      <c r="B896" s="2">
        <v>45495</v>
      </c>
      <c r="C896" s="3" t="s">
        <v>73</v>
      </c>
      <c r="D896" s="3" t="s">
        <v>38</v>
      </c>
      <c r="E896" s="3" t="s">
        <v>39</v>
      </c>
      <c r="F896" s="3" t="s">
        <v>32</v>
      </c>
      <c r="G896" s="3" t="s">
        <v>112</v>
      </c>
      <c r="H896" s="3" t="s">
        <v>113</v>
      </c>
      <c r="I896" s="5">
        <v>3441.33</v>
      </c>
      <c r="J896" s="4">
        <v>9</v>
      </c>
      <c r="K896" s="1">
        <v>6</v>
      </c>
      <c r="L896" s="4">
        <v>782.56</v>
      </c>
      <c r="M896" s="3" t="s">
        <v>21</v>
      </c>
      <c r="N896" s="3" t="s">
        <v>40</v>
      </c>
      <c r="O896" s="2" t="str">
        <f t="shared" si="65"/>
        <v>07-2024</v>
      </c>
      <c r="P896" t="str">
        <f t="shared" si="66"/>
        <v>2024</v>
      </c>
      <c r="Q896" s="6">
        <f t="shared" si="67"/>
        <v>0.22740045273193793</v>
      </c>
      <c r="R896" t="str">
        <f t="shared" si="68"/>
        <v>Profit</v>
      </c>
      <c r="S896" t="str">
        <f t="shared" si="69"/>
        <v>Low (1-10%)</v>
      </c>
    </row>
    <row r="897" spans="1:19" x14ac:dyDescent="0.3">
      <c r="A897" s="3" t="s">
        <v>977</v>
      </c>
      <c r="B897" s="2">
        <v>45681</v>
      </c>
      <c r="C897" s="3" t="s">
        <v>50</v>
      </c>
      <c r="D897" s="3" t="s">
        <v>38</v>
      </c>
      <c r="E897" s="3" t="s">
        <v>39</v>
      </c>
      <c r="F897" s="3" t="s">
        <v>32</v>
      </c>
      <c r="G897" s="3" t="s">
        <v>58</v>
      </c>
      <c r="H897" s="3" t="s">
        <v>59</v>
      </c>
      <c r="I897" s="5">
        <v>1200.55</v>
      </c>
      <c r="J897" s="4">
        <v>1</v>
      </c>
      <c r="K897" s="1">
        <v>3</v>
      </c>
      <c r="L897" s="4">
        <v>172.11</v>
      </c>
      <c r="M897" s="3" t="s">
        <v>28</v>
      </c>
      <c r="N897" s="3" t="s">
        <v>40</v>
      </c>
      <c r="O897" s="2" t="str">
        <f t="shared" si="65"/>
        <v>01-2025</v>
      </c>
      <c r="P897" t="str">
        <f t="shared" si="66"/>
        <v>2025</v>
      </c>
      <c r="Q897" s="6">
        <f t="shared" si="67"/>
        <v>0.14335929365707387</v>
      </c>
      <c r="R897" t="str">
        <f t="shared" si="68"/>
        <v>Profit</v>
      </c>
      <c r="S897" t="str">
        <f t="shared" si="69"/>
        <v>Low (1-10%)</v>
      </c>
    </row>
    <row r="898" spans="1:19" x14ac:dyDescent="0.3">
      <c r="A898" s="3" t="s">
        <v>978</v>
      </c>
      <c r="B898" s="2">
        <v>45608</v>
      </c>
      <c r="C898" s="3" t="s">
        <v>73</v>
      </c>
      <c r="D898" s="3" t="s">
        <v>38</v>
      </c>
      <c r="E898" s="3" t="s">
        <v>43</v>
      </c>
      <c r="F898" s="3" t="s">
        <v>62</v>
      </c>
      <c r="G898" s="3" t="s">
        <v>67</v>
      </c>
      <c r="H898" s="3" t="s">
        <v>68</v>
      </c>
      <c r="I898" s="5">
        <v>3094.84</v>
      </c>
      <c r="J898" s="4">
        <v>7</v>
      </c>
      <c r="K898" s="1">
        <v>10</v>
      </c>
      <c r="L898" s="4">
        <v>416.86</v>
      </c>
      <c r="M898" s="3" t="s">
        <v>28</v>
      </c>
      <c r="N898" s="3" t="s">
        <v>44</v>
      </c>
      <c r="O898" s="2" t="str">
        <f t="shared" ref="O898:O961" si="70" xml:space="preserve"> TEXT(B898,"MM-YYYY")</f>
        <v>11-2024</v>
      </c>
      <c r="P898" t="str">
        <f t="shared" ref="P898:P961" si="71">TEXT(B898,"YYYY")</f>
        <v>2024</v>
      </c>
      <c r="Q898" s="6">
        <f t="shared" ref="Q898:Q961" si="72">IFERROR(L898/I898,0)</f>
        <v>0.13469517002494474</v>
      </c>
      <c r="R898" t="str">
        <f t="shared" ref="R898:R961" si="73">IF(L898&gt;0,"Profit","Loss")</f>
        <v>Profit</v>
      </c>
      <c r="S898" t="str">
        <f t="shared" ref="S898:S961" si="74">IF(K898=0,"No Discount",IF(K898&lt;=10,"Low (1-10%)",IF(K898&lt;=20,"Mid (11-20%)","High (&gt;20%)")))</f>
        <v>Low (1-10%)</v>
      </c>
    </row>
    <row r="899" spans="1:19" x14ac:dyDescent="0.3">
      <c r="A899" s="3" t="s">
        <v>979</v>
      </c>
      <c r="B899" s="2">
        <v>45728</v>
      </c>
      <c r="C899" s="3" t="s">
        <v>99</v>
      </c>
      <c r="D899" s="3" t="s">
        <v>89</v>
      </c>
      <c r="E899" s="3" t="s">
        <v>116</v>
      </c>
      <c r="F899" s="3" t="s">
        <v>62</v>
      </c>
      <c r="G899" s="3" t="s">
        <v>67</v>
      </c>
      <c r="H899" s="3" t="s">
        <v>68</v>
      </c>
      <c r="I899" s="5">
        <v>5350.59</v>
      </c>
      <c r="J899" s="4">
        <v>7</v>
      </c>
      <c r="K899" s="1">
        <v>11</v>
      </c>
      <c r="L899" s="4">
        <v>1184.03</v>
      </c>
      <c r="M899" s="3" t="s">
        <v>21</v>
      </c>
      <c r="N899" s="3" t="s">
        <v>35</v>
      </c>
      <c r="O899" s="2" t="str">
        <f t="shared" si="70"/>
        <v>03-2025</v>
      </c>
      <c r="P899" t="str">
        <f t="shared" si="71"/>
        <v>2025</v>
      </c>
      <c r="Q899" s="6">
        <f t="shared" si="72"/>
        <v>0.22128961479014464</v>
      </c>
      <c r="R899" t="str">
        <f t="shared" si="73"/>
        <v>Profit</v>
      </c>
      <c r="S899" t="str">
        <f t="shared" si="74"/>
        <v>Mid (11-20%)</v>
      </c>
    </row>
    <row r="900" spans="1:19" x14ac:dyDescent="0.3">
      <c r="A900" s="3" t="s">
        <v>980</v>
      </c>
      <c r="B900" s="2">
        <v>45431</v>
      </c>
      <c r="C900" s="3" t="s">
        <v>50</v>
      </c>
      <c r="D900" s="3" t="s">
        <v>16</v>
      </c>
      <c r="E900" s="3" t="s">
        <v>31</v>
      </c>
      <c r="F900" s="3" t="s">
        <v>32</v>
      </c>
      <c r="G900" s="3" t="s">
        <v>58</v>
      </c>
      <c r="H900" s="3" t="s">
        <v>59</v>
      </c>
      <c r="I900" s="5">
        <v>17243.37</v>
      </c>
      <c r="J900" s="4">
        <v>9</v>
      </c>
      <c r="K900" s="1">
        <v>17</v>
      </c>
      <c r="L900" s="4">
        <v>2074.2800000000002</v>
      </c>
      <c r="M900" s="3" t="s">
        <v>28</v>
      </c>
      <c r="N900" s="3" t="s">
        <v>44</v>
      </c>
      <c r="O900" s="2" t="str">
        <f t="shared" si="70"/>
        <v>05-2024</v>
      </c>
      <c r="P900" t="str">
        <f t="shared" si="71"/>
        <v>2024</v>
      </c>
      <c r="Q900" s="6">
        <f t="shared" si="72"/>
        <v>0.120294350814255</v>
      </c>
      <c r="R900" t="str">
        <f t="shared" si="73"/>
        <v>Profit</v>
      </c>
      <c r="S900" t="str">
        <f t="shared" si="74"/>
        <v>Mid (11-20%)</v>
      </c>
    </row>
    <row r="901" spans="1:19" x14ac:dyDescent="0.3">
      <c r="A901" s="3" t="s">
        <v>981</v>
      </c>
      <c r="B901" s="2">
        <v>45645</v>
      </c>
      <c r="C901" s="3" t="s">
        <v>30</v>
      </c>
      <c r="D901" s="3" t="s">
        <v>56</v>
      </c>
      <c r="E901" s="3" t="s">
        <v>61</v>
      </c>
      <c r="F901" s="3" t="s">
        <v>62</v>
      </c>
      <c r="G901" s="3" t="s">
        <v>67</v>
      </c>
      <c r="H901" s="3" t="s">
        <v>68</v>
      </c>
      <c r="I901" s="5">
        <v>424.17</v>
      </c>
      <c r="J901" s="4">
        <v>3</v>
      </c>
      <c r="K901" s="1">
        <v>13</v>
      </c>
      <c r="L901" s="4">
        <v>76.23</v>
      </c>
      <c r="M901" s="3" t="s">
        <v>28</v>
      </c>
      <c r="N901" s="3" t="s">
        <v>44</v>
      </c>
      <c r="O901" s="2" t="str">
        <f t="shared" si="70"/>
        <v>12-2024</v>
      </c>
      <c r="P901" t="str">
        <f t="shared" si="71"/>
        <v>2024</v>
      </c>
      <c r="Q901" s="6">
        <f t="shared" si="72"/>
        <v>0.17971568003394867</v>
      </c>
      <c r="R901" t="str">
        <f t="shared" si="73"/>
        <v>Profit</v>
      </c>
      <c r="S901" t="str">
        <f t="shared" si="74"/>
        <v>Mid (11-20%)</v>
      </c>
    </row>
    <row r="902" spans="1:19" x14ac:dyDescent="0.3">
      <c r="A902" s="3" t="s">
        <v>982</v>
      </c>
      <c r="B902" s="2">
        <v>45690</v>
      </c>
      <c r="C902" s="3" t="s">
        <v>66</v>
      </c>
      <c r="D902" s="3" t="s">
        <v>16</v>
      </c>
      <c r="E902" s="3" t="s">
        <v>17</v>
      </c>
      <c r="F902" s="3" t="s">
        <v>18</v>
      </c>
      <c r="G902" s="3" t="s">
        <v>26</v>
      </c>
      <c r="H902" s="3" t="s">
        <v>27</v>
      </c>
      <c r="I902" s="5">
        <v>3233.76</v>
      </c>
      <c r="J902" s="4">
        <v>3</v>
      </c>
      <c r="K902" s="1">
        <v>22</v>
      </c>
      <c r="L902" s="4">
        <v>476.6</v>
      </c>
      <c r="M902" s="3" t="s">
        <v>21</v>
      </c>
      <c r="N902" s="3" t="s">
        <v>44</v>
      </c>
      <c r="O902" s="2" t="str">
        <f t="shared" si="70"/>
        <v>02-2025</v>
      </c>
      <c r="P902" t="str">
        <f t="shared" si="71"/>
        <v>2025</v>
      </c>
      <c r="Q902" s="6">
        <f t="shared" si="72"/>
        <v>0.14738261342833112</v>
      </c>
      <c r="R902" t="str">
        <f t="shared" si="73"/>
        <v>Profit</v>
      </c>
      <c r="S902" t="str">
        <f t="shared" si="74"/>
        <v>High (&gt;20%)</v>
      </c>
    </row>
    <row r="903" spans="1:19" x14ac:dyDescent="0.3">
      <c r="A903" s="3" t="s">
        <v>983</v>
      </c>
      <c r="B903" s="2">
        <v>45536</v>
      </c>
      <c r="C903" s="3" t="s">
        <v>30</v>
      </c>
      <c r="D903" s="3" t="s">
        <v>89</v>
      </c>
      <c r="E903" s="3" t="s">
        <v>102</v>
      </c>
      <c r="F903" s="3" t="s">
        <v>18</v>
      </c>
      <c r="G903" s="3" t="s">
        <v>19</v>
      </c>
      <c r="H903" s="3" t="s">
        <v>20</v>
      </c>
      <c r="I903" s="5">
        <v>3606.3</v>
      </c>
      <c r="J903" s="4">
        <v>5</v>
      </c>
      <c r="K903" s="1">
        <v>23</v>
      </c>
      <c r="L903" s="4">
        <v>322.92</v>
      </c>
      <c r="M903" s="3" t="s">
        <v>51</v>
      </c>
      <c r="N903" s="3" t="s">
        <v>44</v>
      </c>
      <c r="O903" s="2" t="str">
        <f t="shared" si="70"/>
        <v>09-2024</v>
      </c>
      <c r="P903" t="str">
        <f t="shared" si="71"/>
        <v>2024</v>
      </c>
      <c r="Q903" s="6">
        <f t="shared" si="72"/>
        <v>8.9543299226353887E-2</v>
      </c>
      <c r="R903" t="str">
        <f t="shared" si="73"/>
        <v>Profit</v>
      </c>
      <c r="S903" t="str">
        <f t="shared" si="74"/>
        <v>High (&gt;20%)</v>
      </c>
    </row>
    <row r="904" spans="1:19" x14ac:dyDescent="0.3">
      <c r="A904" s="3" t="s">
        <v>984</v>
      </c>
      <c r="B904" s="2">
        <v>45507</v>
      </c>
      <c r="C904" s="3" t="s">
        <v>30</v>
      </c>
      <c r="D904" s="3" t="s">
        <v>89</v>
      </c>
      <c r="E904" s="3" t="s">
        <v>102</v>
      </c>
      <c r="F904" s="3" t="s">
        <v>32</v>
      </c>
      <c r="G904" s="3" t="s">
        <v>33</v>
      </c>
      <c r="H904" s="3" t="s">
        <v>34</v>
      </c>
      <c r="I904" s="5">
        <v>997.18</v>
      </c>
      <c r="J904" s="4">
        <v>1</v>
      </c>
      <c r="K904" s="1">
        <v>2</v>
      </c>
      <c r="L904" s="4">
        <v>183.03</v>
      </c>
      <c r="M904" s="3" t="s">
        <v>51</v>
      </c>
      <c r="N904" s="3" t="s">
        <v>22</v>
      </c>
      <c r="O904" s="2" t="str">
        <f t="shared" si="70"/>
        <v>08-2024</v>
      </c>
      <c r="P904" t="str">
        <f t="shared" si="71"/>
        <v>2024</v>
      </c>
      <c r="Q904" s="6">
        <f t="shared" si="72"/>
        <v>0.18354760424396799</v>
      </c>
      <c r="R904" t="str">
        <f t="shared" si="73"/>
        <v>Profit</v>
      </c>
      <c r="S904" t="str">
        <f t="shared" si="74"/>
        <v>Low (1-10%)</v>
      </c>
    </row>
    <row r="905" spans="1:19" x14ac:dyDescent="0.3">
      <c r="A905" s="3" t="s">
        <v>985</v>
      </c>
      <c r="B905" s="2">
        <v>45763</v>
      </c>
      <c r="C905" s="3" t="s">
        <v>73</v>
      </c>
      <c r="D905" s="3" t="s">
        <v>38</v>
      </c>
      <c r="E905" s="3" t="s">
        <v>71</v>
      </c>
      <c r="F905" s="3" t="s">
        <v>18</v>
      </c>
      <c r="G905" s="3" t="s">
        <v>19</v>
      </c>
      <c r="H905" s="3" t="s">
        <v>20</v>
      </c>
      <c r="I905" s="5">
        <v>10171.040000000001</v>
      </c>
      <c r="J905" s="4">
        <v>8</v>
      </c>
      <c r="K905" s="1">
        <v>0</v>
      </c>
      <c r="L905" s="4">
        <v>1221.69</v>
      </c>
      <c r="M905" s="3" t="s">
        <v>51</v>
      </c>
      <c r="N905" s="3" t="s">
        <v>44</v>
      </c>
      <c r="O905" s="2" t="str">
        <f t="shared" si="70"/>
        <v>04-2025</v>
      </c>
      <c r="P905" t="str">
        <f t="shared" si="71"/>
        <v>2025</v>
      </c>
      <c r="Q905" s="6">
        <f t="shared" si="72"/>
        <v>0.12011456055624596</v>
      </c>
      <c r="R905" t="str">
        <f t="shared" si="73"/>
        <v>Profit</v>
      </c>
      <c r="S905" t="str">
        <f t="shared" si="74"/>
        <v>No Discount</v>
      </c>
    </row>
    <row r="906" spans="1:19" x14ac:dyDescent="0.3">
      <c r="A906" s="3" t="s">
        <v>986</v>
      </c>
      <c r="B906" s="2">
        <v>45642</v>
      </c>
      <c r="C906" s="3" t="s">
        <v>24</v>
      </c>
      <c r="D906" s="3" t="s">
        <v>38</v>
      </c>
      <c r="E906" s="3" t="s">
        <v>43</v>
      </c>
      <c r="F906" s="3" t="s">
        <v>32</v>
      </c>
      <c r="G906" s="3" t="s">
        <v>33</v>
      </c>
      <c r="H906" s="3" t="s">
        <v>34</v>
      </c>
      <c r="I906" s="5">
        <v>1274.55</v>
      </c>
      <c r="J906" s="4">
        <v>5</v>
      </c>
      <c r="K906" s="1">
        <v>13</v>
      </c>
      <c r="L906" s="4">
        <v>230.44</v>
      </c>
      <c r="M906" s="3" t="s">
        <v>51</v>
      </c>
      <c r="N906" s="3" t="s">
        <v>35</v>
      </c>
      <c r="O906" s="2" t="str">
        <f t="shared" si="70"/>
        <v>12-2024</v>
      </c>
      <c r="P906" t="str">
        <f t="shared" si="71"/>
        <v>2024</v>
      </c>
      <c r="Q906" s="6">
        <f t="shared" si="72"/>
        <v>0.18080106704327017</v>
      </c>
      <c r="R906" t="str">
        <f t="shared" si="73"/>
        <v>Profit</v>
      </c>
      <c r="S906" t="str">
        <f t="shared" si="74"/>
        <v>Mid (11-20%)</v>
      </c>
    </row>
    <row r="907" spans="1:19" x14ac:dyDescent="0.3">
      <c r="A907" s="3" t="s">
        <v>987</v>
      </c>
      <c r="B907" s="2">
        <v>45642</v>
      </c>
      <c r="C907" s="3" t="s">
        <v>37</v>
      </c>
      <c r="D907" s="3" t="s">
        <v>38</v>
      </c>
      <c r="E907" s="3" t="s">
        <v>43</v>
      </c>
      <c r="F907" s="3" t="s">
        <v>18</v>
      </c>
      <c r="G907" s="3" t="s">
        <v>94</v>
      </c>
      <c r="H907" s="3" t="s">
        <v>95</v>
      </c>
      <c r="I907" s="5">
        <v>7379</v>
      </c>
      <c r="J907" s="4">
        <v>10</v>
      </c>
      <c r="K907" s="1">
        <v>29</v>
      </c>
      <c r="L907" s="4">
        <v>818.96</v>
      </c>
      <c r="M907" s="3" t="s">
        <v>51</v>
      </c>
      <c r="N907" s="3" t="s">
        <v>35</v>
      </c>
      <c r="O907" s="2" t="str">
        <f t="shared" si="70"/>
        <v>12-2024</v>
      </c>
      <c r="P907" t="str">
        <f t="shared" si="71"/>
        <v>2024</v>
      </c>
      <c r="Q907" s="6">
        <f t="shared" si="72"/>
        <v>0.11098522835072504</v>
      </c>
      <c r="R907" t="str">
        <f t="shared" si="73"/>
        <v>Profit</v>
      </c>
      <c r="S907" t="str">
        <f t="shared" si="74"/>
        <v>High (&gt;20%)</v>
      </c>
    </row>
    <row r="908" spans="1:19" x14ac:dyDescent="0.3">
      <c r="A908" s="3" t="s">
        <v>988</v>
      </c>
      <c r="B908" s="2">
        <v>45541</v>
      </c>
      <c r="C908" s="3" t="s">
        <v>50</v>
      </c>
      <c r="D908" s="3" t="s">
        <v>16</v>
      </c>
      <c r="E908" s="3" t="s">
        <v>31</v>
      </c>
      <c r="F908" s="3" t="s">
        <v>62</v>
      </c>
      <c r="G908" s="3" t="s">
        <v>63</v>
      </c>
      <c r="H908" s="3" t="s">
        <v>64</v>
      </c>
      <c r="I908" s="5">
        <v>6047.4</v>
      </c>
      <c r="J908" s="4">
        <v>6</v>
      </c>
      <c r="K908" s="1">
        <v>8</v>
      </c>
      <c r="L908" s="4">
        <v>796.14</v>
      </c>
      <c r="M908" s="3" t="s">
        <v>21</v>
      </c>
      <c r="N908" s="3" t="s">
        <v>35</v>
      </c>
      <c r="O908" s="2" t="str">
        <f t="shared" si="70"/>
        <v>09-2024</v>
      </c>
      <c r="P908" t="str">
        <f t="shared" si="71"/>
        <v>2024</v>
      </c>
      <c r="Q908" s="6">
        <f t="shared" si="72"/>
        <v>0.13164996527433279</v>
      </c>
      <c r="R908" t="str">
        <f t="shared" si="73"/>
        <v>Profit</v>
      </c>
      <c r="S908" t="str">
        <f t="shared" si="74"/>
        <v>Low (1-10%)</v>
      </c>
    </row>
    <row r="909" spans="1:19" x14ac:dyDescent="0.3">
      <c r="A909" s="3" t="s">
        <v>989</v>
      </c>
      <c r="B909" s="2">
        <v>45615</v>
      </c>
      <c r="C909" s="3" t="s">
        <v>86</v>
      </c>
      <c r="D909" s="3" t="s">
        <v>89</v>
      </c>
      <c r="E909" s="3" t="s">
        <v>97</v>
      </c>
      <c r="F909" s="3" t="s">
        <v>18</v>
      </c>
      <c r="G909" s="3" t="s">
        <v>19</v>
      </c>
      <c r="H909" s="3" t="s">
        <v>20</v>
      </c>
      <c r="I909" s="5">
        <v>904.52</v>
      </c>
      <c r="J909" s="4">
        <v>4</v>
      </c>
      <c r="K909" s="1">
        <v>19</v>
      </c>
      <c r="L909" s="4">
        <v>108.23</v>
      </c>
      <c r="M909" s="3" t="s">
        <v>21</v>
      </c>
      <c r="N909" s="3" t="s">
        <v>35</v>
      </c>
      <c r="O909" s="2" t="str">
        <f t="shared" si="70"/>
        <v>11-2024</v>
      </c>
      <c r="P909" t="str">
        <f t="shared" si="71"/>
        <v>2024</v>
      </c>
      <c r="Q909" s="6">
        <f t="shared" si="72"/>
        <v>0.11965462344668996</v>
      </c>
      <c r="R909" t="str">
        <f t="shared" si="73"/>
        <v>Profit</v>
      </c>
      <c r="S909" t="str">
        <f t="shared" si="74"/>
        <v>Mid (11-20%)</v>
      </c>
    </row>
    <row r="910" spans="1:19" x14ac:dyDescent="0.3">
      <c r="A910" s="3" t="s">
        <v>990</v>
      </c>
      <c r="B910" s="2">
        <v>45756</v>
      </c>
      <c r="C910" s="3" t="s">
        <v>37</v>
      </c>
      <c r="D910" s="3" t="s">
        <v>56</v>
      </c>
      <c r="E910" s="3" t="s">
        <v>108</v>
      </c>
      <c r="F910" s="3" t="s">
        <v>32</v>
      </c>
      <c r="G910" s="3" t="s">
        <v>47</v>
      </c>
      <c r="H910" s="3" t="s">
        <v>48</v>
      </c>
      <c r="I910" s="5">
        <v>6434</v>
      </c>
      <c r="J910" s="4">
        <v>4</v>
      </c>
      <c r="K910" s="1">
        <v>5</v>
      </c>
      <c r="L910" s="4">
        <v>563.72</v>
      </c>
      <c r="M910" s="3" t="s">
        <v>21</v>
      </c>
      <c r="N910" s="3" t="s">
        <v>40</v>
      </c>
      <c r="O910" s="2" t="str">
        <f t="shared" si="70"/>
        <v>04-2025</v>
      </c>
      <c r="P910" t="str">
        <f t="shared" si="71"/>
        <v>2025</v>
      </c>
      <c r="Q910" s="6">
        <f t="shared" si="72"/>
        <v>8.7615791109729571E-2</v>
      </c>
      <c r="R910" t="str">
        <f t="shared" si="73"/>
        <v>Profit</v>
      </c>
      <c r="S910" t="str">
        <f t="shared" si="74"/>
        <v>Low (1-10%)</v>
      </c>
    </row>
    <row r="911" spans="1:19" x14ac:dyDescent="0.3">
      <c r="A911" s="3" t="s">
        <v>991</v>
      </c>
      <c r="B911" s="2">
        <v>45781</v>
      </c>
      <c r="C911" s="3" t="s">
        <v>101</v>
      </c>
      <c r="D911" s="3" t="s">
        <v>38</v>
      </c>
      <c r="E911" s="3" t="s">
        <v>43</v>
      </c>
      <c r="F911" s="3" t="s">
        <v>18</v>
      </c>
      <c r="G911" s="3" t="s">
        <v>76</v>
      </c>
      <c r="H911" s="3" t="s">
        <v>77</v>
      </c>
      <c r="I911" s="5">
        <v>10950.03</v>
      </c>
      <c r="J911" s="4">
        <v>7</v>
      </c>
      <c r="K911" s="1">
        <v>14</v>
      </c>
      <c r="L911" s="4">
        <v>1930.27</v>
      </c>
      <c r="M911" s="3" t="s">
        <v>21</v>
      </c>
      <c r="N911" s="3" t="s">
        <v>44</v>
      </c>
      <c r="O911" s="2" t="str">
        <f t="shared" si="70"/>
        <v>05-2025</v>
      </c>
      <c r="P911" t="str">
        <f t="shared" si="71"/>
        <v>2025</v>
      </c>
      <c r="Q911" s="6">
        <f t="shared" si="72"/>
        <v>0.17627988233822189</v>
      </c>
      <c r="R911" t="str">
        <f t="shared" si="73"/>
        <v>Profit</v>
      </c>
      <c r="S911" t="str">
        <f t="shared" si="74"/>
        <v>Mid (11-20%)</v>
      </c>
    </row>
    <row r="912" spans="1:19" x14ac:dyDescent="0.3">
      <c r="A912" s="3" t="s">
        <v>992</v>
      </c>
      <c r="B912" s="2">
        <v>45716</v>
      </c>
      <c r="C912" s="3" t="s">
        <v>86</v>
      </c>
      <c r="D912" s="3" t="s">
        <v>38</v>
      </c>
      <c r="E912" s="3" t="s">
        <v>71</v>
      </c>
      <c r="F912" s="3" t="s">
        <v>62</v>
      </c>
      <c r="G912" s="3" t="s">
        <v>67</v>
      </c>
      <c r="H912" s="3" t="s">
        <v>68</v>
      </c>
      <c r="I912" s="5">
        <v>5807.97</v>
      </c>
      <c r="J912" s="4">
        <v>9</v>
      </c>
      <c r="K912" s="1">
        <v>16</v>
      </c>
      <c r="L912" s="4">
        <v>248.42</v>
      </c>
      <c r="M912" s="3" t="s">
        <v>21</v>
      </c>
      <c r="N912" s="3" t="s">
        <v>40</v>
      </c>
      <c r="O912" s="2" t="str">
        <f t="shared" si="70"/>
        <v>02-2025</v>
      </c>
      <c r="P912" t="str">
        <f t="shared" si="71"/>
        <v>2025</v>
      </c>
      <c r="Q912" s="6">
        <f t="shared" si="72"/>
        <v>4.2772259498585562E-2</v>
      </c>
      <c r="R912" t="str">
        <f t="shared" si="73"/>
        <v>Profit</v>
      </c>
      <c r="S912" t="str">
        <f t="shared" si="74"/>
        <v>Mid (11-20%)</v>
      </c>
    </row>
    <row r="913" spans="1:19" x14ac:dyDescent="0.3">
      <c r="A913" s="3" t="s">
        <v>993</v>
      </c>
      <c r="B913" s="2">
        <v>45719</v>
      </c>
      <c r="C913" s="3" t="s">
        <v>37</v>
      </c>
      <c r="D913" s="3" t="s">
        <v>38</v>
      </c>
      <c r="E913" s="3" t="s">
        <v>39</v>
      </c>
      <c r="F913" s="3" t="s">
        <v>32</v>
      </c>
      <c r="G913" s="3" t="s">
        <v>112</v>
      </c>
      <c r="H913" s="3" t="s">
        <v>113</v>
      </c>
      <c r="I913" s="5">
        <v>2017.1</v>
      </c>
      <c r="J913" s="4">
        <v>10</v>
      </c>
      <c r="K913" s="1">
        <v>23</v>
      </c>
      <c r="L913" s="4">
        <v>225.15</v>
      </c>
      <c r="M913" s="3" t="s">
        <v>51</v>
      </c>
      <c r="N913" s="3" t="s">
        <v>44</v>
      </c>
      <c r="O913" s="2" t="str">
        <f t="shared" si="70"/>
        <v>03-2025</v>
      </c>
      <c r="P913" t="str">
        <f t="shared" si="71"/>
        <v>2025</v>
      </c>
      <c r="Q913" s="6">
        <f t="shared" si="72"/>
        <v>0.11162064349809132</v>
      </c>
      <c r="R913" t="str">
        <f t="shared" si="73"/>
        <v>Profit</v>
      </c>
      <c r="S913" t="str">
        <f t="shared" si="74"/>
        <v>High (&gt;20%)</v>
      </c>
    </row>
    <row r="914" spans="1:19" x14ac:dyDescent="0.3">
      <c r="A914" s="3" t="s">
        <v>994</v>
      </c>
      <c r="B914" s="2">
        <v>45655</v>
      </c>
      <c r="C914" s="3" t="s">
        <v>99</v>
      </c>
      <c r="D914" s="3" t="s">
        <v>56</v>
      </c>
      <c r="E914" s="3" t="s">
        <v>108</v>
      </c>
      <c r="F914" s="3" t="s">
        <v>18</v>
      </c>
      <c r="G914" s="3" t="s">
        <v>94</v>
      </c>
      <c r="H914" s="3" t="s">
        <v>95</v>
      </c>
      <c r="I914" s="5">
        <v>8688.33</v>
      </c>
      <c r="J914" s="4">
        <v>7</v>
      </c>
      <c r="K914" s="1">
        <v>0</v>
      </c>
      <c r="L914" s="4">
        <v>569.9</v>
      </c>
      <c r="M914" s="3" t="s">
        <v>51</v>
      </c>
      <c r="N914" s="3" t="s">
        <v>35</v>
      </c>
      <c r="O914" s="2" t="str">
        <f t="shared" si="70"/>
        <v>12-2024</v>
      </c>
      <c r="P914" t="str">
        <f t="shared" si="71"/>
        <v>2024</v>
      </c>
      <c r="Q914" s="6">
        <f t="shared" si="72"/>
        <v>6.5593733203043625E-2</v>
      </c>
      <c r="R914" t="str">
        <f t="shared" si="73"/>
        <v>Profit</v>
      </c>
      <c r="S914" t="str">
        <f t="shared" si="74"/>
        <v>No Discount</v>
      </c>
    </row>
    <row r="915" spans="1:19" x14ac:dyDescent="0.3">
      <c r="A915" s="3" t="s">
        <v>995</v>
      </c>
      <c r="B915" s="2">
        <v>45453</v>
      </c>
      <c r="C915" s="3" t="s">
        <v>42</v>
      </c>
      <c r="D915" s="3" t="s">
        <v>38</v>
      </c>
      <c r="E915" s="3" t="s">
        <v>39</v>
      </c>
      <c r="F915" s="3" t="s">
        <v>32</v>
      </c>
      <c r="G915" s="3" t="s">
        <v>58</v>
      </c>
      <c r="H915" s="3" t="s">
        <v>59</v>
      </c>
      <c r="I915" s="5">
        <v>9049.5</v>
      </c>
      <c r="J915" s="4">
        <v>10</v>
      </c>
      <c r="K915" s="1">
        <v>9</v>
      </c>
      <c r="L915" s="4">
        <v>751.97</v>
      </c>
      <c r="M915" s="3" t="s">
        <v>21</v>
      </c>
      <c r="N915" s="3" t="s">
        <v>44</v>
      </c>
      <c r="O915" s="2" t="str">
        <f t="shared" si="70"/>
        <v>06-2024</v>
      </c>
      <c r="P915" t="str">
        <f t="shared" si="71"/>
        <v>2024</v>
      </c>
      <c r="Q915" s="6">
        <f t="shared" si="72"/>
        <v>8.309519862975856E-2</v>
      </c>
      <c r="R915" t="str">
        <f t="shared" si="73"/>
        <v>Profit</v>
      </c>
      <c r="S915" t="str">
        <f t="shared" si="74"/>
        <v>Low (1-10%)</v>
      </c>
    </row>
    <row r="916" spans="1:19" x14ac:dyDescent="0.3">
      <c r="A916" s="3" t="s">
        <v>996</v>
      </c>
      <c r="B916" s="2">
        <v>45453</v>
      </c>
      <c r="C916" s="3" t="s">
        <v>101</v>
      </c>
      <c r="D916" s="3" t="s">
        <v>38</v>
      </c>
      <c r="E916" s="3" t="s">
        <v>43</v>
      </c>
      <c r="F916" s="3" t="s">
        <v>18</v>
      </c>
      <c r="G916" s="3" t="s">
        <v>19</v>
      </c>
      <c r="H916" s="3" t="s">
        <v>20</v>
      </c>
      <c r="I916" s="5">
        <v>13887.52</v>
      </c>
      <c r="J916" s="4">
        <v>8</v>
      </c>
      <c r="K916" s="1">
        <v>10</v>
      </c>
      <c r="L916" s="4">
        <v>889.19</v>
      </c>
      <c r="M916" s="3" t="s">
        <v>51</v>
      </c>
      <c r="N916" s="3" t="s">
        <v>35</v>
      </c>
      <c r="O916" s="2" t="str">
        <f t="shared" si="70"/>
        <v>06-2024</v>
      </c>
      <c r="P916" t="str">
        <f t="shared" si="71"/>
        <v>2024</v>
      </c>
      <c r="Q916" s="6">
        <f t="shared" si="72"/>
        <v>6.4027990598753415E-2</v>
      </c>
      <c r="R916" t="str">
        <f t="shared" si="73"/>
        <v>Profit</v>
      </c>
      <c r="S916" t="str">
        <f t="shared" si="74"/>
        <v>Low (1-10%)</v>
      </c>
    </row>
    <row r="917" spans="1:19" x14ac:dyDescent="0.3">
      <c r="A917" s="3" t="s">
        <v>997</v>
      </c>
      <c r="B917" s="2">
        <v>45670</v>
      </c>
      <c r="C917" s="3" t="s">
        <v>99</v>
      </c>
      <c r="D917" s="3" t="s">
        <v>89</v>
      </c>
      <c r="E917" s="3" t="s">
        <v>102</v>
      </c>
      <c r="F917" s="3" t="s">
        <v>18</v>
      </c>
      <c r="G917" s="3" t="s">
        <v>76</v>
      </c>
      <c r="H917" s="3" t="s">
        <v>77</v>
      </c>
      <c r="I917" s="5">
        <v>1412.78</v>
      </c>
      <c r="J917" s="4">
        <v>2</v>
      </c>
      <c r="K917" s="1">
        <v>27</v>
      </c>
      <c r="L917" s="4">
        <v>133.56</v>
      </c>
      <c r="M917" s="3" t="s">
        <v>28</v>
      </c>
      <c r="N917" s="3" t="s">
        <v>40</v>
      </c>
      <c r="O917" s="2" t="str">
        <f t="shared" si="70"/>
        <v>01-2025</v>
      </c>
      <c r="P917" t="str">
        <f t="shared" si="71"/>
        <v>2025</v>
      </c>
      <c r="Q917" s="6">
        <f t="shared" si="72"/>
        <v>9.4537012132108328E-2</v>
      </c>
      <c r="R917" t="str">
        <f t="shared" si="73"/>
        <v>Profit</v>
      </c>
      <c r="S917" t="str">
        <f t="shared" si="74"/>
        <v>High (&gt;20%)</v>
      </c>
    </row>
    <row r="918" spans="1:19" x14ac:dyDescent="0.3">
      <c r="A918" s="3" t="s">
        <v>998</v>
      </c>
      <c r="B918" s="2">
        <v>45533</v>
      </c>
      <c r="C918" s="3" t="s">
        <v>84</v>
      </c>
      <c r="D918" s="3" t="s">
        <v>38</v>
      </c>
      <c r="E918" s="3" t="s">
        <v>53</v>
      </c>
      <c r="F918" s="3" t="s">
        <v>18</v>
      </c>
      <c r="G918" s="3" t="s">
        <v>26</v>
      </c>
      <c r="H918" s="3" t="s">
        <v>27</v>
      </c>
      <c r="I918" s="5">
        <v>8595.36</v>
      </c>
      <c r="J918" s="4">
        <v>6</v>
      </c>
      <c r="K918" s="1">
        <v>12</v>
      </c>
      <c r="L918" s="4">
        <v>1266.48</v>
      </c>
      <c r="M918" s="3" t="s">
        <v>51</v>
      </c>
      <c r="N918" s="3" t="s">
        <v>22</v>
      </c>
      <c r="O918" s="2" t="str">
        <f t="shared" si="70"/>
        <v>08-2024</v>
      </c>
      <c r="P918" t="str">
        <f t="shared" si="71"/>
        <v>2024</v>
      </c>
      <c r="Q918" s="6">
        <f t="shared" si="72"/>
        <v>0.14734461383816383</v>
      </c>
      <c r="R918" t="str">
        <f t="shared" si="73"/>
        <v>Profit</v>
      </c>
      <c r="S918" t="str">
        <f t="shared" si="74"/>
        <v>Mid (11-20%)</v>
      </c>
    </row>
    <row r="919" spans="1:19" x14ac:dyDescent="0.3">
      <c r="A919" s="3" t="s">
        <v>999</v>
      </c>
      <c r="B919" s="2">
        <v>45440</v>
      </c>
      <c r="C919" s="3" t="s">
        <v>101</v>
      </c>
      <c r="D919" s="3" t="s">
        <v>16</v>
      </c>
      <c r="E919" s="3" t="s">
        <v>31</v>
      </c>
      <c r="F919" s="3" t="s">
        <v>18</v>
      </c>
      <c r="G919" s="3" t="s">
        <v>26</v>
      </c>
      <c r="H919" s="3" t="s">
        <v>27</v>
      </c>
      <c r="I919" s="5">
        <v>4603.2</v>
      </c>
      <c r="J919" s="4">
        <v>8</v>
      </c>
      <c r="K919" s="1">
        <v>13</v>
      </c>
      <c r="L919" s="4">
        <v>538.96</v>
      </c>
      <c r="M919" s="3" t="s">
        <v>51</v>
      </c>
      <c r="N919" s="3" t="s">
        <v>40</v>
      </c>
      <c r="O919" s="2" t="str">
        <f t="shared" si="70"/>
        <v>05-2024</v>
      </c>
      <c r="P919" t="str">
        <f t="shared" si="71"/>
        <v>2024</v>
      </c>
      <c r="Q919" s="6">
        <f t="shared" si="72"/>
        <v>0.11708376781369484</v>
      </c>
      <c r="R919" t="str">
        <f t="shared" si="73"/>
        <v>Profit</v>
      </c>
      <c r="S919" t="str">
        <f t="shared" si="74"/>
        <v>Mid (11-20%)</v>
      </c>
    </row>
    <row r="920" spans="1:19" x14ac:dyDescent="0.3">
      <c r="A920" s="3" t="s">
        <v>1000</v>
      </c>
      <c r="B920" s="2">
        <v>45745</v>
      </c>
      <c r="C920" s="3" t="s">
        <v>37</v>
      </c>
      <c r="D920" s="3" t="s">
        <v>56</v>
      </c>
      <c r="E920" s="3" t="s">
        <v>57</v>
      </c>
      <c r="F920" s="3" t="s">
        <v>32</v>
      </c>
      <c r="G920" s="3" t="s">
        <v>112</v>
      </c>
      <c r="H920" s="3" t="s">
        <v>113</v>
      </c>
      <c r="I920" s="5">
        <v>7423.3</v>
      </c>
      <c r="J920" s="4">
        <v>10</v>
      </c>
      <c r="K920" s="1">
        <v>23</v>
      </c>
      <c r="L920" s="4">
        <v>692.83</v>
      </c>
      <c r="M920" s="3" t="s">
        <v>51</v>
      </c>
      <c r="N920" s="3" t="s">
        <v>35</v>
      </c>
      <c r="O920" s="2" t="str">
        <f t="shared" si="70"/>
        <v>03-2025</v>
      </c>
      <c r="P920" t="str">
        <f t="shared" si="71"/>
        <v>2025</v>
      </c>
      <c r="Q920" s="6">
        <f t="shared" si="72"/>
        <v>9.333180660892057E-2</v>
      </c>
      <c r="R920" t="str">
        <f t="shared" si="73"/>
        <v>Profit</v>
      </c>
      <c r="S920" t="str">
        <f t="shared" si="74"/>
        <v>High (&gt;20%)</v>
      </c>
    </row>
    <row r="921" spans="1:19" x14ac:dyDescent="0.3">
      <c r="A921" s="3" t="s">
        <v>1001</v>
      </c>
      <c r="B921" s="2">
        <v>45694</v>
      </c>
      <c r="C921" s="3" t="s">
        <v>84</v>
      </c>
      <c r="D921" s="3" t="s">
        <v>16</v>
      </c>
      <c r="E921" s="3" t="s">
        <v>25</v>
      </c>
      <c r="F921" s="3" t="s">
        <v>32</v>
      </c>
      <c r="G921" s="3" t="s">
        <v>58</v>
      </c>
      <c r="H921" s="3" t="s">
        <v>59</v>
      </c>
      <c r="I921" s="5">
        <v>6911.44</v>
      </c>
      <c r="J921" s="4">
        <v>8</v>
      </c>
      <c r="K921" s="1">
        <v>24</v>
      </c>
      <c r="L921" s="4">
        <v>1287.47</v>
      </c>
      <c r="M921" s="3" t="s">
        <v>51</v>
      </c>
      <c r="N921" s="3" t="s">
        <v>40</v>
      </c>
      <c r="O921" s="2" t="str">
        <f t="shared" si="70"/>
        <v>02-2025</v>
      </c>
      <c r="P921" t="str">
        <f t="shared" si="71"/>
        <v>2025</v>
      </c>
      <c r="Q921" s="6">
        <f t="shared" si="72"/>
        <v>0.18628100656303173</v>
      </c>
      <c r="R921" t="str">
        <f t="shared" si="73"/>
        <v>Profit</v>
      </c>
      <c r="S921" t="str">
        <f t="shared" si="74"/>
        <v>High (&gt;20%)</v>
      </c>
    </row>
    <row r="922" spans="1:19" x14ac:dyDescent="0.3">
      <c r="A922" s="3" t="s">
        <v>1002</v>
      </c>
      <c r="B922" s="2">
        <v>45777</v>
      </c>
      <c r="C922" s="3" t="s">
        <v>70</v>
      </c>
      <c r="D922" s="3" t="s">
        <v>16</v>
      </c>
      <c r="E922" s="3" t="s">
        <v>25</v>
      </c>
      <c r="F922" s="3" t="s">
        <v>18</v>
      </c>
      <c r="G922" s="3" t="s">
        <v>19</v>
      </c>
      <c r="H922" s="3" t="s">
        <v>20</v>
      </c>
      <c r="I922" s="5">
        <v>5355.98</v>
      </c>
      <c r="J922" s="4">
        <v>7</v>
      </c>
      <c r="K922" s="1">
        <v>16</v>
      </c>
      <c r="L922" s="4">
        <v>491.6</v>
      </c>
      <c r="M922" s="3" t="s">
        <v>28</v>
      </c>
      <c r="N922" s="3" t="s">
        <v>22</v>
      </c>
      <c r="O922" s="2" t="str">
        <f t="shared" si="70"/>
        <v>04-2025</v>
      </c>
      <c r="P922" t="str">
        <f t="shared" si="71"/>
        <v>2025</v>
      </c>
      <c r="Q922" s="6">
        <f t="shared" si="72"/>
        <v>9.1785256853087582E-2</v>
      </c>
      <c r="R922" t="str">
        <f t="shared" si="73"/>
        <v>Profit</v>
      </c>
      <c r="S922" t="str">
        <f t="shared" si="74"/>
        <v>Mid (11-20%)</v>
      </c>
    </row>
    <row r="923" spans="1:19" x14ac:dyDescent="0.3">
      <c r="A923" s="3" t="s">
        <v>1003</v>
      </c>
      <c r="B923" s="2">
        <v>45498</v>
      </c>
      <c r="C923" s="3" t="s">
        <v>37</v>
      </c>
      <c r="D923" s="3" t="s">
        <v>89</v>
      </c>
      <c r="E923" s="3" t="s">
        <v>97</v>
      </c>
      <c r="F923" s="3" t="s">
        <v>32</v>
      </c>
      <c r="G923" s="3" t="s">
        <v>33</v>
      </c>
      <c r="H923" s="3" t="s">
        <v>34</v>
      </c>
      <c r="I923" s="5">
        <v>1129.52</v>
      </c>
      <c r="J923" s="4">
        <v>1</v>
      </c>
      <c r="K923" s="1">
        <v>7.0000000000000009</v>
      </c>
      <c r="L923" s="4">
        <v>213.39</v>
      </c>
      <c r="M923" s="3" t="s">
        <v>21</v>
      </c>
      <c r="N923" s="3" t="s">
        <v>22</v>
      </c>
      <c r="O923" s="2" t="str">
        <f t="shared" si="70"/>
        <v>07-2024</v>
      </c>
      <c r="P923" t="str">
        <f t="shared" si="71"/>
        <v>2024</v>
      </c>
      <c r="Q923" s="6">
        <f t="shared" si="72"/>
        <v>0.18892095757489907</v>
      </c>
      <c r="R923" t="str">
        <f t="shared" si="73"/>
        <v>Profit</v>
      </c>
      <c r="S923" t="str">
        <f t="shared" si="74"/>
        <v>Low (1-10%)</v>
      </c>
    </row>
    <row r="924" spans="1:19" x14ac:dyDescent="0.3">
      <c r="A924" s="3" t="s">
        <v>1004</v>
      </c>
      <c r="B924" s="2">
        <v>45611</v>
      </c>
      <c r="C924" s="3" t="s">
        <v>66</v>
      </c>
      <c r="D924" s="3" t="s">
        <v>16</v>
      </c>
      <c r="E924" s="3" t="s">
        <v>31</v>
      </c>
      <c r="F924" s="3" t="s">
        <v>18</v>
      </c>
      <c r="G924" s="3" t="s">
        <v>19</v>
      </c>
      <c r="H924" s="3" t="s">
        <v>20</v>
      </c>
      <c r="I924" s="5">
        <v>3572.13</v>
      </c>
      <c r="J924" s="4">
        <v>3</v>
      </c>
      <c r="K924" s="1">
        <v>6</v>
      </c>
      <c r="L924" s="4">
        <v>625.66999999999996</v>
      </c>
      <c r="M924" s="3" t="s">
        <v>28</v>
      </c>
      <c r="N924" s="3" t="s">
        <v>22</v>
      </c>
      <c r="O924" s="2" t="str">
        <f t="shared" si="70"/>
        <v>11-2024</v>
      </c>
      <c r="P924" t="str">
        <f t="shared" si="71"/>
        <v>2024</v>
      </c>
      <c r="Q924" s="6">
        <f t="shared" si="72"/>
        <v>0.17515319991153736</v>
      </c>
      <c r="R924" t="str">
        <f t="shared" si="73"/>
        <v>Profit</v>
      </c>
      <c r="S924" t="str">
        <f t="shared" si="74"/>
        <v>Low (1-10%)</v>
      </c>
    </row>
    <row r="925" spans="1:19" x14ac:dyDescent="0.3">
      <c r="A925" s="3" t="s">
        <v>1005</v>
      </c>
      <c r="B925" s="2">
        <v>45744</v>
      </c>
      <c r="C925" s="3" t="s">
        <v>50</v>
      </c>
      <c r="D925" s="3" t="s">
        <v>38</v>
      </c>
      <c r="E925" s="3" t="s">
        <v>53</v>
      </c>
      <c r="F925" s="3" t="s">
        <v>18</v>
      </c>
      <c r="G925" s="3" t="s">
        <v>19</v>
      </c>
      <c r="H925" s="3" t="s">
        <v>20</v>
      </c>
      <c r="I925" s="5">
        <v>3581</v>
      </c>
      <c r="J925" s="4">
        <v>5</v>
      </c>
      <c r="K925" s="1">
        <v>10</v>
      </c>
      <c r="L925" s="4">
        <v>589.19000000000005</v>
      </c>
      <c r="M925" s="3" t="s">
        <v>51</v>
      </c>
      <c r="N925" s="3" t="s">
        <v>22</v>
      </c>
      <c r="O925" s="2" t="str">
        <f t="shared" si="70"/>
        <v>03-2025</v>
      </c>
      <c r="P925" t="str">
        <f t="shared" si="71"/>
        <v>2025</v>
      </c>
      <c r="Q925" s="6">
        <f t="shared" si="72"/>
        <v>0.16453225356045798</v>
      </c>
      <c r="R925" t="str">
        <f t="shared" si="73"/>
        <v>Profit</v>
      </c>
      <c r="S925" t="str">
        <f t="shared" si="74"/>
        <v>Low (1-10%)</v>
      </c>
    </row>
    <row r="926" spans="1:19" x14ac:dyDescent="0.3">
      <c r="A926" s="3" t="s">
        <v>1006</v>
      </c>
      <c r="B926" s="2">
        <v>45496</v>
      </c>
      <c r="C926" s="3" t="s">
        <v>70</v>
      </c>
      <c r="D926" s="3" t="s">
        <v>16</v>
      </c>
      <c r="E926" s="3" t="s">
        <v>25</v>
      </c>
      <c r="F926" s="3" t="s">
        <v>18</v>
      </c>
      <c r="G926" s="3" t="s">
        <v>94</v>
      </c>
      <c r="H926" s="3" t="s">
        <v>95</v>
      </c>
      <c r="I926" s="5">
        <v>4371.3900000000003</v>
      </c>
      <c r="J926" s="4">
        <v>9</v>
      </c>
      <c r="K926" s="1">
        <v>23</v>
      </c>
      <c r="L926" s="4">
        <v>677.41</v>
      </c>
      <c r="M926" s="3" t="s">
        <v>28</v>
      </c>
      <c r="N926" s="3" t="s">
        <v>35</v>
      </c>
      <c r="O926" s="2" t="str">
        <f t="shared" si="70"/>
        <v>07-2024</v>
      </c>
      <c r="P926" t="str">
        <f t="shared" si="71"/>
        <v>2024</v>
      </c>
      <c r="Q926" s="6">
        <f t="shared" si="72"/>
        <v>0.15496443922871214</v>
      </c>
      <c r="R926" t="str">
        <f t="shared" si="73"/>
        <v>Profit</v>
      </c>
      <c r="S926" t="str">
        <f t="shared" si="74"/>
        <v>High (&gt;20%)</v>
      </c>
    </row>
    <row r="927" spans="1:19" x14ac:dyDescent="0.3">
      <c r="A927" s="3" t="s">
        <v>1007</v>
      </c>
      <c r="B927" s="2">
        <v>45546</v>
      </c>
      <c r="C927" s="3" t="s">
        <v>99</v>
      </c>
      <c r="D927" s="3" t="s">
        <v>89</v>
      </c>
      <c r="E927" s="3" t="s">
        <v>97</v>
      </c>
      <c r="F927" s="3" t="s">
        <v>62</v>
      </c>
      <c r="G927" s="3" t="s">
        <v>67</v>
      </c>
      <c r="H927" s="3" t="s">
        <v>68</v>
      </c>
      <c r="I927" s="5">
        <v>6161.6</v>
      </c>
      <c r="J927" s="4">
        <v>10</v>
      </c>
      <c r="K927" s="1">
        <v>29</v>
      </c>
      <c r="L927" s="4">
        <v>627.5</v>
      </c>
      <c r="M927" s="3" t="s">
        <v>28</v>
      </c>
      <c r="N927" s="3" t="s">
        <v>40</v>
      </c>
      <c r="O927" s="2" t="str">
        <f t="shared" si="70"/>
        <v>09-2024</v>
      </c>
      <c r="P927" t="str">
        <f t="shared" si="71"/>
        <v>2024</v>
      </c>
      <c r="Q927" s="6">
        <f t="shared" si="72"/>
        <v>0.10184043105686834</v>
      </c>
      <c r="R927" t="str">
        <f t="shared" si="73"/>
        <v>Profit</v>
      </c>
      <c r="S927" t="str">
        <f t="shared" si="74"/>
        <v>High (&gt;20%)</v>
      </c>
    </row>
    <row r="928" spans="1:19" x14ac:dyDescent="0.3">
      <c r="A928" s="3" t="s">
        <v>1008</v>
      </c>
      <c r="B928" s="2">
        <v>45649</v>
      </c>
      <c r="C928" s="3" t="s">
        <v>50</v>
      </c>
      <c r="D928" s="3" t="s">
        <v>38</v>
      </c>
      <c r="E928" s="3" t="s">
        <v>43</v>
      </c>
      <c r="F928" s="3" t="s">
        <v>62</v>
      </c>
      <c r="G928" s="3" t="s">
        <v>63</v>
      </c>
      <c r="H928" s="3" t="s">
        <v>64</v>
      </c>
      <c r="I928" s="5">
        <v>14756.5</v>
      </c>
      <c r="J928" s="4">
        <v>10</v>
      </c>
      <c r="K928" s="1">
        <v>11</v>
      </c>
      <c r="L928" s="4">
        <v>767.39</v>
      </c>
      <c r="M928" s="3" t="s">
        <v>51</v>
      </c>
      <c r="N928" s="3" t="s">
        <v>44</v>
      </c>
      <c r="O928" s="2" t="str">
        <f t="shared" si="70"/>
        <v>12-2024</v>
      </c>
      <c r="P928" t="str">
        <f t="shared" si="71"/>
        <v>2024</v>
      </c>
      <c r="Q928" s="6">
        <f t="shared" si="72"/>
        <v>5.2003523870836579E-2</v>
      </c>
      <c r="R928" t="str">
        <f t="shared" si="73"/>
        <v>Profit</v>
      </c>
      <c r="S928" t="str">
        <f t="shared" si="74"/>
        <v>Mid (11-20%)</v>
      </c>
    </row>
    <row r="929" spans="1:19" x14ac:dyDescent="0.3">
      <c r="A929" s="3" t="s">
        <v>1009</v>
      </c>
      <c r="B929" s="2">
        <v>45553</v>
      </c>
      <c r="C929" s="3" t="s">
        <v>70</v>
      </c>
      <c r="D929" s="3" t="s">
        <v>38</v>
      </c>
      <c r="E929" s="3" t="s">
        <v>39</v>
      </c>
      <c r="F929" s="3" t="s">
        <v>62</v>
      </c>
      <c r="G929" s="3" t="s">
        <v>80</v>
      </c>
      <c r="H929" s="3" t="s">
        <v>81</v>
      </c>
      <c r="I929" s="5">
        <v>3923.31</v>
      </c>
      <c r="J929" s="4">
        <v>3</v>
      </c>
      <c r="K929" s="1">
        <v>13</v>
      </c>
      <c r="L929" s="4">
        <v>717.44</v>
      </c>
      <c r="M929" s="3" t="s">
        <v>51</v>
      </c>
      <c r="N929" s="3" t="s">
        <v>44</v>
      </c>
      <c r="O929" s="2" t="str">
        <f t="shared" si="70"/>
        <v>09-2024</v>
      </c>
      <c r="P929" t="str">
        <f t="shared" si="71"/>
        <v>2024</v>
      </c>
      <c r="Q929" s="6">
        <f t="shared" si="72"/>
        <v>0.18286599835343118</v>
      </c>
      <c r="R929" t="str">
        <f t="shared" si="73"/>
        <v>Profit</v>
      </c>
      <c r="S929" t="str">
        <f t="shared" si="74"/>
        <v>Mid (11-20%)</v>
      </c>
    </row>
    <row r="930" spans="1:19" x14ac:dyDescent="0.3">
      <c r="A930" s="3" t="s">
        <v>1010</v>
      </c>
      <c r="B930" s="2">
        <v>45639</v>
      </c>
      <c r="C930" s="3" t="s">
        <v>75</v>
      </c>
      <c r="D930" s="3" t="s">
        <v>16</v>
      </c>
      <c r="E930" s="3" t="s">
        <v>17</v>
      </c>
      <c r="F930" s="3" t="s">
        <v>62</v>
      </c>
      <c r="G930" s="3" t="s">
        <v>80</v>
      </c>
      <c r="H930" s="3" t="s">
        <v>81</v>
      </c>
      <c r="I930" s="5">
        <v>7072.12</v>
      </c>
      <c r="J930" s="4">
        <v>4</v>
      </c>
      <c r="K930" s="1">
        <v>25</v>
      </c>
      <c r="L930" s="4">
        <v>820.47</v>
      </c>
      <c r="M930" s="3" t="s">
        <v>28</v>
      </c>
      <c r="N930" s="3" t="s">
        <v>22</v>
      </c>
      <c r="O930" s="2" t="str">
        <f t="shared" si="70"/>
        <v>12-2024</v>
      </c>
      <c r="P930" t="str">
        <f t="shared" si="71"/>
        <v>2024</v>
      </c>
      <c r="Q930" s="6">
        <f t="shared" si="72"/>
        <v>0.11601471694484823</v>
      </c>
      <c r="R930" t="str">
        <f t="shared" si="73"/>
        <v>Profit</v>
      </c>
      <c r="S930" t="str">
        <f t="shared" si="74"/>
        <v>High (&gt;20%)</v>
      </c>
    </row>
    <row r="931" spans="1:19" x14ac:dyDescent="0.3">
      <c r="A931" s="3" t="s">
        <v>1011</v>
      </c>
      <c r="B931" s="2">
        <v>45728</v>
      </c>
      <c r="C931" s="3" t="s">
        <v>75</v>
      </c>
      <c r="D931" s="3" t="s">
        <v>16</v>
      </c>
      <c r="E931" s="3" t="s">
        <v>31</v>
      </c>
      <c r="F931" s="3" t="s">
        <v>62</v>
      </c>
      <c r="G931" s="3" t="s">
        <v>63</v>
      </c>
      <c r="H931" s="3" t="s">
        <v>64</v>
      </c>
      <c r="I931" s="5">
        <v>9693</v>
      </c>
      <c r="J931" s="4">
        <v>5</v>
      </c>
      <c r="K931" s="1">
        <v>15</v>
      </c>
      <c r="L931" s="4">
        <v>1697.4</v>
      </c>
      <c r="M931" s="3" t="s">
        <v>28</v>
      </c>
      <c r="N931" s="3" t="s">
        <v>40</v>
      </c>
      <c r="O931" s="2" t="str">
        <f t="shared" si="70"/>
        <v>03-2025</v>
      </c>
      <c r="P931" t="str">
        <f t="shared" si="71"/>
        <v>2025</v>
      </c>
      <c r="Q931" s="6">
        <f t="shared" si="72"/>
        <v>0.17511606313834727</v>
      </c>
      <c r="R931" t="str">
        <f t="shared" si="73"/>
        <v>Profit</v>
      </c>
      <c r="S931" t="str">
        <f t="shared" si="74"/>
        <v>Mid (11-20%)</v>
      </c>
    </row>
    <row r="932" spans="1:19" x14ac:dyDescent="0.3">
      <c r="A932" s="3" t="s">
        <v>1012</v>
      </c>
      <c r="B932" s="2">
        <v>45747</v>
      </c>
      <c r="C932" s="3" t="s">
        <v>50</v>
      </c>
      <c r="D932" s="3" t="s">
        <v>56</v>
      </c>
      <c r="E932" s="3" t="s">
        <v>61</v>
      </c>
      <c r="F932" s="3" t="s">
        <v>62</v>
      </c>
      <c r="G932" s="3" t="s">
        <v>63</v>
      </c>
      <c r="H932" s="3" t="s">
        <v>64</v>
      </c>
      <c r="I932" s="5">
        <v>1899.69</v>
      </c>
      <c r="J932" s="4">
        <v>3</v>
      </c>
      <c r="K932" s="1">
        <v>24</v>
      </c>
      <c r="L932" s="4">
        <v>213.32</v>
      </c>
      <c r="M932" s="3" t="s">
        <v>21</v>
      </c>
      <c r="N932" s="3" t="s">
        <v>35</v>
      </c>
      <c r="O932" s="2" t="str">
        <f t="shared" si="70"/>
        <v>03-2025</v>
      </c>
      <c r="P932" t="str">
        <f t="shared" si="71"/>
        <v>2025</v>
      </c>
      <c r="Q932" s="6">
        <f t="shared" si="72"/>
        <v>0.11229200553774563</v>
      </c>
      <c r="R932" t="str">
        <f t="shared" si="73"/>
        <v>Profit</v>
      </c>
      <c r="S932" t="str">
        <f t="shared" si="74"/>
        <v>High (&gt;20%)</v>
      </c>
    </row>
    <row r="933" spans="1:19" x14ac:dyDescent="0.3">
      <c r="A933" s="3" t="s">
        <v>1013</v>
      </c>
      <c r="B933" s="2">
        <v>45609</v>
      </c>
      <c r="C933" s="3" t="s">
        <v>66</v>
      </c>
      <c r="D933" s="3" t="s">
        <v>16</v>
      </c>
      <c r="E933" s="3" t="s">
        <v>31</v>
      </c>
      <c r="F933" s="3" t="s">
        <v>18</v>
      </c>
      <c r="G933" s="3" t="s">
        <v>94</v>
      </c>
      <c r="H933" s="3" t="s">
        <v>95</v>
      </c>
      <c r="I933" s="5">
        <v>1414.4</v>
      </c>
      <c r="J933" s="4">
        <v>10</v>
      </c>
      <c r="K933" s="1">
        <v>19</v>
      </c>
      <c r="L933" s="4">
        <v>155.97999999999999</v>
      </c>
      <c r="M933" s="3" t="s">
        <v>51</v>
      </c>
      <c r="N933" s="3" t="s">
        <v>40</v>
      </c>
      <c r="O933" s="2" t="str">
        <f t="shared" si="70"/>
        <v>11-2024</v>
      </c>
      <c r="P933" t="str">
        <f t="shared" si="71"/>
        <v>2024</v>
      </c>
      <c r="Q933" s="6">
        <f t="shared" si="72"/>
        <v>0.11027997737556559</v>
      </c>
      <c r="R933" t="str">
        <f t="shared" si="73"/>
        <v>Profit</v>
      </c>
      <c r="S933" t="str">
        <f t="shared" si="74"/>
        <v>Mid (11-20%)</v>
      </c>
    </row>
    <row r="934" spans="1:19" x14ac:dyDescent="0.3">
      <c r="A934" s="3" t="s">
        <v>1014</v>
      </c>
      <c r="B934" s="2">
        <v>45772</v>
      </c>
      <c r="C934" s="3" t="s">
        <v>66</v>
      </c>
      <c r="D934" s="3" t="s">
        <v>38</v>
      </c>
      <c r="E934" s="3" t="s">
        <v>43</v>
      </c>
      <c r="F934" s="3" t="s">
        <v>62</v>
      </c>
      <c r="G934" s="3" t="s">
        <v>67</v>
      </c>
      <c r="H934" s="3" t="s">
        <v>68</v>
      </c>
      <c r="I934" s="5">
        <v>9395.2800000000007</v>
      </c>
      <c r="J934" s="4">
        <v>6</v>
      </c>
      <c r="K934" s="1">
        <v>21</v>
      </c>
      <c r="L934" s="4">
        <v>756.37</v>
      </c>
      <c r="M934" s="3" t="s">
        <v>28</v>
      </c>
      <c r="N934" s="3" t="s">
        <v>35</v>
      </c>
      <c r="O934" s="2" t="str">
        <f t="shared" si="70"/>
        <v>04-2025</v>
      </c>
      <c r="P934" t="str">
        <f t="shared" si="71"/>
        <v>2025</v>
      </c>
      <c r="Q934" s="6">
        <f t="shared" si="72"/>
        <v>8.0505317563712833E-2</v>
      </c>
      <c r="R934" t="str">
        <f t="shared" si="73"/>
        <v>Profit</v>
      </c>
      <c r="S934" t="str">
        <f t="shared" si="74"/>
        <v>High (&gt;20%)</v>
      </c>
    </row>
    <row r="935" spans="1:19" x14ac:dyDescent="0.3">
      <c r="A935" s="3" t="s">
        <v>1015</v>
      </c>
      <c r="B935" s="2">
        <v>45663</v>
      </c>
      <c r="C935" s="3" t="s">
        <v>86</v>
      </c>
      <c r="D935" s="3" t="s">
        <v>56</v>
      </c>
      <c r="E935" s="3" t="s">
        <v>108</v>
      </c>
      <c r="F935" s="3" t="s">
        <v>18</v>
      </c>
      <c r="G935" s="3" t="s">
        <v>26</v>
      </c>
      <c r="H935" s="3" t="s">
        <v>27</v>
      </c>
      <c r="I935" s="5">
        <v>11818.26</v>
      </c>
      <c r="J935" s="4">
        <v>6</v>
      </c>
      <c r="K935" s="1">
        <v>15</v>
      </c>
      <c r="L935" s="4">
        <v>2022.04</v>
      </c>
      <c r="M935" s="3" t="s">
        <v>51</v>
      </c>
      <c r="N935" s="3" t="s">
        <v>44</v>
      </c>
      <c r="O935" s="2" t="str">
        <f t="shared" si="70"/>
        <v>01-2025</v>
      </c>
      <c r="P935" t="str">
        <f t="shared" si="71"/>
        <v>2025</v>
      </c>
      <c r="Q935" s="6">
        <f t="shared" si="72"/>
        <v>0.17109456045136931</v>
      </c>
      <c r="R935" t="str">
        <f t="shared" si="73"/>
        <v>Profit</v>
      </c>
      <c r="S935" t="str">
        <f t="shared" si="74"/>
        <v>Mid (11-20%)</v>
      </c>
    </row>
    <row r="936" spans="1:19" x14ac:dyDescent="0.3">
      <c r="A936" s="3" t="s">
        <v>1016</v>
      </c>
      <c r="B936" s="2">
        <v>45683</v>
      </c>
      <c r="C936" s="3" t="s">
        <v>42</v>
      </c>
      <c r="D936" s="3" t="s">
        <v>56</v>
      </c>
      <c r="E936" s="3" t="s">
        <v>57</v>
      </c>
      <c r="F936" s="3" t="s">
        <v>32</v>
      </c>
      <c r="G936" s="3" t="s">
        <v>58</v>
      </c>
      <c r="H936" s="3" t="s">
        <v>59</v>
      </c>
      <c r="I936" s="5">
        <v>4266.6000000000004</v>
      </c>
      <c r="J936" s="4">
        <v>6</v>
      </c>
      <c r="K936" s="1">
        <v>9</v>
      </c>
      <c r="L936" s="4">
        <v>216.06</v>
      </c>
      <c r="M936" s="3" t="s">
        <v>28</v>
      </c>
      <c r="N936" s="3" t="s">
        <v>35</v>
      </c>
      <c r="O936" s="2" t="str">
        <f t="shared" si="70"/>
        <v>01-2025</v>
      </c>
      <c r="P936" t="str">
        <f t="shared" si="71"/>
        <v>2025</v>
      </c>
      <c r="Q936" s="6">
        <f t="shared" si="72"/>
        <v>5.0639853747714805E-2</v>
      </c>
      <c r="R936" t="str">
        <f t="shared" si="73"/>
        <v>Profit</v>
      </c>
      <c r="S936" t="str">
        <f t="shared" si="74"/>
        <v>Low (1-10%)</v>
      </c>
    </row>
    <row r="937" spans="1:19" x14ac:dyDescent="0.3">
      <c r="A937" s="3" t="s">
        <v>1017</v>
      </c>
      <c r="B937" s="2">
        <v>45575</v>
      </c>
      <c r="C937" s="3" t="s">
        <v>24</v>
      </c>
      <c r="D937" s="3" t="s">
        <v>56</v>
      </c>
      <c r="E937" s="3" t="s">
        <v>108</v>
      </c>
      <c r="F937" s="3" t="s">
        <v>18</v>
      </c>
      <c r="G937" s="3" t="s">
        <v>76</v>
      </c>
      <c r="H937" s="3" t="s">
        <v>77</v>
      </c>
      <c r="I937" s="5">
        <v>915.78</v>
      </c>
      <c r="J937" s="4">
        <v>6</v>
      </c>
      <c r="K937" s="1">
        <v>29</v>
      </c>
      <c r="L937" s="4">
        <v>106.86</v>
      </c>
      <c r="M937" s="3" t="s">
        <v>21</v>
      </c>
      <c r="N937" s="3" t="s">
        <v>44</v>
      </c>
      <c r="O937" s="2" t="str">
        <f t="shared" si="70"/>
        <v>10-2024</v>
      </c>
      <c r="P937" t="str">
        <f t="shared" si="71"/>
        <v>2024</v>
      </c>
      <c r="Q937" s="6">
        <f t="shared" si="72"/>
        <v>0.11668741400773111</v>
      </c>
      <c r="R937" t="str">
        <f t="shared" si="73"/>
        <v>Profit</v>
      </c>
      <c r="S937" t="str">
        <f t="shared" si="74"/>
        <v>High (&gt;20%)</v>
      </c>
    </row>
    <row r="938" spans="1:19" x14ac:dyDescent="0.3">
      <c r="A938" s="3" t="s">
        <v>1018</v>
      </c>
      <c r="B938" s="2">
        <v>45446</v>
      </c>
      <c r="C938" s="3" t="s">
        <v>24</v>
      </c>
      <c r="D938" s="3" t="s">
        <v>56</v>
      </c>
      <c r="E938" s="3" t="s">
        <v>61</v>
      </c>
      <c r="F938" s="3" t="s">
        <v>62</v>
      </c>
      <c r="G938" s="3" t="s">
        <v>63</v>
      </c>
      <c r="H938" s="3" t="s">
        <v>64</v>
      </c>
      <c r="I938" s="5">
        <v>6302.55</v>
      </c>
      <c r="J938" s="4">
        <v>5</v>
      </c>
      <c r="K938" s="1">
        <v>22</v>
      </c>
      <c r="L938" s="4">
        <v>898.54</v>
      </c>
      <c r="M938" s="3" t="s">
        <v>51</v>
      </c>
      <c r="N938" s="3" t="s">
        <v>44</v>
      </c>
      <c r="O938" s="2" t="str">
        <f t="shared" si="70"/>
        <v>06-2024</v>
      </c>
      <c r="P938" t="str">
        <f t="shared" si="71"/>
        <v>2024</v>
      </c>
      <c r="Q938" s="6">
        <f t="shared" si="72"/>
        <v>0.14256769085528873</v>
      </c>
      <c r="R938" t="str">
        <f t="shared" si="73"/>
        <v>Profit</v>
      </c>
      <c r="S938" t="str">
        <f t="shared" si="74"/>
        <v>High (&gt;20%)</v>
      </c>
    </row>
    <row r="939" spans="1:19" x14ac:dyDescent="0.3">
      <c r="A939" s="3" t="s">
        <v>1019</v>
      </c>
      <c r="B939" s="2">
        <v>45659</v>
      </c>
      <c r="C939" s="3" t="s">
        <v>86</v>
      </c>
      <c r="D939" s="3" t="s">
        <v>56</v>
      </c>
      <c r="E939" s="3" t="s">
        <v>57</v>
      </c>
      <c r="F939" s="3" t="s">
        <v>18</v>
      </c>
      <c r="G939" s="3" t="s">
        <v>26</v>
      </c>
      <c r="H939" s="3" t="s">
        <v>27</v>
      </c>
      <c r="I939" s="5">
        <v>1547.52</v>
      </c>
      <c r="J939" s="4">
        <v>8</v>
      </c>
      <c r="K939" s="1">
        <v>1</v>
      </c>
      <c r="L939" s="4">
        <v>255.84</v>
      </c>
      <c r="M939" s="3" t="s">
        <v>28</v>
      </c>
      <c r="N939" s="3" t="s">
        <v>40</v>
      </c>
      <c r="O939" s="2" t="str">
        <f t="shared" si="70"/>
        <v>01-2025</v>
      </c>
      <c r="P939" t="str">
        <f t="shared" si="71"/>
        <v>2025</v>
      </c>
      <c r="Q939" s="6">
        <f t="shared" si="72"/>
        <v>0.16532258064516128</v>
      </c>
      <c r="R939" t="str">
        <f t="shared" si="73"/>
        <v>Profit</v>
      </c>
      <c r="S939" t="str">
        <f t="shared" si="74"/>
        <v>Low (1-10%)</v>
      </c>
    </row>
    <row r="940" spans="1:19" x14ac:dyDescent="0.3">
      <c r="A940" s="3" t="s">
        <v>1020</v>
      </c>
      <c r="B940" s="2">
        <v>45554</v>
      </c>
      <c r="C940" s="3" t="s">
        <v>50</v>
      </c>
      <c r="D940" s="3" t="s">
        <v>38</v>
      </c>
      <c r="E940" s="3" t="s">
        <v>39</v>
      </c>
      <c r="F940" s="3" t="s">
        <v>18</v>
      </c>
      <c r="G940" s="3" t="s">
        <v>26</v>
      </c>
      <c r="H940" s="3" t="s">
        <v>27</v>
      </c>
      <c r="I940" s="5">
        <v>2476.7199999999998</v>
      </c>
      <c r="J940" s="4">
        <v>8</v>
      </c>
      <c r="K940" s="1">
        <v>27</v>
      </c>
      <c r="L940" s="4">
        <v>158.77000000000001</v>
      </c>
      <c r="M940" s="3" t="s">
        <v>51</v>
      </c>
      <c r="N940" s="3" t="s">
        <v>22</v>
      </c>
      <c r="O940" s="2" t="str">
        <f t="shared" si="70"/>
        <v>09-2024</v>
      </c>
      <c r="P940" t="str">
        <f t="shared" si="71"/>
        <v>2024</v>
      </c>
      <c r="Q940" s="6">
        <f t="shared" si="72"/>
        <v>6.410494525016959E-2</v>
      </c>
      <c r="R940" t="str">
        <f t="shared" si="73"/>
        <v>Profit</v>
      </c>
      <c r="S940" t="str">
        <f t="shared" si="74"/>
        <v>High (&gt;20%)</v>
      </c>
    </row>
    <row r="941" spans="1:19" x14ac:dyDescent="0.3">
      <c r="A941" s="3" t="s">
        <v>1021</v>
      </c>
      <c r="B941" s="2">
        <v>45694</v>
      </c>
      <c r="C941" s="3" t="s">
        <v>30</v>
      </c>
      <c r="D941" s="3" t="s">
        <v>16</v>
      </c>
      <c r="E941" s="3" t="s">
        <v>25</v>
      </c>
      <c r="F941" s="3" t="s">
        <v>62</v>
      </c>
      <c r="G941" s="3" t="s">
        <v>67</v>
      </c>
      <c r="H941" s="3" t="s">
        <v>68</v>
      </c>
      <c r="I941" s="5">
        <v>3057.06</v>
      </c>
      <c r="J941" s="4">
        <v>6</v>
      </c>
      <c r="K941" s="1">
        <v>25</v>
      </c>
      <c r="L941" s="4">
        <v>125.21</v>
      </c>
      <c r="M941" s="3" t="s">
        <v>51</v>
      </c>
      <c r="N941" s="3" t="s">
        <v>44</v>
      </c>
      <c r="O941" s="2" t="str">
        <f t="shared" si="70"/>
        <v>02-2025</v>
      </c>
      <c r="P941" t="str">
        <f t="shared" si="71"/>
        <v>2025</v>
      </c>
      <c r="Q941" s="6">
        <f t="shared" si="72"/>
        <v>4.0957652123281847E-2</v>
      </c>
      <c r="R941" t="str">
        <f t="shared" si="73"/>
        <v>Profit</v>
      </c>
      <c r="S941" t="str">
        <f t="shared" si="74"/>
        <v>High (&gt;20%)</v>
      </c>
    </row>
    <row r="942" spans="1:19" x14ac:dyDescent="0.3">
      <c r="A942" s="3" t="s">
        <v>1022</v>
      </c>
      <c r="B942" s="2">
        <v>45732</v>
      </c>
      <c r="C942" s="3" t="s">
        <v>37</v>
      </c>
      <c r="D942" s="3" t="s">
        <v>38</v>
      </c>
      <c r="E942" s="3" t="s">
        <v>71</v>
      </c>
      <c r="F942" s="3" t="s">
        <v>32</v>
      </c>
      <c r="G942" s="3" t="s">
        <v>58</v>
      </c>
      <c r="H942" s="3" t="s">
        <v>59</v>
      </c>
      <c r="I942" s="5">
        <v>7195.05</v>
      </c>
      <c r="J942" s="4">
        <v>5</v>
      </c>
      <c r="K942" s="1">
        <v>24</v>
      </c>
      <c r="L942" s="4">
        <v>696.09</v>
      </c>
      <c r="M942" s="3" t="s">
        <v>21</v>
      </c>
      <c r="N942" s="3" t="s">
        <v>35</v>
      </c>
      <c r="O942" s="2" t="str">
        <f t="shared" si="70"/>
        <v>03-2025</v>
      </c>
      <c r="P942" t="str">
        <f t="shared" si="71"/>
        <v>2025</v>
      </c>
      <c r="Q942" s="6">
        <f t="shared" si="72"/>
        <v>9.6745679321199998E-2</v>
      </c>
      <c r="R942" t="str">
        <f t="shared" si="73"/>
        <v>Profit</v>
      </c>
      <c r="S942" t="str">
        <f t="shared" si="74"/>
        <v>High (&gt;20%)</v>
      </c>
    </row>
    <row r="943" spans="1:19" x14ac:dyDescent="0.3">
      <c r="A943" s="3" t="s">
        <v>1023</v>
      </c>
      <c r="B943" s="2">
        <v>45604</v>
      </c>
      <c r="C943" s="3" t="s">
        <v>101</v>
      </c>
      <c r="D943" s="3" t="s">
        <v>38</v>
      </c>
      <c r="E943" s="3" t="s">
        <v>39</v>
      </c>
      <c r="F943" s="3" t="s">
        <v>32</v>
      </c>
      <c r="G943" s="3" t="s">
        <v>112</v>
      </c>
      <c r="H943" s="3" t="s">
        <v>113</v>
      </c>
      <c r="I943" s="5">
        <v>1055.52</v>
      </c>
      <c r="J943" s="4">
        <v>2</v>
      </c>
      <c r="K943" s="1">
        <v>29</v>
      </c>
      <c r="L943" s="4">
        <v>76.08</v>
      </c>
      <c r="M943" s="3" t="s">
        <v>51</v>
      </c>
      <c r="N943" s="3" t="s">
        <v>35</v>
      </c>
      <c r="O943" s="2" t="str">
        <f t="shared" si="70"/>
        <v>11-2024</v>
      </c>
      <c r="P943" t="str">
        <f t="shared" si="71"/>
        <v>2024</v>
      </c>
      <c r="Q943" s="6">
        <f t="shared" si="72"/>
        <v>7.2078217371532513E-2</v>
      </c>
      <c r="R943" t="str">
        <f t="shared" si="73"/>
        <v>Profit</v>
      </c>
      <c r="S943" t="str">
        <f t="shared" si="74"/>
        <v>High (&gt;20%)</v>
      </c>
    </row>
    <row r="944" spans="1:19" x14ac:dyDescent="0.3">
      <c r="A944" s="3" t="s">
        <v>1024</v>
      </c>
      <c r="B944" s="2">
        <v>45641</v>
      </c>
      <c r="C944" s="3" t="s">
        <v>84</v>
      </c>
      <c r="D944" s="3" t="s">
        <v>16</v>
      </c>
      <c r="E944" s="3" t="s">
        <v>17</v>
      </c>
      <c r="F944" s="3" t="s">
        <v>18</v>
      </c>
      <c r="G944" s="3" t="s">
        <v>26</v>
      </c>
      <c r="H944" s="3" t="s">
        <v>27</v>
      </c>
      <c r="I944" s="5">
        <v>816.7</v>
      </c>
      <c r="J944" s="4">
        <v>2</v>
      </c>
      <c r="K944" s="1">
        <v>8</v>
      </c>
      <c r="L944" s="4">
        <v>139.36000000000001</v>
      </c>
      <c r="M944" s="3" t="s">
        <v>51</v>
      </c>
      <c r="N944" s="3" t="s">
        <v>44</v>
      </c>
      <c r="O944" s="2" t="str">
        <f t="shared" si="70"/>
        <v>12-2024</v>
      </c>
      <c r="P944" t="str">
        <f t="shared" si="71"/>
        <v>2024</v>
      </c>
      <c r="Q944" s="6">
        <f t="shared" si="72"/>
        <v>0.1706379331455859</v>
      </c>
      <c r="R944" t="str">
        <f t="shared" si="73"/>
        <v>Profit</v>
      </c>
      <c r="S944" t="str">
        <f t="shared" si="74"/>
        <v>Low (1-10%)</v>
      </c>
    </row>
    <row r="945" spans="1:19" x14ac:dyDescent="0.3">
      <c r="A945" s="3" t="s">
        <v>1025</v>
      </c>
      <c r="B945" s="2">
        <v>45485</v>
      </c>
      <c r="C945" s="3" t="s">
        <v>30</v>
      </c>
      <c r="D945" s="3" t="s">
        <v>56</v>
      </c>
      <c r="E945" s="3" t="s">
        <v>61</v>
      </c>
      <c r="F945" s="3" t="s">
        <v>18</v>
      </c>
      <c r="G945" s="3" t="s">
        <v>26</v>
      </c>
      <c r="H945" s="3" t="s">
        <v>27</v>
      </c>
      <c r="I945" s="5">
        <v>2143.1999999999998</v>
      </c>
      <c r="J945" s="4">
        <v>2</v>
      </c>
      <c r="K945" s="1">
        <v>17</v>
      </c>
      <c r="L945" s="4">
        <v>402.86</v>
      </c>
      <c r="M945" s="3" t="s">
        <v>51</v>
      </c>
      <c r="N945" s="3" t="s">
        <v>44</v>
      </c>
      <c r="O945" s="2" t="str">
        <f t="shared" si="70"/>
        <v>07-2024</v>
      </c>
      <c r="P945" t="str">
        <f t="shared" si="71"/>
        <v>2024</v>
      </c>
      <c r="Q945" s="6">
        <f t="shared" si="72"/>
        <v>0.18797125793206423</v>
      </c>
      <c r="R945" t="str">
        <f t="shared" si="73"/>
        <v>Profit</v>
      </c>
      <c r="S945" t="str">
        <f t="shared" si="74"/>
        <v>Mid (11-20%)</v>
      </c>
    </row>
    <row r="946" spans="1:19" x14ac:dyDescent="0.3">
      <c r="A946" s="3" t="s">
        <v>1026</v>
      </c>
      <c r="B946" s="2">
        <v>45623</v>
      </c>
      <c r="C946" s="3" t="s">
        <v>99</v>
      </c>
      <c r="D946" s="3" t="s">
        <v>89</v>
      </c>
      <c r="E946" s="3" t="s">
        <v>90</v>
      </c>
      <c r="F946" s="3" t="s">
        <v>62</v>
      </c>
      <c r="G946" s="3" t="s">
        <v>67</v>
      </c>
      <c r="H946" s="3" t="s">
        <v>68</v>
      </c>
      <c r="I946" s="5">
        <v>5907.3</v>
      </c>
      <c r="J946" s="4">
        <v>6</v>
      </c>
      <c r="K946" s="1">
        <v>25</v>
      </c>
      <c r="L946" s="4">
        <v>679.56</v>
      </c>
      <c r="M946" s="3" t="s">
        <v>28</v>
      </c>
      <c r="N946" s="3" t="s">
        <v>22</v>
      </c>
      <c r="O946" s="2" t="str">
        <f t="shared" si="70"/>
        <v>11-2024</v>
      </c>
      <c r="P946" t="str">
        <f t="shared" si="71"/>
        <v>2024</v>
      </c>
      <c r="Q946" s="6">
        <f t="shared" si="72"/>
        <v>0.11503732669747599</v>
      </c>
      <c r="R946" t="str">
        <f t="shared" si="73"/>
        <v>Profit</v>
      </c>
      <c r="S946" t="str">
        <f t="shared" si="74"/>
        <v>High (&gt;20%)</v>
      </c>
    </row>
    <row r="947" spans="1:19" x14ac:dyDescent="0.3">
      <c r="A947" s="3" t="s">
        <v>1027</v>
      </c>
      <c r="B947" s="2">
        <v>45701</v>
      </c>
      <c r="C947" s="3" t="s">
        <v>50</v>
      </c>
      <c r="D947" s="3" t="s">
        <v>89</v>
      </c>
      <c r="E947" s="3" t="s">
        <v>97</v>
      </c>
      <c r="F947" s="3" t="s">
        <v>18</v>
      </c>
      <c r="G947" s="3" t="s">
        <v>76</v>
      </c>
      <c r="H947" s="3" t="s">
        <v>77</v>
      </c>
      <c r="I947" s="5">
        <v>15049.6</v>
      </c>
      <c r="J947" s="4">
        <v>8</v>
      </c>
      <c r="K947" s="1">
        <v>17</v>
      </c>
      <c r="L947" s="4">
        <v>2191.15</v>
      </c>
      <c r="M947" s="3" t="s">
        <v>21</v>
      </c>
      <c r="N947" s="3" t="s">
        <v>22</v>
      </c>
      <c r="O947" s="2" t="str">
        <f t="shared" si="70"/>
        <v>02-2025</v>
      </c>
      <c r="P947" t="str">
        <f t="shared" si="71"/>
        <v>2025</v>
      </c>
      <c r="Q947" s="6">
        <f t="shared" si="72"/>
        <v>0.14559523176695727</v>
      </c>
      <c r="R947" t="str">
        <f t="shared" si="73"/>
        <v>Profit</v>
      </c>
      <c r="S947" t="str">
        <f t="shared" si="74"/>
        <v>Mid (11-20%)</v>
      </c>
    </row>
    <row r="948" spans="1:19" x14ac:dyDescent="0.3">
      <c r="A948" s="3" t="s">
        <v>1028</v>
      </c>
      <c r="B948" s="2">
        <v>45528</v>
      </c>
      <c r="C948" s="3" t="s">
        <v>73</v>
      </c>
      <c r="D948" s="3" t="s">
        <v>38</v>
      </c>
      <c r="E948" s="3" t="s">
        <v>53</v>
      </c>
      <c r="F948" s="3" t="s">
        <v>62</v>
      </c>
      <c r="G948" s="3" t="s">
        <v>63</v>
      </c>
      <c r="H948" s="3" t="s">
        <v>64</v>
      </c>
      <c r="I948" s="5">
        <v>7326.45</v>
      </c>
      <c r="J948" s="4">
        <v>5</v>
      </c>
      <c r="K948" s="1">
        <v>13</v>
      </c>
      <c r="L948" s="4">
        <v>465.92</v>
      </c>
      <c r="M948" s="3" t="s">
        <v>51</v>
      </c>
      <c r="N948" s="3" t="s">
        <v>44</v>
      </c>
      <c r="O948" s="2" t="str">
        <f t="shared" si="70"/>
        <v>08-2024</v>
      </c>
      <c r="P948" t="str">
        <f t="shared" si="71"/>
        <v>2024</v>
      </c>
      <c r="Q948" s="6">
        <f t="shared" si="72"/>
        <v>6.3594237318210053E-2</v>
      </c>
      <c r="R948" t="str">
        <f t="shared" si="73"/>
        <v>Profit</v>
      </c>
      <c r="S948" t="str">
        <f t="shared" si="74"/>
        <v>Mid (11-20%)</v>
      </c>
    </row>
    <row r="949" spans="1:19" x14ac:dyDescent="0.3">
      <c r="A949" s="3" t="s">
        <v>1029</v>
      </c>
      <c r="B949" s="2">
        <v>45426</v>
      </c>
      <c r="C949" s="3" t="s">
        <v>66</v>
      </c>
      <c r="D949" s="3" t="s">
        <v>56</v>
      </c>
      <c r="E949" s="3" t="s">
        <v>108</v>
      </c>
      <c r="F949" s="3" t="s">
        <v>32</v>
      </c>
      <c r="G949" s="3" t="s">
        <v>33</v>
      </c>
      <c r="H949" s="3" t="s">
        <v>34</v>
      </c>
      <c r="I949" s="5">
        <v>11029.69</v>
      </c>
      <c r="J949" s="4">
        <v>7</v>
      </c>
      <c r="K949" s="1">
        <v>25</v>
      </c>
      <c r="L949" s="4">
        <v>1383.81</v>
      </c>
      <c r="M949" s="3" t="s">
        <v>51</v>
      </c>
      <c r="N949" s="3" t="s">
        <v>40</v>
      </c>
      <c r="O949" s="2" t="str">
        <f t="shared" si="70"/>
        <v>05-2024</v>
      </c>
      <c r="P949" t="str">
        <f t="shared" si="71"/>
        <v>2024</v>
      </c>
      <c r="Q949" s="6">
        <f t="shared" si="72"/>
        <v>0.1254622750050092</v>
      </c>
      <c r="R949" t="str">
        <f t="shared" si="73"/>
        <v>Profit</v>
      </c>
      <c r="S949" t="str">
        <f t="shared" si="74"/>
        <v>High (&gt;20%)</v>
      </c>
    </row>
    <row r="950" spans="1:19" x14ac:dyDescent="0.3">
      <c r="A950" s="3" t="s">
        <v>1030</v>
      </c>
      <c r="B950" s="2">
        <v>45694</v>
      </c>
      <c r="C950" s="3" t="s">
        <v>15</v>
      </c>
      <c r="D950" s="3" t="s">
        <v>16</v>
      </c>
      <c r="E950" s="3" t="s">
        <v>31</v>
      </c>
      <c r="F950" s="3" t="s">
        <v>32</v>
      </c>
      <c r="G950" s="3" t="s">
        <v>33</v>
      </c>
      <c r="H950" s="3" t="s">
        <v>34</v>
      </c>
      <c r="I950" s="5">
        <v>13069</v>
      </c>
      <c r="J950" s="4">
        <v>10</v>
      </c>
      <c r="K950" s="1">
        <v>29</v>
      </c>
      <c r="L950" s="4">
        <v>924</v>
      </c>
      <c r="M950" s="3" t="s">
        <v>51</v>
      </c>
      <c r="N950" s="3" t="s">
        <v>40</v>
      </c>
      <c r="O950" s="2" t="str">
        <f t="shared" si="70"/>
        <v>02-2025</v>
      </c>
      <c r="P950" t="str">
        <f t="shared" si="71"/>
        <v>2025</v>
      </c>
      <c r="Q950" s="6">
        <f t="shared" si="72"/>
        <v>7.0701660417782544E-2</v>
      </c>
      <c r="R950" t="str">
        <f t="shared" si="73"/>
        <v>Profit</v>
      </c>
      <c r="S950" t="str">
        <f t="shared" si="74"/>
        <v>High (&gt;20%)</v>
      </c>
    </row>
    <row r="951" spans="1:19" x14ac:dyDescent="0.3">
      <c r="A951" s="3" t="s">
        <v>1031</v>
      </c>
      <c r="B951" s="2">
        <v>45458</v>
      </c>
      <c r="C951" s="3" t="s">
        <v>86</v>
      </c>
      <c r="D951" s="3" t="s">
        <v>16</v>
      </c>
      <c r="E951" s="3" t="s">
        <v>17</v>
      </c>
      <c r="F951" s="3" t="s">
        <v>32</v>
      </c>
      <c r="G951" s="3" t="s">
        <v>33</v>
      </c>
      <c r="H951" s="3" t="s">
        <v>34</v>
      </c>
      <c r="I951" s="5">
        <v>2964.12</v>
      </c>
      <c r="J951" s="4">
        <v>6</v>
      </c>
      <c r="K951" s="1">
        <v>6</v>
      </c>
      <c r="L951" s="4">
        <v>629.6</v>
      </c>
      <c r="M951" s="3" t="s">
        <v>28</v>
      </c>
      <c r="N951" s="3" t="s">
        <v>22</v>
      </c>
      <c r="O951" s="2" t="str">
        <f t="shared" si="70"/>
        <v>06-2024</v>
      </c>
      <c r="P951" t="str">
        <f t="shared" si="71"/>
        <v>2024</v>
      </c>
      <c r="Q951" s="6">
        <f t="shared" si="72"/>
        <v>0.21240705504500493</v>
      </c>
      <c r="R951" t="str">
        <f t="shared" si="73"/>
        <v>Profit</v>
      </c>
      <c r="S951" t="str">
        <f t="shared" si="74"/>
        <v>Low (1-10%)</v>
      </c>
    </row>
    <row r="952" spans="1:19" x14ac:dyDescent="0.3">
      <c r="A952" s="3" t="s">
        <v>1032</v>
      </c>
      <c r="B952" s="2">
        <v>45706</v>
      </c>
      <c r="C952" s="3" t="s">
        <v>15</v>
      </c>
      <c r="D952" s="3" t="s">
        <v>89</v>
      </c>
      <c r="E952" s="3" t="s">
        <v>97</v>
      </c>
      <c r="F952" s="3" t="s">
        <v>32</v>
      </c>
      <c r="G952" s="3" t="s">
        <v>112</v>
      </c>
      <c r="H952" s="3" t="s">
        <v>113</v>
      </c>
      <c r="I952" s="5">
        <v>6357.82</v>
      </c>
      <c r="J952" s="4">
        <v>7</v>
      </c>
      <c r="K952" s="1">
        <v>18</v>
      </c>
      <c r="L952" s="4">
        <v>1178.2</v>
      </c>
      <c r="M952" s="3" t="s">
        <v>51</v>
      </c>
      <c r="N952" s="3" t="s">
        <v>40</v>
      </c>
      <c r="O952" s="2" t="str">
        <f t="shared" si="70"/>
        <v>02-2025</v>
      </c>
      <c r="P952" t="str">
        <f t="shared" si="71"/>
        <v>2025</v>
      </c>
      <c r="Q952" s="6">
        <f t="shared" si="72"/>
        <v>0.18531509228005827</v>
      </c>
      <c r="R952" t="str">
        <f t="shared" si="73"/>
        <v>Profit</v>
      </c>
      <c r="S952" t="str">
        <f t="shared" si="74"/>
        <v>Mid (11-20%)</v>
      </c>
    </row>
    <row r="953" spans="1:19" x14ac:dyDescent="0.3">
      <c r="A953" s="3" t="s">
        <v>1033</v>
      </c>
      <c r="B953" s="2">
        <v>45577</v>
      </c>
      <c r="C953" s="3" t="s">
        <v>84</v>
      </c>
      <c r="D953" s="3" t="s">
        <v>16</v>
      </c>
      <c r="E953" s="3" t="s">
        <v>31</v>
      </c>
      <c r="F953" s="3" t="s">
        <v>32</v>
      </c>
      <c r="G953" s="3" t="s">
        <v>58</v>
      </c>
      <c r="H953" s="3" t="s">
        <v>59</v>
      </c>
      <c r="I953" s="5">
        <v>3449.2</v>
      </c>
      <c r="J953" s="4">
        <v>8</v>
      </c>
      <c r="K953" s="1">
        <v>0</v>
      </c>
      <c r="L953" s="4">
        <v>516.08000000000004</v>
      </c>
      <c r="M953" s="3" t="s">
        <v>21</v>
      </c>
      <c r="N953" s="3" t="s">
        <v>22</v>
      </c>
      <c r="O953" s="2" t="str">
        <f t="shared" si="70"/>
        <v>10-2024</v>
      </c>
      <c r="P953" t="str">
        <f t="shared" si="71"/>
        <v>2024</v>
      </c>
      <c r="Q953" s="6">
        <f t="shared" si="72"/>
        <v>0.14962310100892962</v>
      </c>
      <c r="R953" t="str">
        <f t="shared" si="73"/>
        <v>Profit</v>
      </c>
      <c r="S953" t="str">
        <f t="shared" si="74"/>
        <v>No Discount</v>
      </c>
    </row>
    <row r="954" spans="1:19" x14ac:dyDescent="0.3">
      <c r="A954" s="3" t="s">
        <v>1034</v>
      </c>
      <c r="B954" s="2">
        <v>45584</v>
      </c>
      <c r="C954" s="3" t="s">
        <v>86</v>
      </c>
      <c r="D954" s="3" t="s">
        <v>89</v>
      </c>
      <c r="E954" s="3" t="s">
        <v>97</v>
      </c>
      <c r="F954" s="3" t="s">
        <v>18</v>
      </c>
      <c r="G954" s="3" t="s">
        <v>26</v>
      </c>
      <c r="H954" s="3" t="s">
        <v>27</v>
      </c>
      <c r="I954" s="5">
        <v>12608.1</v>
      </c>
      <c r="J954" s="4">
        <v>10</v>
      </c>
      <c r="K954" s="1">
        <v>22</v>
      </c>
      <c r="L954" s="4">
        <v>824.91</v>
      </c>
      <c r="M954" s="3" t="s">
        <v>21</v>
      </c>
      <c r="N954" s="3" t="s">
        <v>40</v>
      </c>
      <c r="O954" s="2" t="str">
        <f t="shared" si="70"/>
        <v>10-2024</v>
      </c>
      <c r="P954" t="str">
        <f t="shared" si="71"/>
        <v>2024</v>
      </c>
      <c r="Q954" s="6">
        <f t="shared" si="72"/>
        <v>6.5426987412853632E-2</v>
      </c>
      <c r="R954" t="str">
        <f t="shared" si="73"/>
        <v>Profit</v>
      </c>
      <c r="S954" t="str">
        <f t="shared" si="74"/>
        <v>High (&gt;20%)</v>
      </c>
    </row>
    <row r="955" spans="1:19" x14ac:dyDescent="0.3">
      <c r="A955" s="3" t="s">
        <v>1035</v>
      </c>
      <c r="B955" s="2">
        <v>45614</v>
      </c>
      <c r="C955" s="3" t="s">
        <v>66</v>
      </c>
      <c r="D955" s="3" t="s">
        <v>89</v>
      </c>
      <c r="E955" s="3" t="s">
        <v>116</v>
      </c>
      <c r="F955" s="3" t="s">
        <v>62</v>
      </c>
      <c r="G955" s="3" t="s">
        <v>67</v>
      </c>
      <c r="H955" s="3" t="s">
        <v>68</v>
      </c>
      <c r="I955" s="5">
        <v>11058.57</v>
      </c>
      <c r="J955" s="4">
        <v>9</v>
      </c>
      <c r="K955" s="1">
        <v>16</v>
      </c>
      <c r="L955" s="4">
        <v>1283.49</v>
      </c>
      <c r="M955" s="3" t="s">
        <v>51</v>
      </c>
      <c r="N955" s="3" t="s">
        <v>22</v>
      </c>
      <c r="O955" s="2" t="str">
        <f t="shared" si="70"/>
        <v>11-2024</v>
      </c>
      <c r="P955" t="str">
        <f t="shared" si="71"/>
        <v>2024</v>
      </c>
      <c r="Q955" s="6">
        <f t="shared" si="72"/>
        <v>0.11606292676177843</v>
      </c>
      <c r="R955" t="str">
        <f t="shared" si="73"/>
        <v>Profit</v>
      </c>
      <c r="S955" t="str">
        <f t="shared" si="74"/>
        <v>Mid (11-20%)</v>
      </c>
    </row>
    <row r="956" spans="1:19" x14ac:dyDescent="0.3">
      <c r="A956" s="3" t="s">
        <v>1036</v>
      </c>
      <c r="B956" s="2">
        <v>45768</v>
      </c>
      <c r="C956" s="3" t="s">
        <v>86</v>
      </c>
      <c r="D956" s="3" t="s">
        <v>38</v>
      </c>
      <c r="E956" s="3" t="s">
        <v>39</v>
      </c>
      <c r="F956" s="3" t="s">
        <v>62</v>
      </c>
      <c r="G956" s="3" t="s">
        <v>80</v>
      </c>
      <c r="H956" s="3" t="s">
        <v>81</v>
      </c>
      <c r="I956" s="5">
        <v>4401.3599999999997</v>
      </c>
      <c r="J956" s="4">
        <v>6</v>
      </c>
      <c r="K956" s="1">
        <v>11</v>
      </c>
      <c r="L956" s="4">
        <v>731.96</v>
      </c>
      <c r="M956" s="3" t="s">
        <v>51</v>
      </c>
      <c r="N956" s="3" t="s">
        <v>22</v>
      </c>
      <c r="O956" s="2" t="str">
        <f t="shared" si="70"/>
        <v>04-2025</v>
      </c>
      <c r="P956" t="str">
        <f t="shared" si="71"/>
        <v>2025</v>
      </c>
      <c r="Q956" s="6">
        <f t="shared" si="72"/>
        <v>0.16630314266499446</v>
      </c>
      <c r="R956" t="str">
        <f t="shared" si="73"/>
        <v>Profit</v>
      </c>
      <c r="S956" t="str">
        <f t="shared" si="74"/>
        <v>Mid (11-20%)</v>
      </c>
    </row>
    <row r="957" spans="1:19" x14ac:dyDescent="0.3">
      <c r="A957" s="3" t="s">
        <v>1037</v>
      </c>
      <c r="B957" s="2">
        <v>45524</v>
      </c>
      <c r="C957" s="3" t="s">
        <v>99</v>
      </c>
      <c r="D957" s="3" t="s">
        <v>89</v>
      </c>
      <c r="E957" s="3" t="s">
        <v>97</v>
      </c>
      <c r="F957" s="3" t="s">
        <v>18</v>
      </c>
      <c r="G957" s="3" t="s">
        <v>19</v>
      </c>
      <c r="H957" s="3" t="s">
        <v>20</v>
      </c>
      <c r="I957" s="5">
        <v>662.7</v>
      </c>
      <c r="J957" s="4">
        <v>1</v>
      </c>
      <c r="K957" s="1">
        <v>24</v>
      </c>
      <c r="L957" s="4">
        <v>31.44</v>
      </c>
      <c r="M957" s="3" t="s">
        <v>28</v>
      </c>
      <c r="N957" s="3" t="s">
        <v>44</v>
      </c>
      <c r="O957" s="2" t="str">
        <f t="shared" si="70"/>
        <v>08-2024</v>
      </c>
      <c r="P957" t="str">
        <f t="shared" si="71"/>
        <v>2024</v>
      </c>
      <c r="Q957" s="6">
        <f t="shared" si="72"/>
        <v>4.7442281575373474E-2</v>
      </c>
      <c r="R957" t="str">
        <f t="shared" si="73"/>
        <v>Profit</v>
      </c>
      <c r="S957" t="str">
        <f t="shared" si="74"/>
        <v>High (&gt;20%)</v>
      </c>
    </row>
    <row r="958" spans="1:19" x14ac:dyDescent="0.3">
      <c r="A958" s="3" t="s">
        <v>1038</v>
      </c>
      <c r="B958" s="2">
        <v>45673</v>
      </c>
      <c r="C958" s="3" t="s">
        <v>66</v>
      </c>
      <c r="D958" s="3" t="s">
        <v>16</v>
      </c>
      <c r="E958" s="3" t="s">
        <v>25</v>
      </c>
      <c r="F958" s="3" t="s">
        <v>62</v>
      </c>
      <c r="G958" s="3" t="s">
        <v>80</v>
      </c>
      <c r="H958" s="3" t="s">
        <v>81</v>
      </c>
      <c r="I958" s="5">
        <v>2628.4</v>
      </c>
      <c r="J958" s="4">
        <v>8</v>
      </c>
      <c r="K958" s="1">
        <v>29</v>
      </c>
      <c r="L958" s="4">
        <v>316.01</v>
      </c>
      <c r="M958" s="3" t="s">
        <v>21</v>
      </c>
      <c r="N958" s="3" t="s">
        <v>44</v>
      </c>
      <c r="O958" s="2" t="str">
        <f t="shared" si="70"/>
        <v>01-2025</v>
      </c>
      <c r="P958" t="str">
        <f t="shared" si="71"/>
        <v>2025</v>
      </c>
      <c r="Q958" s="6">
        <f t="shared" si="72"/>
        <v>0.12022903667630497</v>
      </c>
      <c r="R958" t="str">
        <f t="shared" si="73"/>
        <v>Profit</v>
      </c>
      <c r="S958" t="str">
        <f t="shared" si="74"/>
        <v>High (&gt;20%)</v>
      </c>
    </row>
    <row r="959" spans="1:19" x14ac:dyDescent="0.3">
      <c r="A959" s="3" t="s">
        <v>1039</v>
      </c>
      <c r="B959" s="2">
        <v>45765</v>
      </c>
      <c r="C959" s="3" t="s">
        <v>86</v>
      </c>
      <c r="D959" s="3" t="s">
        <v>38</v>
      </c>
      <c r="E959" s="3" t="s">
        <v>43</v>
      </c>
      <c r="F959" s="3" t="s">
        <v>62</v>
      </c>
      <c r="G959" s="3" t="s">
        <v>80</v>
      </c>
      <c r="H959" s="3" t="s">
        <v>81</v>
      </c>
      <c r="I959" s="5">
        <v>15521.58</v>
      </c>
      <c r="J959" s="4">
        <v>9</v>
      </c>
      <c r="K959" s="1">
        <v>17</v>
      </c>
      <c r="L959" s="4">
        <v>1185.3800000000001</v>
      </c>
      <c r="M959" s="3" t="s">
        <v>21</v>
      </c>
      <c r="N959" s="3" t="s">
        <v>44</v>
      </c>
      <c r="O959" s="2" t="str">
        <f t="shared" si="70"/>
        <v>04-2025</v>
      </c>
      <c r="P959" t="str">
        <f t="shared" si="71"/>
        <v>2025</v>
      </c>
      <c r="Q959" s="6">
        <f t="shared" si="72"/>
        <v>7.6369802558760136E-2</v>
      </c>
      <c r="R959" t="str">
        <f t="shared" si="73"/>
        <v>Profit</v>
      </c>
      <c r="S959" t="str">
        <f t="shared" si="74"/>
        <v>Mid (11-20%)</v>
      </c>
    </row>
    <row r="960" spans="1:19" x14ac:dyDescent="0.3">
      <c r="A960" s="3" t="s">
        <v>1040</v>
      </c>
      <c r="B960" s="2">
        <v>45490</v>
      </c>
      <c r="C960" s="3" t="s">
        <v>42</v>
      </c>
      <c r="D960" s="3" t="s">
        <v>16</v>
      </c>
      <c r="E960" s="3" t="s">
        <v>25</v>
      </c>
      <c r="F960" s="3" t="s">
        <v>32</v>
      </c>
      <c r="G960" s="3" t="s">
        <v>47</v>
      </c>
      <c r="H960" s="3" t="s">
        <v>48</v>
      </c>
      <c r="I960" s="5">
        <v>3120.86</v>
      </c>
      <c r="J960" s="4">
        <v>2</v>
      </c>
      <c r="K960" s="1">
        <v>20</v>
      </c>
      <c r="L960" s="4">
        <v>316.36</v>
      </c>
      <c r="M960" s="3" t="s">
        <v>51</v>
      </c>
      <c r="N960" s="3" t="s">
        <v>35</v>
      </c>
      <c r="O960" s="2" t="str">
        <f t="shared" si="70"/>
        <v>07-2024</v>
      </c>
      <c r="P960" t="str">
        <f t="shared" si="71"/>
        <v>2024</v>
      </c>
      <c r="Q960" s="6">
        <f t="shared" si="72"/>
        <v>0.10136949430605667</v>
      </c>
      <c r="R960" t="str">
        <f t="shared" si="73"/>
        <v>Profit</v>
      </c>
      <c r="S960" t="str">
        <f t="shared" si="74"/>
        <v>Mid (11-20%)</v>
      </c>
    </row>
    <row r="961" spans="1:19" x14ac:dyDescent="0.3">
      <c r="A961" s="3" t="s">
        <v>1041</v>
      </c>
      <c r="B961" s="2">
        <v>45453</v>
      </c>
      <c r="C961" s="3" t="s">
        <v>30</v>
      </c>
      <c r="D961" s="3" t="s">
        <v>16</v>
      </c>
      <c r="E961" s="3" t="s">
        <v>31</v>
      </c>
      <c r="F961" s="3" t="s">
        <v>32</v>
      </c>
      <c r="G961" s="3" t="s">
        <v>47</v>
      </c>
      <c r="H961" s="3" t="s">
        <v>48</v>
      </c>
      <c r="I961" s="5">
        <v>984.42</v>
      </c>
      <c r="J961" s="4">
        <v>6</v>
      </c>
      <c r="K961" s="1">
        <v>26</v>
      </c>
      <c r="L961" s="4">
        <v>42.99</v>
      </c>
      <c r="M961" s="3" t="s">
        <v>28</v>
      </c>
      <c r="N961" s="3" t="s">
        <v>40</v>
      </c>
      <c r="O961" s="2" t="str">
        <f t="shared" si="70"/>
        <v>06-2024</v>
      </c>
      <c r="P961" t="str">
        <f t="shared" si="71"/>
        <v>2024</v>
      </c>
      <c r="Q961" s="6">
        <f t="shared" si="72"/>
        <v>4.3670384591942467E-2</v>
      </c>
      <c r="R961" t="str">
        <f t="shared" si="73"/>
        <v>Profit</v>
      </c>
      <c r="S961" t="str">
        <f t="shared" si="74"/>
        <v>High (&gt;20%)</v>
      </c>
    </row>
    <row r="962" spans="1:19" x14ac:dyDescent="0.3">
      <c r="A962" s="3" t="s">
        <v>1042</v>
      </c>
      <c r="B962" s="2">
        <v>45599</v>
      </c>
      <c r="C962" s="3" t="s">
        <v>15</v>
      </c>
      <c r="D962" s="3" t="s">
        <v>56</v>
      </c>
      <c r="E962" s="3" t="s">
        <v>61</v>
      </c>
      <c r="F962" s="3" t="s">
        <v>32</v>
      </c>
      <c r="G962" s="3" t="s">
        <v>47</v>
      </c>
      <c r="H962" s="3" t="s">
        <v>48</v>
      </c>
      <c r="I962" s="5">
        <v>18866.7</v>
      </c>
      <c r="J962" s="4">
        <v>10</v>
      </c>
      <c r="K962" s="1">
        <v>21</v>
      </c>
      <c r="L962" s="4">
        <v>983.54</v>
      </c>
      <c r="M962" s="3" t="s">
        <v>21</v>
      </c>
      <c r="N962" s="3" t="s">
        <v>22</v>
      </c>
      <c r="O962" s="2" t="str">
        <f t="shared" ref="O962:O1001" si="75" xml:space="preserve"> TEXT(B962,"MM-YYYY")</f>
        <v>11-2024</v>
      </c>
      <c r="P962" t="str">
        <f t="shared" ref="P962:P1001" si="76">TEXT(B962,"YYYY")</f>
        <v>2024</v>
      </c>
      <c r="Q962" s="6">
        <f t="shared" ref="Q962:Q1001" si="77">IFERROR(L962/I962,0)</f>
        <v>5.2131003302114301E-2</v>
      </c>
      <c r="R962" t="str">
        <f t="shared" ref="R962:R1001" si="78">IF(L962&gt;0,"Profit","Loss")</f>
        <v>Profit</v>
      </c>
      <c r="S962" t="str">
        <f t="shared" ref="S962:S1001" si="79">IF(K962=0,"No Discount",IF(K962&lt;=10,"Low (1-10%)",IF(K962&lt;=20,"Mid (11-20%)","High (&gt;20%)")))</f>
        <v>High (&gt;20%)</v>
      </c>
    </row>
    <row r="963" spans="1:19" x14ac:dyDescent="0.3">
      <c r="A963" s="3" t="s">
        <v>1043</v>
      </c>
      <c r="B963" s="2">
        <v>45716</v>
      </c>
      <c r="C963" s="3" t="s">
        <v>101</v>
      </c>
      <c r="D963" s="3" t="s">
        <v>56</v>
      </c>
      <c r="E963" s="3" t="s">
        <v>61</v>
      </c>
      <c r="F963" s="3" t="s">
        <v>62</v>
      </c>
      <c r="G963" s="3" t="s">
        <v>80</v>
      </c>
      <c r="H963" s="3" t="s">
        <v>81</v>
      </c>
      <c r="I963" s="5">
        <v>11023.81</v>
      </c>
      <c r="J963" s="4">
        <v>7</v>
      </c>
      <c r="K963" s="1">
        <v>7.0000000000000009</v>
      </c>
      <c r="L963" s="4">
        <v>1428.42</v>
      </c>
      <c r="M963" s="3" t="s">
        <v>28</v>
      </c>
      <c r="N963" s="3" t="s">
        <v>22</v>
      </c>
      <c r="O963" s="2" t="str">
        <f t="shared" si="75"/>
        <v>02-2025</v>
      </c>
      <c r="P963" t="str">
        <f t="shared" si="76"/>
        <v>2025</v>
      </c>
      <c r="Q963" s="6">
        <f t="shared" si="77"/>
        <v>0.12957589073106304</v>
      </c>
      <c r="R963" t="str">
        <f t="shared" si="78"/>
        <v>Profit</v>
      </c>
      <c r="S963" t="str">
        <f t="shared" si="79"/>
        <v>Low (1-10%)</v>
      </c>
    </row>
    <row r="964" spans="1:19" x14ac:dyDescent="0.3">
      <c r="A964" s="3" t="s">
        <v>1044</v>
      </c>
      <c r="B964" s="2">
        <v>45632</v>
      </c>
      <c r="C964" s="3" t="s">
        <v>37</v>
      </c>
      <c r="D964" s="3" t="s">
        <v>16</v>
      </c>
      <c r="E964" s="3" t="s">
        <v>17</v>
      </c>
      <c r="F964" s="3" t="s">
        <v>62</v>
      </c>
      <c r="G964" s="3" t="s">
        <v>63</v>
      </c>
      <c r="H964" s="3" t="s">
        <v>64</v>
      </c>
      <c r="I964" s="5">
        <v>16957.53</v>
      </c>
      <c r="J964" s="4">
        <v>9</v>
      </c>
      <c r="K964" s="1">
        <v>8</v>
      </c>
      <c r="L964" s="4">
        <v>927.62</v>
      </c>
      <c r="M964" s="3" t="s">
        <v>21</v>
      </c>
      <c r="N964" s="3" t="s">
        <v>44</v>
      </c>
      <c r="O964" s="2" t="str">
        <f t="shared" si="75"/>
        <v>12-2024</v>
      </c>
      <c r="P964" t="str">
        <f t="shared" si="76"/>
        <v>2024</v>
      </c>
      <c r="Q964" s="6">
        <f t="shared" si="77"/>
        <v>5.4702542174479424E-2</v>
      </c>
      <c r="R964" t="str">
        <f t="shared" si="78"/>
        <v>Profit</v>
      </c>
      <c r="S964" t="str">
        <f t="shared" si="79"/>
        <v>Low (1-10%)</v>
      </c>
    </row>
    <row r="965" spans="1:19" x14ac:dyDescent="0.3">
      <c r="A965" s="3" t="s">
        <v>1045</v>
      </c>
      <c r="B965" s="2">
        <v>45433</v>
      </c>
      <c r="C965" s="3" t="s">
        <v>42</v>
      </c>
      <c r="D965" s="3" t="s">
        <v>38</v>
      </c>
      <c r="E965" s="3" t="s">
        <v>39</v>
      </c>
      <c r="F965" s="3" t="s">
        <v>62</v>
      </c>
      <c r="G965" s="3" t="s">
        <v>80</v>
      </c>
      <c r="H965" s="3" t="s">
        <v>81</v>
      </c>
      <c r="I965" s="5">
        <v>7717.05</v>
      </c>
      <c r="J965" s="4">
        <v>5</v>
      </c>
      <c r="K965" s="1">
        <v>10</v>
      </c>
      <c r="L965" s="4">
        <v>1560.47</v>
      </c>
      <c r="M965" s="3" t="s">
        <v>21</v>
      </c>
      <c r="N965" s="3" t="s">
        <v>35</v>
      </c>
      <c r="O965" s="2" t="str">
        <f t="shared" si="75"/>
        <v>05-2024</v>
      </c>
      <c r="P965" t="str">
        <f t="shared" si="76"/>
        <v>2024</v>
      </c>
      <c r="Q965" s="6">
        <f t="shared" si="77"/>
        <v>0.20221068931780928</v>
      </c>
      <c r="R965" t="str">
        <f t="shared" si="78"/>
        <v>Profit</v>
      </c>
      <c r="S965" t="str">
        <f t="shared" si="79"/>
        <v>Low (1-10%)</v>
      </c>
    </row>
    <row r="966" spans="1:19" x14ac:dyDescent="0.3">
      <c r="A966" s="3" t="s">
        <v>1046</v>
      </c>
      <c r="B966" s="2">
        <v>45512</v>
      </c>
      <c r="C966" s="3" t="s">
        <v>30</v>
      </c>
      <c r="D966" s="3" t="s">
        <v>56</v>
      </c>
      <c r="E966" s="3" t="s">
        <v>61</v>
      </c>
      <c r="F966" s="3" t="s">
        <v>62</v>
      </c>
      <c r="G966" s="3" t="s">
        <v>80</v>
      </c>
      <c r="H966" s="3" t="s">
        <v>81</v>
      </c>
      <c r="I966" s="5">
        <v>5451.1</v>
      </c>
      <c r="J966" s="4">
        <v>10</v>
      </c>
      <c r="K966" s="1">
        <v>23</v>
      </c>
      <c r="L966" s="4">
        <v>270.42</v>
      </c>
      <c r="M966" s="3" t="s">
        <v>51</v>
      </c>
      <c r="N966" s="3" t="s">
        <v>22</v>
      </c>
      <c r="O966" s="2" t="str">
        <f t="shared" si="75"/>
        <v>08-2024</v>
      </c>
      <c r="P966" t="str">
        <f t="shared" si="76"/>
        <v>2024</v>
      </c>
      <c r="Q966" s="6">
        <f t="shared" si="77"/>
        <v>4.960833593219717E-2</v>
      </c>
      <c r="R966" t="str">
        <f t="shared" si="78"/>
        <v>Profit</v>
      </c>
      <c r="S966" t="str">
        <f t="shared" si="79"/>
        <v>High (&gt;20%)</v>
      </c>
    </row>
    <row r="967" spans="1:19" x14ac:dyDescent="0.3">
      <c r="A967" s="3" t="s">
        <v>1047</v>
      </c>
      <c r="B967" s="2">
        <v>45660</v>
      </c>
      <c r="C967" s="3" t="s">
        <v>133</v>
      </c>
      <c r="D967" s="3" t="s">
        <v>38</v>
      </c>
      <c r="E967" s="3" t="s">
        <v>53</v>
      </c>
      <c r="F967" s="3" t="s">
        <v>18</v>
      </c>
      <c r="G967" s="3" t="s">
        <v>94</v>
      </c>
      <c r="H967" s="3" t="s">
        <v>95</v>
      </c>
      <c r="I967" s="5">
        <v>13162.32</v>
      </c>
      <c r="J967" s="4">
        <v>9</v>
      </c>
      <c r="K967" s="1">
        <v>7.0000000000000009</v>
      </c>
      <c r="L967" s="4">
        <v>620.02</v>
      </c>
      <c r="M967" s="3" t="s">
        <v>21</v>
      </c>
      <c r="N967" s="3" t="s">
        <v>44</v>
      </c>
      <c r="O967" s="2" t="str">
        <f t="shared" si="75"/>
        <v>01-2025</v>
      </c>
      <c r="P967" t="str">
        <f t="shared" si="76"/>
        <v>2025</v>
      </c>
      <c r="Q967" s="6">
        <f t="shared" si="77"/>
        <v>4.7105677418570586E-2</v>
      </c>
      <c r="R967" t="str">
        <f t="shared" si="78"/>
        <v>Profit</v>
      </c>
      <c r="S967" t="str">
        <f t="shared" si="79"/>
        <v>Low (1-10%)</v>
      </c>
    </row>
    <row r="968" spans="1:19" x14ac:dyDescent="0.3">
      <c r="A968" s="3" t="s">
        <v>1048</v>
      </c>
      <c r="B968" s="2">
        <v>45727</v>
      </c>
      <c r="C968" s="3" t="s">
        <v>75</v>
      </c>
      <c r="D968" s="3" t="s">
        <v>56</v>
      </c>
      <c r="E968" s="3" t="s">
        <v>61</v>
      </c>
      <c r="F968" s="3" t="s">
        <v>32</v>
      </c>
      <c r="G968" s="3" t="s">
        <v>58</v>
      </c>
      <c r="H968" s="3" t="s">
        <v>59</v>
      </c>
      <c r="I968" s="5">
        <v>3216.72</v>
      </c>
      <c r="J968" s="4">
        <v>6</v>
      </c>
      <c r="K968" s="1">
        <v>17</v>
      </c>
      <c r="L968" s="4">
        <v>198.9</v>
      </c>
      <c r="M968" s="3" t="s">
        <v>28</v>
      </c>
      <c r="N968" s="3" t="s">
        <v>22</v>
      </c>
      <c r="O968" s="2" t="str">
        <f t="shared" si="75"/>
        <v>03-2025</v>
      </c>
      <c r="P968" t="str">
        <f t="shared" si="76"/>
        <v>2025</v>
      </c>
      <c r="Q968" s="6">
        <f t="shared" si="77"/>
        <v>6.1833171677982544E-2</v>
      </c>
      <c r="R968" t="str">
        <f t="shared" si="78"/>
        <v>Profit</v>
      </c>
      <c r="S968" t="str">
        <f t="shared" si="79"/>
        <v>Mid (11-20%)</v>
      </c>
    </row>
    <row r="969" spans="1:19" x14ac:dyDescent="0.3">
      <c r="A969" s="3" t="s">
        <v>1049</v>
      </c>
      <c r="B969" s="2">
        <v>45515</v>
      </c>
      <c r="C969" s="3" t="s">
        <v>133</v>
      </c>
      <c r="D969" s="3" t="s">
        <v>38</v>
      </c>
      <c r="E969" s="3" t="s">
        <v>39</v>
      </c>
      <c r="F969" s="3" t="s">
        <v>62</v>
      </c>
      <c r="G969" s="3" t="s">
        <v>67</v>
      </c>
      <c r="H969" s="3" t="s">
        <v>68</v>
      </c>
      <c r="I969" s="5">
        <v>3678.6</v>
      </c>
      <c r="J969" s="4">
        <v>4</v>
      </c>
      <c r="K969" s="1">
        <v>29</v>
      </c>
      <c r="L969" s="4">
        <v>216</v>
      </c>
      <c r="M969" s="3" t="s">
        <v>51</v>
      </c>
      <c r="N969" s="3" t="s">
        <v>35</v>
      </c>
      <c r="O969" s="2" t="str">
        <f t="shared" si="75"/>
        <v>08-2024</v>
      </c>
      <c r="P969" t="str">
        <f t="shared" si="76"/>
        <v>2024</v>
      </c>
      <c r="Q969" s="6">
        <f t="shared" si="77"/>
        <v>5.8717990539879306E-2</v>
      </c>
      <c r="R969" t="str">
        <f t="shared" si="78"/>
        <v>Profit</v>
      </c>
      <c r="S969" t="str">
        <f t="shared" si="79"/>
        <v>High (&gt;20%)</v>
      </c>
    </row>
    <row r="970" spans="1:19" x14ac:dyDescent="0.3">
      <c r="A970" s="3" t="s">
        <v>1050</v>
      </c>
      <c r="B970" s="2">
        <v>45512</v>
      </c>
      <c r="C970" s="3" t="s">
        <v>37</v>
      </c>
      <c r="D970" s="3" t="s">
        <v>89</v>
      </c>
      <c r="E970" s="3" t="s">
        <v>90</v>
      </c>
      <c r="F970" s="3" t="s">
        <v>62</v>
      </c>
      <c r="G970" s="3" t="s">
        <v>103</v>
      </c>
      <c r="H970" s="3" t="s">
        <v>104</v>
      </c>
      <c r="I970" s="5">
        <v>2549.7600000000002</v>
      </c>
      <c r="J970" s="4">
        <v>2</v>
      </c>
      <c r="K970" s="1">
        <v>16</v>
      </c>
      <c r="L970" s="4">
        <v>382.32</v>
      </c>
      <c r="M970" s="3" t="s">
        <v>21</v>
      </c>
      <c r="N970" s="3" t="s">
        <v>40</v>
      </c>
      <c r="O970" s="2" t="str">
        <f t="shared" si="75"/>
        <v>08-2024</v>
      </c>
      <c r="P970" t="str">
        <f t="shared" si="76"/>
        <v>2024</v>
      </c>
      <c r="Q970" s="6">
        <f t="shared" si="77"/>
        <v>0.14994352409638553</v>
      </c>
      <c r="R970" t="str">
        <f t="shared" si="78"/>
        <v>Profit</v>
      </c>
      <c r="S970" t="str">
        <f t="shared" si="79"/>
        <v>Mid (11-20%)</v>
      </c>
    </row>
    <row r="971" spans="1:19" x14ac:dyDescent="0.3">
      <c r="A971" s="3" t="s">
        <v>1051</v>
      </c>
      <c r="B971" s="2">
        <v>45653</v>
      </c>
      <c r="C971" s="3" t="s">
        <v>75</v>
      </c>
      <c r="D971" s="3" t="s">
        <v>56</v>
      </c>
      <c r="E971" s="3" t="s">
        <v>57</v>
      </c>
      <c r="F971" s="3" t="s">
        <v>62</v>
      </c>
      <c r="G971" s="3" t="s">
        <v>67</v>
      </c>
      <c r="H971" s="3" t="s">
        <v>68</v>
      </c>
      <c r="I971" s="5">
        <v>12784.59</v>
      </c>
      <c r="J971" s="4">
        <v>9</v>
      </c>
      <c r="K971" s="1">
        <v>23</v>
      </c>
      <c r="L971" s="4">
        <v>1064.1400000000001</v>
      </c>
      <c r="M971" s="3" t="s">
        <v>28</v>
      </c>
      <c r="N971" s="3" t="s">
        <v>44</v>
      </c>
      <c r="O971" s="2" t="str">
        <f t="shared" si="75"/>
        <v>12-2024</v>
      </c>
      <c r="P971" t="str">
        <f>TEXT(B971,"YYYY")</f>
        <v>2024</v>
      </c>
      <c r="Q971" s="6">
        <f t="shared" si="77"/>
        <v>8.3236146016415088E-2</v>
      </c>
      <c r="R971" t="str">
        <f t="shared" si="78"/>
        <v>Profit</v>
      </c>
      <c r="S971" t="str">
        <f t="shared" si="79"/>
        <v>High (&gt;20%)</v>
      </c>
    </row>
    <row r="972" spans="1:19" x14ac:dyDescent="0.3">
      <c r="A972" s="3" t="s">
        <v>1052</v>
      </c>
      <c r="B972" s="2">
        <v>45612</v>
      </c>
      <c r="C972" s="3" t="s">
        <v>37</v>
      </c>
      <c r="D972" s="3" t="s">
        <v>89</v>
      </c>
      <c r="E972" s="3" t="s">
        <v>140</v>
      </c>
      <c r="F972" s="3" t="s">
        <v>62</v>
      </c>
      <c r="G972" s="3" t="s">
        <v>80</v>
      </c>
      <c r="H972" s="3" t="s">
        <v>81</v>
      </c>
      <c r="I972" s="5">
        <v>6400.8</v>
      </c>
      <c r="J972" s="4">
        <v>9</v>
      </c>
      <c r="K972" s="1">
        <v>15</v>
      </c>
      <c r="L972" s="4">
        <v>1086.23</v>
      </c>
      <c r="M972" s="3" t="s">
        <v>28</v>
      </c>
      <c r="N972" s="3" t="s">
        <v>44</v>
      </c>
      <c r="O972" s="2" t="str">
        <f t="shared" si="75"/>
        <v>11-2024</v>
      </c>
      <c r="P972" t="str">
        <f t="shared" si="76"/>
        <v>2024</v>
      </c>
      <c r="Q972" s="6">
        <f t="shared" si="77"/>
        <v>0.16970222472190977</v>
      </c>
      <c r="R972" t="str">
        <f t="shared" si="78"/>
        <v>Profit</v>
      </c>
      <c r="S972" t="str">
        <f t="shared" si="79"/>
        <v>Mid (11-20%)</v>
      </c>
    </row>
    <row r="973" spans="1:19" x14ac:dyDescent="0.3">
      <c r="A973" s="3" t="s">
        <v>1053</v>
      </c>
      <c r="B973" s="2">
        <v>45678</v>
      </c>
      <c r="C973" s="3" t="s">
        <v>66</v>
      </c>
      <c r="D973" s="3" t="s">
        <v>56</v>
      </c>
      <c r="E973" s="3" t="s">
        <v>61</v>
      </c>
      <c r="F973" s="3" t="s">
        <v>62</v>
      </c>
      <c r="G973" s="3" t="s">
        <v>67</v>
      </c>
      <c r="H973" s="3" t="s">
        <v>68</v>
      </c>
      <c r="I973" s="5">
        <v>1641.3</v>
      </c>
      <c r="J973" s="4">
        <v>6</v>
      </c>
      <c r="K973" s="1">
        <v>21</v>
      </c>
      <c r="L973" s="4">
        <v>147.22999999999999</v>
      </c>
      <c r="M973" s="3" t="s">
        <v>51</v>
      </c>
      <c r="N973" s="3" t="s">
        <v>35</v>
      </c>
      <c r="O973" s="2" t="str">
        <f t="shared" si="75"/>
        <v>01-2025</v>
      </c>
      <c r="P973" t="str">
        <f t="shared" si="76"/>
        <v>2025</v>
      </c>
      <c r="Q973" s="6">
        <f t="shared" si="77"/>
        <v>8.9703283982209225E-2</v>
      </c>
      <c r="R973" t="str">
        <f t="shared" si="78"/>
        <v>Profit</v>
      </c>
      <c r="S973" t="str">
        <f t="shared" si="79"/>
        <v>High (&gt;20%)</v>
      </c>
    </row>
    <row r="974" spans="1:19" x14ac:dyDescent="0.3">
      <c r="A974" s="3" t="s">
        <v>1054</v>
      </c>
      <c r="B974" s="2">
        <v>45774</v>
      </c>
      <c r="C974" s="3" t="s">
        <v>73</v>
      </c>
      <c r="D974" s="3" t="s">
        <v>38</v>
      </c>
      <c r="E974" s="3" t="s">
        <v>71</v>
      </c>
      <c r="F974" s="3" t="s">
        <v>32</v>
      </c>
      <c r="G974" s="3" t="s">
        <v>47</v>
      </c>
      <c r="H974" s="3" t="s">
        <v>48</v>
      </c>
      <c r="I974" s="5">
        <v>11669.4</v>
      </c>
      <c r="J974" s="4">
        <v>9</v>
      </c>
      <c r="K974" s="1">
        <v>9</v>
      </c>
      <c r="L974" s="4">
        <v>879.18</v>
      </c>
      <c r="M974" s="3" t="s">
        <v>28</v>
      </c>
      <c r="N974" s="3" t="s">
        <v>40</v>
      </c>
      <c r="O974" s="2" t="str">
        <f t="shared" si="75"/>
        <v>04-2025</v>
      </c>
      <c r="P974" t="str">
        <f t="shared" si="76"/>
        <v>2025</v>
      </c>
      <c r="Q974" s="6">
        <f t="shared" si="77"/>
        <v>7.5340634479921842E-2</v>
      </c>
      <c r="R974" t="str">
        <f t="shared" si="78"/>
        <v>Profit</v>
      </c>
      <c r="S974" t="str">
        <f t="shared" si="79"/>
        <v>Low (1-10%)</v>
      </c>
    </row>
    <row r="975" spans="1:19" x14ac:dyDescent="0.3">
      <c r="A975" s="3" t="s">
        <v>1055</v>
      </c>
      <c r="B975" s="2">
        <v>45710</v>
      </c>
      <c r="C975" s="3" t="s">
        <v>86</v>
      </c>
      <c r="D975" s="3" t="s">
        <v>38</v>
      </c>
      <c r="E975" s="3" t="s">
        <v>71</v>
      </c>
      <c r="F975" s="3" t="s">
        <v>62</v>
      </c>
      <c r="G975" s="3" t="s">
        <v>63</v>
      </c>
      <c r="H975" s="3" t="s">
        <v>64</v>
      </c>
      <c r="I975" s="5">
        <v>12182.1</v>
      </c>
      <c r="J975" s="4">
        <v>10</v>
      </c>
      <c r="K975" s="1">
        <v>11</v>
      </c>
      <c r="L975" s="4">
        <v>1673.58</v>
      </c>
      <c r="M975" s="3" t="s">
        <v>21</v>
      </c>
      <c r="N975" s="3" t="s">
        <v>22</v>
      </c>
      <c r="O975" s="2" t="str">
        <f t="shared" si="75"/>
        <v>02-2025</v>
      </c>
      <c r="P975" t="str">
        <f t="shared" si="76"/>
        <v>2025</v>
      </c>
      <c r="Q975" s="6">
        <f t="shared" si="77"/>
        <v>0.1373802546359002</v>
      </c>
      <c r="R975" t="str">
        <f t="shared" si="78"/>
        <v>Profit</v>
      </c>
      <c r="S975" t="str">
        <f t="shared" si="79"/>
        <v>Mid (11-20%)</v>
      </c>
    </row>
    <row r="976" spans="1:19" x14ac:dyDescent="0.3">
      <c r="A976" s="3" t="s">
        <v>1056</v>
      </c>
      <c r="B976" s="2">
        <v>45572</v>
      </c>
      <c r="C976" s="3" t="s">
        <v>73</v>
      </c>
      <c r="D976" s="3" t="s">
        <v>89</v>
      </c>
      <c r="E976" s="3" t="s">
        <v>140</v>
      </c>
      <c r="F976" s="3" t="s">
        <v>18</v>
      </c>
      <c r="G976" s="3" t="s">
        <v>19</v>
      </c>
      <c r="H976" s="3" t="s">
        <v>20</v>
      </c>
      <c r="I976" s="5">
        <v>1160.31</v>
      </c>
      <c r="J976" s="4">
        <v>3</v>
      </c>
      <c r="K976" s="1">
        <v>7.0000000000000009</v>
      </c>
      <c r="L976" s="4">
        <v>164.79</v>
      </c>
      <c r="M976" s="3" t="s">
        <v>28</v>
      </c>
      <c r="N976" s="3" t="s">
        <v>22</v>
      </c>
      <c r="O976" s="2" t="str">
        <f t="shared" si="75"/>
        <v>10-2024</v>
      </c>
      <c r="P976" t="str">
        <f t="shared" si="76"/>
        <v>2024</v>
      </c>
      <c r="Q976" s="6">
        <f t="shared" si="77"/>
        <v>0.14202239056803787</v>
      </c>
      <c r="R976" t="str">
        <f t="shared" si="78"/>
        <v>Profit</v>
      </c>
      <c r="S976" t="str">
        <f t="shared" si="79"/>
        <v>Low (1-10%)</v>
      </c>
    </row>
    <row r="977" spans="1:19" x14ac:dyDescent="0.3">
      <c r="A977" s="3" t="s">
        <v>1057</v>
      </c>
      <c r="B977" s="2">
        <v>45709</v>
      </c>
      <c r="C977" s="3" t="s">
        <v>24</v>
      </c>
      <c r="D977" s="3" t="s">
        <v>89</v>
      </c>
      <c r="E977" s="3" t="s">
        <v>140</v>
      </c>
      <c r="F977" s="3" t="s">
        <v>32</v>
      </c>
      <c r="G977" s="3" t="s">
        <v>33</v>
      </c>
      <c r="H977" s="3" t="s">
        <v>34</v>
      </c>
      <c r="I977" s="5">
        <v>11867.84</v>
      </c>
      <c r="J977" s="4">
        <v>8</v>
      </c>
      <c r="K977" s="1">
        <v>20</v>
      </c>
      <c r="L977" s="4">
        <v>1893.69</v>
      </c>
      <c r="M977" s="3" t="s">
        <v>51</v>
      </c>
      <c r="N977" s="3" t="s">
        <v>35</v>
      </c>
      <c r="O977" s="2" t="str">
        <f t="shared" si="75"/>
        <v>02-2025</v>
      </c>
      <c r="P977" t="str">
        <f t="shared" si="76"/>
        <v>2025</v>
      </c>
      <c r="Q977" s="6">
        <f t="shared" si="77"/>
        <v>0.15956484077978808</v>
      </c>
      <c r="R977" t="str">
        <f t="shared" si="78"/>
        <v>Profit</v>
      </c>
      <c r="S977" t="str">
        <f t="shared" si="79"/>
        <v>Mid (11-20%)</v>
      </c>
    </row>
    <row r="978" spans="1:19" x14ac:dyDescent="0.3">
      <c r="A978" s="3" t="s">
        <v>1058</v>
      </c>
      <c r="B978" s="2">
        <v>45706</v>
      </c>
      <c r="C978" s="3" t="s">
        <v>42</v>
      </c>
      <c r="D978" s="3" t="s">
        <v>16</v>
      </c>
      <c r="E978" s="3" t="s">
        <v>17</v>
      </c>
      <c r="F978" s="3" t="s">
        <v>32</v>
      </c>
      <c r="G978" s="3" t="s">
        <v>33</v>
      </c>
      <c r="H978" s="3" t="s">
        <v>34</v>
      </c>
      <c r="I978" s="5">
        <v>5741.89</v>
      </c>
      <c r="J978" s="4">
        <v>7</v>
      </c>
      <c r="K978" s="1">
        <v>13</v>
      </c>
      <c r="L978" s="4">
        <v>877.84</v>
      </c>
      <c r="M978" s="3" t="s">
        <v>21</v>
      </c>
      <c r="N978" s="3" t="s">
        <v>40</v>
      </c>
      <c r="O978" s="2" t="str">
        <f t="shared" si="75"/>
        <v>02-2025</v>
      </c>
      <c r="P978" t="str">
        <f t="shared" si="76"/>
        <v>2025</v>
      </c>
      <c r="Q978" s="6">
        <f t="shared" si="77"/>
        <v>0.15288345823413546</v>
      </c>
      <c r="R978" t="str">
        <f t="shared" si="78"/>
        <v>Profit</v>
      </c>
      <c r="S978" t="str">
        <f t="shared" si="79"/>
        <v>Mid (11-20%)</v>
      </c>
    </row>
    <row r="979" spans="1:19" x14ac:dyDescent="0.3">
      <c r="A979" s="3" t="s">
        <v>1059</v>
      </c>
      <c r="B979" s="2">
        <v>45466</v>
      </c>
      <c r="C979" s="3" t="s">
        <v>70</v>
      </c>
      <c r="D979" s="3" t="s">
        <v>16</v>
      </c>
      <c r="E979" s="3" t="s">
        <v>25</v>
      </c>
      <c r="F979" s="3" t="s">
        <v>32</v>
      </c>
      <c r="G979" s="3" t="s">
        <v>47</v>
      </c>
      <c r="H979" s="3" t="s">
        <v>48</v>
      </c>
      <c r="I979" s="5">
        <v>7258.62</v>
      </c>
      <c r="J979" s="4">
        <v>6</v>
      </c>
      <c r="K979" s="1">
        <v>7.0000000000000009</v>
      </c>
      <c r="L979" s="4">
        <v>640.88</v>
      </c>
      <c r="M979" s="3" t="s">
        <v>51</v>
      </c>
      <c r="N979" s="3" t="s">
        <v>35</v>
      </c>
      <c r="O979" s="2" t="str">
        <f t="shared" si="75"/>
        <v>06-2024</v>
      </c>
      <c r="P979" t="str">
        <f t="shared" si="76"/>
        <v>2024</v>
      </c>
      <c r="Q979" s="6">
        <f t="shared" si="77"/>
        <v>8.8292264920880284E-2</v>
      </c>
      <c r="R979" t="str">
        <f t="shared" si="78"/>
        <v>Profit</v>
      </c>
      <c r="S979" t="str">
        <f t="shared" si="79"/>
        <v>Low (1-10%)</v>
      </c>
    </row>
    <row r="980" spans="1:19" x14ac:dyDescent="0.3">
      <c r="A980" s="3" t="s">
        <v>1060</v>
      </c>
      <c r="B980" s="2">
        <v>45579</v>
      </c>
      <c r="C980" s="3" t="s">
        <v>73</v>
      </c>
      <c r="D980" s="3" t="s">
        <v>38</v>
      </c>
      <c r="E980" s="3" t="s">
        <v>53</v>
      </c>
      <c r="F980" s="3" t="s">
        <v>62</v>
      </c>
      <c r="G980" s="3" t="s">
        <v>103</v>
      </c>
      <c r="H980" s="3" t="s">
        <v>104</v>
      </c>
      <c r="I980" s="5">
        <v>1423.56</v>
      </c>
      <c r="J980" s="4">
        <v>6</v>
      </c>
      <c r="K980" s="1">
        <v>25</v>
      </c>
      <c r="L980" s="4">
        <v>115.57</v>
      </c>
      <c r="M980" s="3" t="s">
        <v>51</v>
      </c>
      <c r="N980" s="3" t="s">
        <v>40</v>
      </c>
      <c r="O980" s="2" t="str">
        <f t="shared" si="75"/>
        <v>10-2024</v>
      </c>
      <c r="P980" t="str">
        <f t="shared" si="76"/>
        <v>2024</v>
      </c>
      <c r="Q980" s="6">
        <f t="shared" si="77"/>
        <v>8.1183792744949274E-2</v>
      </c>
      <c r="R980" t="str">
        <f t="shared" si="78"/>
        <v>Profit</v>
      </c>
      <c r="S980" t="str">
        <f t="shared" si="79"/>
        <v>High (&gt;20%)</v>
      </c>
    </row>
    <row r="981" spans="1:19" x14ac:dyDescent="0.3">
      <c r="A981" s="3" t="s">
        <v>1061</v>
      </c>
      <c r="B981" s="2">
        <v>45683</v>
      </c>
      <c r="C981" s="3" t="s">
        <v>84</v>
      </c>
      <c r="D981" s="3" t="s">
        <v>89</v>
      </c>
      <c r="E981" s="3" t="s">
        <v>90</v>
      </c>
      <c r="F981" s="3" t="s">
        <v>18</v>
      </c>
      <c r="G981" s="3" t="s">
        <v>76</v>
      </c>
      <c r="H981" s="3" t="s">
        <v>77</v>
      </c>
      <c r="I981" s="5">
        <v>5780.05</v>
      </c>
      <c r="J981" s="4">
        <v>5</v>
      </c>
      <c r="K981" s="1">
        <v>16</v>
      </c>
      <c r="L981" s="4">
        <v>821.55</v>
      </c>
      <c r="M981" s="3" t="s">
        <v>28</v>
      </c>
      <c r="N981" s="3" t="s">
        <v>35</v>
      </c>
      <c r="O981" s="2" t="str">
        <f t="shared" si="75"/>
        <v>01-2025</v>
      </c>
      <c r="P981" t="str">
        <f t="shared" si="76"/>
        <v>2025</v>
      </c>
      <c r="Q981" s="6">
        <f t="shared" si="77"/>
        <v>0.14213544865528843</v>
      </c>
      <c r="R981" t="str">
        <f t="shared" si="78"/>
        <v>Profit</v>
      </c>
      <c r="S981" t="str">
        <f t="shared" si="79"/>
        <v>Mid (11-20%)</v>
      </c>
    </row>
    <row r="982" spans="1:19" x14ac:dyDescent="0.3">
      <c r="A982" s="3" t="s">
        <v>1062</v>
      </c>
      <c r="B982" s="2">
        <v>45647</v>
      </c>
      <c r="C982" s="3" t="s">
        <v>37</v>
      </c>
      <c r="D982" s="3" t="s">
        <v>56</v>
      </c>
      <c r="E982" s="3" t="s">
        <v>61</v>
      </c>
      <c r="F982" s="3" t="s">
        <v>62</v>
      </c>
      <c r="G982" s="3" t="s">
        <v>63</v>
      </c>
      <c r="H982" s="3" t="s">
        <v>64</v>
      </c>
      <c r="I982" s="5">
        <v>11335.8</v>
      </c>
      <c r="J982" s="4">
        <v>6</v>
      </c>
      <c r="K982" s="1">
        <v>28</v>
      </c>
      <c r="L982" s="4">
        <v>997.88</v>
      </c>
      <c r="M982" s="3" t="s">
        <v>21</v>
      </c>
      <c r="N982" s="3" t="s">
        <v>22</v>
      </c>
      <c r="O982" s="2" t="str">
        <f t="shared" si="75"/>
        <v>12-2024</v>
      </c>
      <c r="P982" t="str">
        <f t="shared" si="76"/>
        <v>2024</v>
      </c>
      <c r="Q982" s="6">
        <f t="shared" si="77"/>
        <v>8.8029076024629935E-2</v>
      </c>
      <c r="R982" t="str">
        <f t="shared" si="78"/>
        <v>Profit</v>
      </c>
      <c r="S982" t="str">
        <f t="shared" si="79"/>
        <v>High (&gt;20%)</v>
      </c>
    </row>
    <row r="983" spans="1:19" x14ac:dyDescent="0.3">
      <c r="A983" s="3" t="s">
        <v>1063</v>
      </c>
      <c r="B983" s="2">
        <v>45774</v>
      </c>
      <c r="C983" s="3" t="s">
        <v>37</v>
      </c>
      <c r="D983" s="3" t="s">
        <v>89</v>
      </c>
      <c r="E983" s="3" t="s">
        <v>97</v>
      </c>
      <c r="F983" s="3" t="s">
        <v>32</v>
      </c>
      <c r="G983" s="3" t="s">
        <v>112</v>
      </c>
      <c r="H983" s="3" t="s">
        <v>113</v>
      </c>
      <c r="I983" s="5">
        <v>2589.84</v>
      </c>
      <c r="J983" s="4">
        <v>8</v>
      </c>
      <c r="K983" s="1">
        <v>8</v>
      </c>
      <c r="L983" s="4">
        <v>409.3</v>
      </c>
      <c r="M983" s="3" t="s">
        <v>28</v>
      </c>
      <c r="N983" s="3" t="s">
        <v>22</v>
      </c>
      <c r="O983" s="2" t="str">
        <f t="shared" si="75"/>
        <v>04-2025</v>
      </c>
      <c r="P983" t="str">
        <f t="shared" si="76"/>
        <v>2025</v>
      </c>
      <c r="Q983" s="6">
        <f t="shared" si="77"/>
        <v>0.15804065115991722</v>
      </c>
      <c r="R983" t="str">
        <f t="shared" si="78"/>
        <v>Profit</v>
      </c>
      <c r="S983" t="str">
        <f t="shared" si="79"/>
        <v>Low (1-10%)</v>
      </c>
    </row>
    <row r="984" spans="1:19" x14ac:dyDescent="0.3">
      <c r="A984" s="3" t="s">
        <v>1064</v>
      </c>
      <c r="B984" s="2">
        <v>45679</v>
      </c>
      <c r="C984" s="3" t="s">
        <v>66</v>
      </c>
      <c r="D984" s="3" t="s">
        <v>38</v>
      </c>
      <c r="E984" s="3" t="s">
        <v>39</v>
      </c>
      <c r="F984" s="3" t="s">
        <v>18</v>
      </c>
      <c r="G984" s="3" t="s">
        <v>19</v>
      </c>
      <c r="H984" s="3" t="s">
        <v>20</v>
      </c>
      <c r="I984" s="5">
        <v>7680.16</v>
      </c>
      <c r="J984" s="4">
        <v>4</v>
      </c>
      <c r="K984" s="1">
        <v>12</v>
      </c>
      <c r="L984" s="4">
        <v>621.52</v>
      </c>
      <c r="M984" s="3" t="s">
        <v>51</v>
      </c>
      <c r="N984" s="3" t="s">
        <v>40</v>
      </c>
      <c r="O984" s="2" t="str">
        <f t="shared" si="75"/>
        <v>01-2025</v>
      </c>
      <c r="P984" t="str">
        <f t="shared" si="76"/>
        <v>2025</v>
      </c>
      <c r="Q984" s="6">
        <f t="shared" si="77"/>
        <v>8.0925397387554429E-2</v>
      </c>
      <c r="R984" t="str">
        <f t="shared" si="78"/>
        <v>Profit</v>
      </c>
      <c r="S984" t="str">
        <f t="shared" si="79"/>
        <v>Mid (11-20%)</v>
      </c>
    </row>
    <row r="985" spans="1:19" x14ac:dyDescent="0.3">
      <c r="A985" s="3" t="s">
        <v>1065</v>
      </c>
      <c r="B985" s="2">
        <v>45621</v>
      </c>
      <c r="C985" s="3" t="s">
        <v>99</v>
      </c>
      <c r="D985" s="3" t="s">
        <v>16</v>
      </c>
      <c r="E985" s="3" t="s">
        <v>31</v>
      </c>
      <c r="F985" s="3" t="s">
        <v>62</v>
      </c>
      <c r="G985" s="3" t="s">
        <v>63</v>
      </c>
      <c r="H985" s="3" t="s">
        <v>64</v>
      </c>
      <c r="I985" s="5">
        <v>4378.16</v>
      </c>
      <c r="J985" s="4">
        <v>8</v>
      </c>
      <c r="K985" s="1">
        <v>26</v>
      </c>
      <c r="L985" s="4">
        <v>319.37</v>
      </c>
      <c r="M985" s="3" t="s">
        <v>51</v>
      </c>
      <c r="N985" s="3" t="s">
        <v>22</v>
      </c>
      <c r="O985" s="2" t="str">
        <f t="shared" si="75"/>
        <v>11-2024</v>
      </c>
      <c r="P985" t="str">
        <f t="shared" si="76"/>
        <v>2024</v>
      </c>
      <c r="Q985" s="6">
        <f t="shared" si="77"/>
        <v>7.2946169166955982E-2</v>
      </c>
      <c r="R985" t="str">
        <f t="shared" si="78"/>
        <v>Profit</v>
      </c>
      <c r="S985" t="str">
        <f t="shared" si="79"/>
        <v>High (&gt;20%)</v>
      </c>
    </row>
    <row r="986" spans="1:19" x14ac:dyDescent="0.3">
      <c r="A986" s="3" t="s">
        <v>1066</v>
      </c>
      <c r="B986" s="2">
        <v>45474</v>
      </c>
      <c r="C986" s="3" t="s">
        <v>66</v>
      </c>
      <c r="D986" s="3" t="s">
        <v>56</v>
      </c>
      <c r="E986" s="3" t="s">
        <v>108</v>
      </c>
      <c r="F986" s="3" t="s">
        <v>62</v>
      </c>
      <c r="G986" s="3" t="s">
        <v>103</v>
      </c>
      <c r="H986" s="3" t="s">
        <v>104</v>
      </c>
      <c r="I986" s="5">
        <v>1187.05</v>
      </c>
      <c r="J986" s="4">
        <v>5</v>
      </c>
      <c r="K986" s="1">
        <v>19</v>
      </c>
      <c r="L986" s="4">
        <v>92.22</v>
      </c>
      <c r="M986" s="3" t="s">
        <v>28</v>
      </c>
      <c r="N986" s="3" t="s">
        <v>40</v>
      </c>
      <c r="O986" s="2" t="str">
        <f t="shared" si="75"/>
        <v>07-2024</v>
      </c>
      <c r="P986" t="str">
        <f t="shared" si="76"/>
        <v>2024</v>
      </c>
      <c r="Q986" s="6">
        <f t="shared" si="77"/>
        <v>7.7688387178299151E-2</v>
      </c>
      <c r="R986" t="str">
        <f t="shared" si="78"/>
        <v>Profit</v>
      </c>
      <c r="S986" t="str">
        <f t="shared" si="79"/>
        <v>Mid (11-20%)</v>
      </c>
    </row>
    <row r="987" spans="1:19" x14ac:dyDescent="0.3">
      <c r="A987" s="3" t="s">
        <v>1067</v>
      </c>
      <c r="B987" s="2">
        <v>45692</v>
      </c>
      <c r="C987" s="3" t="s">
        <v>70</v>
      </c>
      <c r="D987" s="3" t="s">
        <v>38</v>
      </c>
      <c r="E987" s="3" t="s">
        <v>71</v>
      </c>
      <c r="F987" s="3" t="s">
        <v>18</v>
      </c>
      <c r="G987" s="3" t="s">
        <v>94</v>
      </c>
      <c r="H987" s="3" t="s">
        <v>95</v>
      </c>
      <c r="I987" s="5">
        <v>4180.92</v>
      </c>
      <c r="J987" s="4">
        <v>3</v>
      </c>
      <c r="K987" s="1">
        <v>8</v>
      </c>
      <c r="L987" s="4">
        <v>687.94</v>
      </c>
      <c r="M987" s="3" t="s">
        <v>21</v>
      </c>
      <c r="N987" s="3" t="s">
        <v>35</v>
      </c>
      <c r="O987" s="2" t="str">
        <f t="shared" si="75"/>
        <v>02-2025</v>
      </c>
      <c r="P987" t="str">
        <f t="shared" si="76"/>
        <v>2025</v>
      </c>
      <c r="Q987" s="6">
        <f t="shared" si="77"/>
        <v>0.16454273222161631</v>
      </c>
      <c r="R987" t="str">
        <f t="shared" si="78"/>
        <v>Profit</v>
      </c>
      <c r="S987" t="str">
        <f t="shared" si="79"/>
        <v>Low (1-10%)</v>
      </c>
    </row>
    <row r="988" spans="1:19" x14ac:dyDescent="0.3">
      <c r="A988" s="3" t="s">
        <v>1068</v>
      </c>
      <c r="B988" s="2">
        <v>45611</v>
      </c>
      <c r="C988" s="3" t="s">
        <v>15</v>
      </c>
      <c r="D988" s="3" t="s">
        <v>16</v>
      </c>
      <c r="E988" s="3" t="s">
        <v>17</v>
      </c>
      <c r="F988" s="3" t="s">
        <v>62</v>
      </c>
      <c r="G988" s="3" t="s">
        <v>80</v>
      </c>
      <c r="H988" s="3" t="s">
        <v>81</v>
      </c>
      <c r="I988" s="5">
        <v>11123.44</v>
      </c>
      <c r="J988" s="4">
        <v>8</v>
      </c>
      <c r="K988" s="1">
        <v>6</v>
      </c>
      <c r="L988" s="4">
        <v>1246.93</v>
      </c>
      <c r="M988" s="3" t="s">
        <v>28</v>
      </c>
      <c r="N988" s="3" t="s">
        <v>40</v>
      </c>
      <c r="O988" s="2" t="str">
        <f t="shared" si="75"/>
        <v>11-2024</v>
      </c>
      <c r="P988" t="str">
        <f t="shared" si="76"/>
        <v>2024</v>
      </c>
      <c r="Q988" s="6">
        <f t="shared" si="77"/>
        <v>0.11209931460051926</v>
      </c>
      <c r="R988" t="str">
        <f t="shared" si="78"/>
        <v>Profit</v>
      </c>
      <c r="S988" t="str">
        <f t="shared" si="79"/>
        <v>Low (1-10%)</v>
      </c>
    </row>
    <row r="989" spans="1:19" x14ac:dyDescent="0.3">
      <c r="A989" s="3" t="s">
        <v>1069</v>
      </c>
      <c r="B989" s="2">
        <v>45772</v>
      </c>
      <c r="C989" s="3" t="s">
        <v>24</v>
      </c>
      <c r="D989" s="3" t="s">
        <v>89</v>
      </c>
      <c r="E989" s="3" t="s">
        <v>102</v>
      </c>
      <c r="F989" s="3" t="s">
        <v>18</v>
      </c>
      <c r="G989" s="3" t="s">
        <v>19</v>
      </c>
      <c r="H989" s="3" t="s">
        <v>20</v>
      </c>
      <c r="I989" s="5">
        <v>3706.02</v>
      </c>
      <c r="J989" s="4">
        <v>9</v>
      </c>
      <c r="K989" s="1">
        <v>8</v>
      </c>
      <c r="L989" s="4">
        <v>731.76</v>
      </c>
      <c r="M989" s="3" t="s">
        <v>21</v>
      </c>
      <c r="N989" s="3" t="s">
        <v>22</v>
      </c>
      <c r="O989" s="2" t="str">
        <f t="shared" si="75"/>
        <v>04-2025</v>
      </c>
      <c r="P989" t="str">
        <f t="shared" si="76"/>
        <v>2025</v>
      </c>
      <c r="Q989" s="6">
        <f t="shared" si="77"/>
        <v>0.19745171369825312</v>
      </c>
      <c r="R989" t="str">
        <f t="shared" si="78"/>
        <v>Profit</v>
      </c>
      <c r="S989" t="str">
        <f t="shared" si="79"/>
        <v>Low (1-10%)</v>
      </c>
    </row>
    <row r="990" spans="1:19" x14ac:dyDescent="0.3">
      <c r="A990" s="3" t="s">
        <v>1070</v>
      </c>
      <c r="B990" s="2">
        <v>45521</v>
      </c>
      <c r="C990" s="3" t="s">
        <v>42</v>
      </c>
      <c r="D990" s="3" t="s">
        <v>89</v>
      </c>
      <c r="E990" s="3" t="s">
        <v>90</v>
      </c>
      <c r="F990" s="3" t="s">
        <v>32</v>
      </c>
      <c r="G990" s="3" t="s">
        <v>112</v>
      </c>
      <c r="H990" s="3" t="s">
        <v>113</v>
      </c>
      <c r="I990" s="5">
        <v>4847.5</v>
      </c>
      <c r="J990" s="4">
        <v>10</v>
      </c>
      <c r="K990" s="1">
        <v>28</v>
      </c>
      <c r="L990" s="4">
        <v>433.23</v>
      </c>
      <c r="M990" s="3" t="s">
        <v>28</v>
      </c>
      <c r="N990" s="3" t="s">
        <v>44</v>
      </c>
      <c r="O990" s="2" t="str">
        <f t="shared" si="75"/>
        <v>08-2024</v>
      </c>
      <c r="P990" t="str">
        <f t="shared" si="76"/>
        <v>2024</v>
      </c>
      <c r="Q990" s="6">
        <f t="shared" si="77"/>
        <v>8.9371841155234666E-2</v>
      </c>
      <c r="R990" t="str">
        <f t="shared" si="78"/>
        <v>Profit</v>
      </c>
      <c r="S990" t="str">
        <f t="shared" si="79"/>
        <v>High (&gt;20%)</v>
      </c>
    </row>
    <row r="991" spans="1:19" x14ac:dyDescent="0.3">
      <c r="A991" s="3" t="s">
        <v>1071</v>
      </c>
      <c r="B991" s="2">
        <v>45673</v>
      </c>
      <c r="C991" s="3" t="s">
        <v>70</v>
      </c>
      <c r="D991" s="3" t="s">
        <v>38</v>
      </c>
      <c r="E991" s="3" t="s">
        <v>39</v>
      </c>
      <c r="F991" s="3" t="s">
        <v>62</v>
      </c>
      <c r="G991" s="3" t="s">
        <v>63</v>
      </c>
      <c r="H991" s="3" t="s">
        <v>64</v>
      </c>
      <c r="I991" s="5">
        <v>3316.38</v>
      </c>
      <c r="J991" s="4">
        <v>3</v>
      </c>
      <c r="K991" s="1">
        <v>21</v>
      </c>
      <c r="L991" s="4">
        <v>387.31</v>
      </c>
      <c r="M991" s="3" t="s">
        <v>28</v>
      </c>
      <c r="N991" s="3" t="s">
        <v>22</v>
      </c>
      <c r="O991" s="2" t="str">
        <f t="shared" si="75"/>
        <v>01-2025</v>
      </c>
      <c r="P991" t="str">
        <f t="shared" si="76"/>
        <v>2025</v>
      </c>
      <c r="Q991" s="6">
        <f t="shared" si="77"/>
        <v>0.11678697857302239</v>
      </c>
      <c r="R991" t="str">
        <f t="shared" si="78"/>
        <v>Profit</v>
      </c>
      <c r="S991" t="str">
        <f t="shared" si="79"/>
        <v>High (&gt;20%)</v>
      </c>
    </row>
    <row r="992" spans="1:19" x14ac:dyDescent="0.3">
      <c r="A992" s="3" t="s">
        <v>1072</v>
      </c>
      <c r="B992" s="2">
        <v>45424</v>
      </c>
      <c r="C992" s="3" t="s">
        <v>75</v>
      </c>
      <c r="D992" s="3" t="s">
        <v>38</v>
      </c>
      <c r="E992" s="3" t="s">
        <v>39</v>
      </c>
      <c r="F992" s="3" t="s">
        <v>32</v>
      </c>
      <c r="G992" s="3" t="s">
        <v>33</v>
      </c>
      <c r="H992" s="3" t="s">
        <v>34</v>
      </c>
      <c r="I992" s="5">
        <v>7738</v>
      </c>
      <c r="J992" s="4">
        <v>8</v>
      </c>
      <c r="K992" s="1">
        <v>21</v>
      </c>
      <c r="L992" s="4">
        <v>1499.61</v>
      </c>
      <c r="M992" s="3" t="s">
        <v>21</v>
      </c>
      <c r="N992" s="3" t="s">
        <v>35</v>
      </c>
      <c r="O992" s="2" t="str">
        <f t="shared" si="75"/>
        <v>05-2024</v>
      </c>
      <c r="P992" t="str">
        <f t="shared" si="76"/>
        <v>2024</v>
      </c>
      <c r="Q992" s="6">
        <f t="shared" si="77"/>
        <v>0.1937981390540191</v>
      </c>
      <c r="R992" t="str">
        <f t="shared" si="78"/>
        <v>Profit</v>
      </c>
      <c r="S992" t="str">
        <f t="shared" si="79"/>
        <v>High (&gt;20%)</v>
      </c>
    </row>
    <row r="993" spans="1:19" x14ac:dyDescent="0.3">
      <c r="A993" s="3" t="s">
        <v>1073</v>
      </c>
      <c r="B993" s="2">
        <v>45783</v>
      </c>
      <c r="C993" s="3" t="s">
        <v>30</v>
      </c>
      <c r="D993" s="3" t="s">
        <v>56</v>
      </c>
      <c r="E993" s="3" t="s">
        <v>108</v>
      </c>
      <c r="F993" s="3" t="s">
        <v>62</v>
      </c>
      <c r="G993" s="3" t="s">
        <v>67</v>
      </c>
      <c r="H993" s="3" t="s">
        <v>68</v>
      </c>
      <c r="I993" s="5">
        <v>5822.55</v>
      </c>
      <c r="J993" s="4">
        <v>9</v>
      </c>
      <c r="K993" s="1">
        <v>9</v>
      </c>
      <c r="L993" s="4">
        <v>1045.74</v>
      </c>
      <c r="M993" s="3" t="s">
        <v>21</v>
      </c>
      <c r="N993" s="3" t="s">
        <v>22</v>
      </c>
      <c r="O993" s="2" t="str">
        <f t="shared" si="75"/>
        <v>05-2025</v>
      </c>
      <c r="P993" t="str">
        <f t="shared" si="76"/>
        <v>2025</v>
      </c>
      <c r="Q993" s="6">
        <f t="shared" si="77"/>
        <v>0.17960172089548393</v>
      </c>
      <c r="R993" t="str">
        <f t="shared" si="78"/>
        <v>Profit</v>
      </c>
      <c r="S993" t="str">
        <f t="shared" si="79"/>
        <v>Low (1-10%)</v>
      </c>
    </row>
    <row r="994" spans="1:19" x14ac:dyDescent="0.3">
      <c r="A994" s="3" t="s">
        <v>1074</v>
      </c>
      <c r="B994" s="2">
        <v>45586</v>
      </c>
      <c r="C994" s="3" t="s">
        <v>133</v>
      </c>
      <c r="D994" s="3" t="s">
        <v>56</v>
      </c>
      <c r="E994" s="3" t="s">
        <v>61</v>
      </c>
      <c r="F994" s="3" t="s">
        <v>62</v>
      </c>
      <c r="G994" s="3" t="s">
        <v>67</v>
      </c>
      <c r="H994" s="3" t="s">
        <v>68</v>
      </c>
      <c r="I994" s="5">
        <v>2991.56</v>
      </c>
      <c r="J994" s="4">
        <v>2</v>
      </c>
      <c r="K994" s="1">
        <v>4</v>
      </c>
      <c r="L994" s="4">
        <v>236.89</v>
      </c>
      <c r="M994" s="3" t="s">
        <v>28</v>
      </c>
      <c r="N994" s="3" t="s">
        <v>35</v>
      </c>
      <c r="O994" s="2" t="str">
        <f t="shared" si="75"/>
        <v>10-2024</v>
      </c>
      <c r="P994" t="str">
        <f t="shared" si="76"/>
        <v>2024</v>
      </c>
      <c r="Q994" s="6">
        <f t="shared" si="77"/>
        <v>7.9186110256855957E-2</v>
      </c>
      <c r="R994" t="str">
        <f t="shared" si="78"/>
        <v>Profit</v>
      </c>
      <c r="S994" t="str">
        <f t="shared" si="79"/>
        <v>Low (1-10%)</v>
      </c>
    </row>
    <row r="995" spans="1:19" x14ac:dyDescent="0.3">
      <c r="A995" s="3" t="s">
        <v>1075</v>
      </c>
      <c r="B995" s="2">
        <v>45738</v>
      </c>
      <c r="C995" s="3" t="s">
        <v>66</v>
      </c>
      <c r="D995" s="3" t="s">
        <v>56</v>
      </c>
      <c r="E995" s="3" t="s">
        <v>108</v>
      </c>
      <c r="F995" s="3" t="s">
        <v>32</v>
      </c>
      <c r="G995" s="3" t="s">
        <v>58</v>
      </c>
      <c r="H995" s="3" t="s">
        <v>59</v>
      </c>
      <c r="I995" s="5">
        <v>7008.68</v>
      </c>
      <c r="J995" s="4">
        <v>7</v>
      </c>
      <c r="K995" s="1">
        <v>18</v>
      </c>
      <c r="L995" s="4">
        <v>1115.99</v>
      </c>
      <c r="M995" s="3" t="s">
        <v>21</v>
      </c>
      <c r="N995" s="3" t="s">
        <v>44</v>
      </c>
      <c r="O995" s="2" t="str">
        <f t="shared" si="75"/>
        <v>03-2025</v>
      </c>
      <c r="P995" t="str">
        <f t="shared" si="76"/>
        <v>2025</v>
      </c>
      <c r="Q995" s="6">
        <f t="shared" si="77"/>
        <v>0.15922969803158368</v>
      </c>
      <c r="R995" t="str">
        <f t="shared" si="78"/>
        <v>Profit</v>
      </c>
      <c r="S995" t="str">
        <f t="shared" si="79"/>
        <v>Mid (11-20%)</v>
      </c>
    </row>
    <row r="996" spans="1:19" x14ac:dyDescent="0.3">
      <c r="A996" s="3" t="s">
        <v>1076</v>
      </c>
      <c r="B996" s="2">
        <v>45743</v>
      </c>
      <c r="C996" s="3" t="s">
        <v>70</v>
      </c>
      <c r="D996" s="3" t="s">
        <v>38</v>
      </c>
      <c r="E996" s="3" t="s">
        <v>53</v>
      </c>
      <c r="F996" s="3" t="s">
        <v>32</v>
      </c>
      <c r="G996" s="3" t="s">
        <v>112</v>
      </c>
      <c r="H996" s="3" t="s">
        <v>113</v>
      </c>
      <c r="I996" s="5">
        <v>8166.9</v>
      </c>
      <c r="J996" s="4">
        <v>7</v>
      </c>
      <c r="K996" s="1">
        <v>6</v>
      </c>
      <c r="L996" s="4">
        <v>529.28</v>
      </c>
      <c r="M996" s="3" t="s">
        <v>21</v>
      </c>
      <c r="N996" s="3" t="s">
        <v>40</v>
      </c>
      <c r="O996" s="2" t="str">
        <f t="shared" si="75"/>
        <v>03-2025</v>
      </c>
      <c r="P996" t="str">
        <f t="shared" si="76"/>
        <v>2025</v>
      </c>
      <c r="Q996" s="6">
        <f t="shared" si="77"/>
        <v>6.4807944262816983E-2</v>
      </c>
      <c r="R996" t="str">
        <f t="shared" si="78"/>
        <v>Profit</v>
      </c>
      <c r="S996" t="str">
        <f t="shared" si="79"/>
        <v>Low (1-10%)</v>
      </c>
    </row>
    <row r="997" spans="1:19" x14ac:dyDescent="0.3">
      <c r="A997" s="3" t="s">
        <v>1077</v>
      </c>
      <c r="B997" s="2">
        <v>45576</v>
      </c>
      <c r="C997" s="3" t="s">
        <v>84</v>
      </c>
      <c r="D997" s="3" t="s">
        <v>38</v>
      </c>
      <c r="E997" s="3" t="s">
        <v>53</v>
      </c>
      <c r="F997" s="3" t="s">
        <v>62</v>
      </c>
      <c r="G997" s="3" t="s">
        <v>80</v>
      </c>
      <c r="H997" s="3" t="s">
        <v>81</v>
      </c>
      <c r="I997" s="5">
        <v>827.9</v>
      </c>
      <c r="J997" s="4">
        <v>5</v>
      </c>
      <c r="K997" s="1">
        <v>29</v>
      </c>
      <c r="L997" s="4">
        <v>48.27</v>
      </c>
      <c r="M997" s="3" t="s">
        <v>21</v>
      </c>
      <c r="N997" s="3" t="s">
        <v>44</v>
      </c>
      <c r="O997" s="2" t="str">
        <f t="shared" si="75"/>
        <v>10-2024</v>
      </c>
      <c r="P997" t="str">
        <f t="shared" si="76"/>
        <v>2024</v>
      </c>
      <c r="Q997" s="6">
        <f t="shared" si="77"/>
        <v>5.830414301244112E-2</v>
      </c>
      <c r="R997" t="str">
        <f t="shared" si="78"/>
        <v>Profit</v>
      </c>
      <c r="S997" t="str">
        <f t="shared" si="79"/>
        <v>High (&gt;20%)</v>
      </c>
    </row>
    <row r="998" spans="1:19" x14ac:dyDescent="0.3">
      <c r="A998" s="3" t="s">
        <v>1078</v>
      </c>
      <c r="B998" s="2">
        <v>45449</v>
      </c>
      <c r="C998" s="3" t="s">
        <v>101</v>
      </c>
      <c r="D998" s="3" t="s">
        <v>16</v>
      </c>
      <c r="E998" s="3" t="s">
        <v>31</v>
      </c>
      <c r="F998" s="3" t="s">
        <v>62</v>
      </c>
      <c r="G998" s="3" t="s">
        <v>80</v>
      </c>
      <c r="H998" s="3" t="s">
        <v>81</v>
      </c>
      <c r="I998" s="5">
        <v>1085.76</v>
      </c>
      <c r="J998" s="4">
        <v>1</v>
      </c>
      <c r="K998" s="1">
        <v>7.0000000000000009</v>
      </c>
      <c r="L998" s="4">
        <v>206.51</v>
      </c>
      <c r="M998" s="3" t="s">
        <v>28</v>
      </c>
      <c r="N998" s="3" t="s">
        <v>40</v>
      </c>
      <c r="O998" s="2" t="str">
        <f t="shared" si="75"/>
        <v>06-2024</v>
      </c>
      <c r="P998" t="str">
        <f t="shared" si="76"/>
        <v>2024</v>
      </c>
      <c r="Q998" s="6">
        <f t="shared" si="77"/>
        <v>0.19019857058650161</v>
      </c>
      <c r="R998" t="str">
        <f t="shared" si="78"/>
        <v>Profit</v>
      </c>
      <c r="S998" t="str">
        <f t="shared" si="79"/>
        <v>Low (1-10%)</v>
      </c>
    </row>
    <row r="999" spans="1:19" x14ac:dyDescent="0.3">
      <c r="A999" s="3" t="s">
        <v>1079</v>
      </c>
      <c r="B999" s="2">
        <v>45428</v>
      </c>
      <c r="C999" s="3" t="s">
        <v>37</v>
      </c>
      <c r="D999" s="3" t="s">
        <v>56</v>
      </c>
      <c r="E999" s="3" t="s">
        <v>61</v>
      </c>
      <c r="F999" s="3" t="s">
        <v>62</v>
      </c>
      <c r="G999" s="3" t="s">
        <v>103</v>
      </c>
      <c r="H999" s="3" t="s">
        <v>104</v>
      </c>
      <c r="I999" s="5">
        <v>3546.41</v>
      </c>
      <c r="J999" s="4">
        <v>7</v>
      </c>
      <c r="K999" s="1">
        <v>27</v>
      </c>
      <c r="L999" s="4">
        <v>452.98</v>
      </c>
      <c r="M999" s="3" t="s">
        <v>51</v>
      </c>
      <c r="N999" s="3" t="s">
        <v>35</v>
      </c>
      <c r="O999" s="2" t="str">
        <f t="shared" si="75"/>
        <v>05-2024</v>
      </c>
      <c r="P999" t="str">
        <f t="shared" si="76"/>
        <v>2024</v>
      </c>
      <c r="Q999" s="6">
        <f t="shared" si="77"/>
        <v>0.1277291683702674</v>
      </c>
      <c r="R999" t="str">
        <f t="shared" si="78"/>
        <v>Profit</v>
      </c>
      <c r="S999" t="str">
        <f t="shared" si="79"/>
        <v>High (&gt;20%)</v>
      </c>
    </row>
    <row r="1000" spans="1:19" x14ac:dyDescent="0.3">
      <c r="A1000" s="3" t="s">
        <v>1080</v>
      </c>
      <c r="B1000" s="2">
        <v>45625</v>
      </c>
      <c r="C1000" s="3" t="s">
        <v>70</v>
      </c>
      <c r="D1000" s="3" t="s">
        <v>38</v>
      </c>
      <c r="E1000" s="3" t="s">
        <v>71</v>
      </c>
      <c r="F1000" s="3" t="s">
        <v>62</v>
      </c>
      <c r="G1000" s="3" t="s">
        <v>63</v>
      </c>
      <c r="H1000" s="3" t="s">
        <v>64</v>
      </c>
      <c r="I1000" s="5">
        <v>14406.7</v>
      </c>
      <c r="J1000" s="4">
        <v>10</v>
      </c>
      <c r="K1000" s="1">
        <v>17</v>
      </c>
      <c r="L1000" s="4">
        <v>2704.65</v>
      </c>
      <c r="M1000" s="3" t="s">
        <v>21</v>
      </c>
      <c r="N1000" s="3" t="s">
        <v>40</v>
      </c>
      <c r="O1000" s="2" t="str">
        <f t="shared" si="75"/>
        <v>11-2024</v>
      </c>
      <c r="P1000" t="str">
        <f t="shared" si="76"/>
        <v>2024</v>
      </c>
      <c r="Q1000" s="6">
        <f t="shared" si="77"/>
        <v>0.18773556747902018</v>
      </c>
      <c r="R1000" t="str">
        <f t="shared" si="78"/>
        <v>Profit</v>
      </c>
      <c r="S1000" t="str">
        <f t="shared" si="79"/>
        <v>Mid (11-20%)</v>
      </c>
    </row>
    <row r="1001" spans="1:19" x14ac:dyDescent="0.3">
      <c r="A1001" s="3" t="s">
        <v>1081</v>
      </c>
      <c r="B1001" s="2">
        <v>45763</v>
      </c>
      <c r="C1001" s="3" t="s">
        <v>99</v>
      </c>
      <c r="D1001" s="3" t="s">
        <v>56</v>
      </c>
      <c r="E1001" s="3" t="s">
        <v>57</v>
      </c>
      <c r="F1001" s="3" t="s">
        <v>32</v>
      </c>
      <c r="G1001" s="3" t="s">
        <v>47</v>
      </c>
      <c r="H1001" s="3" t="s">
        <v>48</v>
      </c>
      <c r="I1001" s="5">
        <v>2723.8</v>
      </c>
      <c r="J1001" s="4">
        <v>2</v>
      </c>
      <c r="K1001" s="1">
        <v>26</v>
      </c>
      <c r="L1001" s="4">
        <v>339</v>
      </c>
      <c r="M1001" s="3" t="s">
        <v>51</v>
      </c>
      <c r="N1001" s="3" t="s">
        <v>35</v>
      </c>
      <c r="O1001" s="2" t="str">
        <f t="shared" si="75"/>
        <v>04-2025</v>
      </c>
      <c r="P1001" t="str">
        <f t="shared" si="76"/>
        <v>2025</v>
      </c>
      <c r="Q1001" s="6">
        <f t="shared" si="77"/>
        <v>0.12445847712754239</v>
      </c>
      <c r="R1001" t="str">
        <f t="shared" si="78"/>
        <v>Profit</v>
      </c>
      <c r="S1001" t="str">
        <f t="shared" si="79"/>
        <v>High (&gt;20%)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668B-D763-460A-860E-65099B75DA2D}">
  <dimension ref="A1:T27"/>
  <sheetViews>
    <sheetView zoomScaleNormal="100" workbookViewId="0">
      <selection activeCell="M22" sqref="M22:M23"/>
    </sheetView>
  </sheetViews>
  <sheetFormatPr defaultRowHeight="14.4" x14ac:dyDescent="0.3"/>
  <cols>
    <col min="1" max="1" width="10.77734375" bestFit="1" customWidth="1"/>
    <col min="2" max="2" width="13.21875" bestFit="1" customWidth="1"/>
    <col min="3" max="3" width="10.33203125" bestFit="1" customWidth="1"/>
    <col min="4" max="4" width="12" bestFit="1" customWidth="1"/>
    <col min="6" max="6" width="10.77734375" bestFit="1" customWidth="1"/>
    <col min="7" max="7" width="13.88671875" customWidth="1"/>
    <col min="8" max="8" width="13.21875" bestFit="1" customWidth="1"/>
    <col min="9" max="9" width="8" bestFit="1" customWidth="1"/>
    <col min="11" max="11" width="14.21875" customWidth="1"/>
    <col min="12" max="12" width="13.21875" bestFit="1" customWidth="1"/>
    <col min="13" max="13" width="14.44140625" bestFit="1" customWidth="1"/>
    <col min="14" max="14" width="6.5546875" bestFit="1" customWidth="1"/>
  </cols>
  <sheetData>
    <row r="1" spans="1:20" ht="15" thickBot="1" x14ac:dyDescent="0.35"/>
    <row r="2" spans="1:20" ht="18.600000000000001" thickBot="1" x14ac:dyDescent="0.4">
      <c r="A2" s="15" t="s">
        <v>1091</v>
      </c>
      <c r="B2" s="16"/>
      <c r="C2" s="16"/>
      <c r="D2" s="17"/>
      <c r="E2" s="9"/>
      <c r="F2" s="12" t="s">
        <v>1090</v>
      </c>
      <c r="G2" s="13"/>
      <c r="H2" s="13"/>
      <c r="I2" s="14"/>
      <c r="J2" s="9"/>
      <c r="K2" s="12" t="s">
        <v>1109</v>
      </c>
      <c r="L2" s="13"/>
      <c r="M2" s="13"/>
      <c r="N2" s="14"/>
      <c r="O2" s="9"/>
      <c r="T2" s="9"/>
    </row>
    <row r="3" spans="1:20" x14ac:dyDescent="0.3">
      <c r="A3" s="7" t="s">
        <v>3</v>
      </c>
      <c r="B3" t="s">
        <v>1110</v>
      </c>
      <c r="C3" t="s">
        <v>1111</v>
      </c>
      <c r="D3" t="s">
        <v>1112</v>
      </c>
      <c r="F3" s="7" t="s">
        <v>5</v>
      </c>
      <c r="G3" t="s">
        <v>1106</v>
      </c>
      <c r="H3" t="s">
        <v>1107</v>
      </c>
      <c r="I3" t="s">
        <v>1120</v>
      </c>
      <c r="K3" s="7" t="s">
        <v>1109</v>
      </c>
      <c r="L3" t="s">
        <v>1106</v>
      </c>
      <c r="M3" t="s">
        <v>1107</v>
      </c>
      <c r="N3" t="s">
        <v>1108</v>
      </c>
    </row>
    <row r="4" spans="1:20" x14ac:dyDescent="0.3">
      <c r="A4" s="8" t="s">
        <v>16</v>
      </c>
      <c r="B4" s="5">
        <v>1500427.6599999995</v>
      </c>
      <c r="C4" s="4">
        <v>192233.44999999992</v>
      </c>
      <c r="D4" s="6">
        <v>0.12718219753272142</v>
      </c>
      <c r="F4" s="8" t="s">
        <v>33</v>
      </c>
      <c r="G4" s="5">
        <v>565825.35999999975</v>
      </c>
      <c r="H4" s="4">
        <v>66202.539999999979</v>
      </c>
      <c r="I4" s="4">
        <v>544</v>
      </c>
      <c r="K4" s="8" t="s">
        <v>1093</v>
      </c>
      <c r="L4" s="11">
        <v>481573.68999999989</v>
      </c>
      <c r="M4" s="10">
        <v>57805.569999999985</v>
      </c>
      <c r="N4" s="1">
        <v>77</v>
      </c>
    </row>
    <row r="5" spans="1:20" x14ac:dyDescent="0.3">
      <c r="A5" s="8" t="s">
        <v>89</v>
      </c>
      <c r="B5" s="5">
        <v>1479636.2700000012</v>
      </c>
      <c r="C5" s="4">
        <v>188785.72000000006</v>
      </c>
      <c r="D5" s="6">
        <v>0.12925769775350476</v>
      </c>
      <c r="F5" s="8" t="s">
        <v>47</v>
      </c>
      <c r="G5" s="5">
        <v>524175.38000000012</v>
      </c>
      <c r="H5" s="4">
        <v>57962.969999999987</v>
      </c>
      <c r="I5" s="4">
        <v>474</v>
      </c>
      <c r="K5" s="8" t="s">
        <v>1094</v>
      </c>
      <c r="L5" s="11">
        <v>422582.12999999995</v>
      </c>
      <c r="M5" s="10">
        <v>56176.180000000015</v>
      </c>
      <c r="N5" s="1">
        <v>72</v>
      </c>
    </row>
    <row r="6" spans="1:20" x14ac:dyDescent="0.3">
      <c r="A6" s="8" t="s">
        <v>38</v>
      </c>
      <c r="B6" s="5">
        <v>1452430.6300000001</v>
      </c>
      <c r="C6" s="4">
        <v>178655.02999999977</v>
      </c>
      <c r="D6" s="6">
        <v>0.12470186042403868</v>
      </c>
      <c r="F6" s="8" t="s">
        <v>63</v>
      </c>
      <c r="G6" s="5">
        <v>531129.49999999977</v>
      </c>
      <c r="H6" s="4">
        <v>64585.490000000013</v>
      </c>
      <c r="I6" s="4">
        <v>439</v>
      </c>
      <c r="K6" s="8" t="s">
        <v>1095</v>
      </c>
      <c r="L6" s="11">
        <v>455114.29</v>
      </c>
      <c r="M6" s="10">
        <v>52730.92</v>
      </c>
      <c r="N6" s="1">
        <v>85</v>
      </c>
    </row>
    <row r="7" spans="1:20" x14ac:dyDescent="0.3">
      <c r="A7" s="8" t="s">
        <v>56</v>
      </c>
      <c r="B7" s="5">
        <v>1418844.1100000003</v>
      </c>
      <c r="C7" s="4">
        <v>168349.83000000005</v>
      </c>
      <c r="D7" s="6">
        <v>0.12332835531925702</v>
      </c>
      <c r="F7" s="8" t="s">
        <v>76</v>
      </c>
      <c r="G7" s="5">
        <v>371629.13000000006</v>
      </c>
      <c r="H7" s="4">
        <v>46064.33</v>
      </c>
      <c r="I7" s="4">
        <v>373</v>
      </c>
      <c r="K7" s="8" t="s">
        <v>1096</v>
      </c>
      <c r="L7" s="11">
        <v>643846.56000000006</v>
      </c>
      <c r="M7" s="10">
        <v>76405.319999999992</v>
      </c>
      <c r="N7" s="1">
        <v>105</v>
      </c>
    </row>
    <row r="8" spans="1:20" x14ac:dyDescent="0.3">
      <c r="A8" s="18" t="s">
        <v>1085</v>
      </c>
      <c r="B8" s="19">
        <v>5851338.6699999897</v>
      </c>
      <c r="C8" s="20">
        <v>728024.03000000049</v>
      </c>
      <c r="D8" s="21">
        <v>0.12609024404918484</v>
      </c>
      <c r="F8" s="8" t="s">
        <v>94</v>
      </c>
      <c r="G8" s="5">
        <v>500683.40000000008</v>
      </c>
      <c r="H8" s="4">
        <v>64755.339999999989</v>
      </c>
      <c r="I8" s="4">
        <v>514</v>
      </c>
      <c r="K8" s="8" t="s">
        <v>1097</v>
      </c>
      <c r="L8" s="11">
        <v>278689.63</v>
      </c>
      <c r="M8" s="10">
        <v>33812.130000000005</v>
      </c>
      <c r="N8" s="1">
        <v>48</v>
      </c>
    </row>
    <row r="9" spans="1:20" x14ac:dyDescent="0.3">
      <c r="F9" s="8" t="s">
        <v>67</v>
      </c>
      <c r="G9" s="5">
        <v>390804.60000000003</v>
      </c>
      <c r="H9" s="4">
        <v>47526.310000000005</v>
      </c>
      <c r="I9" s="4">
        <v>394</v>
      </c>
      <c r="K9" s="8" t="s">
        <v>1098</v>
      </c>
      <c r="L9" s="11">
        <v>163883.43000000002</v>
      </c>
      <c r="M9" s="10">
        <v>23228.550000000003</v>
      </c>
      <c r="N9" s="1">
        <v>30</v>
      </c>
    </row>
    <row r="10" spans="1:20" ht="15" thickBot="1" x14ac:dyDescent="0.35">
      <c r="F10" s="8" t="s">
        <v>103</v>
      </c>
      <c r="G10" s="5">
        <v>463730.23999999982</v>
      </c>
      <c r="H10" s="4">
        <v>58637.490000000013</v>
      </c>
      <c r="I10" s="4">
        <v>434</v>
      </c>
      <c r="K10" s="8" t="s">
        <v>1099</v>
      </c>
      <c r="L10" s="11">
        <v>497060.51000000024</v>
      </c>
      <c r="M10" s="10">
        <v>57509.62999999999</v>
      </c>
      <c r="N10" s="1">
        <v>87</v>
      </c>
    </row>
    <row r="11" spans="1:20" ht="18.600000000000001" thickBot="1" x14ac:dyDescent="0.4">
      <c r="A11" s="12" t="s">
        <v>1092</v>
      </c>
      <c r="B11" s="13"/>
      <c r="C11" s="13"/>
      <c r="D11" s="14"/>
      <c r="F11" s="8" t="s">
        <v>26</v>
      </c>
      <c r="G11" s="5">
        <v>471062.39999999985</v>
      </c>
      <c r="H11" s="4">
        <v>56775.86</v>
      </c>
      <c r="I11" s="4">
        <v>475</v>
      </c>
      <c r="K11" s="8" t="s">
        <v>1100</v>
      </c>
      <c r="L11" s="11">
        <v>420265.59999999992</v>
      </c>
      <c r="M11" s="10">
        <v>55923.4</v>
      </c>
      <c r="N11" s="1">
        <v>78</v>
      </c>
    </row>
    <row r="12" spans="1:20" x14ac:dyDescent="0.3">
      <c r="A12" s="7" t="s">
        <v>5</v>
      </c>
      <c r="B12" t="s">
        <v>1114</v>
      </c>
      <c r="C12" t="s">
        <v>1107</v>
      </c>
      <c r="D12" t="s">
        <v>1113</v>
      </c>
      <c r="F12" s="8" t="s">
        <v>112</v>
      </c>
      <c r="G12" s="5">
        <v>483962.44000000018</v>
      </c>
      <c r="H12" s="4">
        <v>62177.430000000015</v>
      </c>
      <c r="I12" s="4">
        <v>474</v>
      </c>
      <c r="K12" s="8" t="s">
        <v>1101</v>
      </c>
      <c r="L12" s="11">
        <v>588756.21999999974</v>
      </c>
      <c r="M12" s="10">
        <v>75755.189999999988</v>
      </c>
      <c r="N12" s="1">
        <v>99</v>
      </c>
    </row>
    <row r="13" spans="1:20" x14ac:dyDescent="0.3">
      <c r="A13" s="8" t="s">
        <v>32</v>
      </c>
      <c r="B13" s="5">
        <v>2138806.9400000009</v>
      </c>
      <c r="C13" s="10">
        <v>254162.73999999973</v>
      </c>
      <c r="D13" s="6">
        <v>0.35135135135135137</v>
      </c>
      <c r="F13" s="8" t="s">
        <v>80</v>
      </c>
      <c r="G13" s="5">
        <v>553171.44999999995</v>
      </c>
      <c r="H13" s="4">
        <v>79032.449999999983</v>
      </c>
      <c r="I13" s="4">
        <v>497</v>
      </c>
      <c r="K13" s="8" t="s">
        <v>1102</v>
      </c>
      <c r="L13" s="11">
        <v>361268.30999999994</v>
      </c>
      <c r="M13" s="10">
        <v>44336.210000000006</v>
      </c>
      <c r="N13" s="1">
        <v>73</v>
      </c>
    </row>
    <row r="14" spans="1:20" x14ac:dyDescent="0.3">
      <c r="A14" s="8" t="s">
        <v>62</v>
      </c>
      <c r="B14" s="5">
        <v>1938835.7900000014</v>
      </c>
      <c r="C14" s="10">
        <v>249781.74000000008</v>
      </c>
      <c r="D14" s="6">
        <v>0.31831831831831831</v>
      </c>
      <c r="F14" s="8" t="s">
        <v>58</v>
      </c>
      <c r="G14" s="5">
        <v>564843.76000000013</v>
      </c>
      <c r="H14" s="4">
        <v>67819.800000000017</v>
      </c>
      <c r="I14" s="4">
        <v>514</v>
      </c>
      <c r="K14" s="8" t="s">
        <v>1103</v>
      </c>
      <c r="L14" s="11">
        <v>453666.92000000004</v>
      </c>
      <c r="M14" s="10">
        <v>59616.080000000031</v>
      </c>
      <c r="N14" s="1">
        <v>78</v>
      </c>
    </row>
    <row r="15" spans="1:20" x14ac:dyDescent="0.3">
      <c r="A15" s="8" t="s">
        <v>18</v>
      </c>
      <c r="B15" s="5">
        <v>1770972.1400000006</v>
      </c>
      <c r="C15" s="10">
        <v>223740.54999999978</v>
      </c>
      <c r="D15" s="6">
        <v>0.33033033033033032</v>
      </c>
      <c r="F15" s="8" t="s">
        <v>19</v>
      </c>
      <c r="G15" s="5">
        <v>427597.21</v>
      </c>
      <c r="H15" s="4">
        <v>56145.020000000004</v>
      </c>
      <c r="I15" s="4">
        <v>437</v>
      </c>
      <c r="K15" s="8" t="s">
        <v>1104</v>
      </c>
      <c r="L15" s="11">
        <v>484378.73000000004</v>
      </c>
      <c r="M15" s="10">
        <v>56051.759999999995</v>
      </c>
      <c r="N15" s="1">
        <v>79</v>
      </c>
    </row>
    <row r="16" spans="1:20" x14ac:dyDescent="0.3">
      <c r="A16" s="18" t="s">
        <v>1085</v>
      </c>
      <c r="B16" s="19">
        <v>5848614.8699999992</v>
      </c>
      <c r="C16" s="22">
        <v>727685.0299999998</v>
      </c>
      <c r="D16" s="21">
        <v>1</v>
      </c>
      <c r="F16" s="18" t="s">
        <v>1085</v>
      </c>
      <c r="G16" s="19">
        <v>5848614.8699999992</v>
      </c>
      <c r="H16" s="20">
        <v>727685.02999999991</v>
      </c>
      <c r="I16" s="20">
        <v>5569</v>
      </c>
      <c r="K16" s="8" t="s">
        <v>1105</v>
      </c>
      <c r="L16" s="11">
        <v>597528.84999999986</v>
      </c>
      <c r="M16" s="10">
        <v>78334.09</v>
      </c>
      <c r="N16" s="1">
        <v>88</v>
      </c>
    </row>
    <row r="17" spans="1:14" x14ac:dyDescent="0.3">
      <c r="K17" s="18" t="s">
        <v>1085</v>
      </c>
      <c r="L17" s="24">
        <v>5848614.8700000057</v>
      </c>
      <c r="M17" s="22">
        <v>727685.02999999968</v>
      </c>
      <c r="N17" s="23">
        <v>999</v>
      </c>
    </row>
    <row r="18" spans="1:14" ht="15" thickBot="1" x14ac:dyDescent="0.35"/>
    <row r="19" spans="1:14" ht="18.600000000000001" thickBot="1" x14ac:dyDescent="0.4">
      <c r="A19" s="12" t="s">
        <v>13</v>
      </c>
      <c r="B19" s="13"/>
      <c r="C19" s="13"/>
      <c r="D19" s="14"/>
      <c r="F19" s="15" t="s">
        <v>12</v>
      </c>
      <c r="G19" s="16"/>
      <c r="H19" s="16"/>
      <c r="I19" s="17"/>
      <c r="K19" t="s">
        <v>1122</v>
      </c>
      <c r="M19" t="s">
        <v>1086</v>
      </c>
    </row>
    <row r="20" spans="1:14" x14ac:dyDescent="0.3">
      <c r="A20" s="7" t="s">
        <v>1115</v>
      </c>
      <c r="B20" t="s">
        <v>1114</v>
      </c>
      <c r="C20" t="s">
        <v>1117</v>
      </c>
      <c r="D20" t="s">
        <v>1118</v>
      </c>
      <c r="F20" s="7" t="s">
        <v>1116</v>
      </c>
      <c r="G20" t="s">
        <v>1117</v>
      </c>
      <c r="H20" t="s">
        <v>1119</v>
      </c>
      <c r="I20" t="s">
        <v>1121</v>
      </c>
      <c r="K20" s="5">
        <v>5842693.8299999917</v>
      </c>
      <c r="M20" s="1">
        <v>1000</v>
      </c>
    </row>
    <row r="21" spans="1:14" x14ac:dyDescent="0.3">
      <c r="A21" s="8" t="s">
        <v>35</v>
      </c>
      <c r="B21" s="5">
        <v>1604055.0100000012</v>
      </c>
      <c r="C21" s="1">
        <v>291</v>
      </c>
      <c r="D21" s="6">
        <v>0.29129129129129128</v>
      </c>
      <c r="F21" s="8" t="s">
        <v>21</v>
      </c>
      <c r="G21" s="1">
        <v>335</v>
      </c>
      <c r="H21" s="5">
        <v>1956988.4000000008</v>
      </c>
      <c r="I21" s="6">
        <v>0.33533533533533533</v>
      </c>
    </row>
    <row r="22" spans="1:14" x14ac:dyDescent="0.3">
      <c r="A22" s="8" t="s">
        <v>40</v>
      </c>
      <c r="B22" s="5">
        <v>1517331.7999999993</v>
      </c>
      <c r="C22" s="1">
        <v>249</v>
      </c>
      <c r="D22" s="6">
        <v>0.24924924924924924</v>
      </c>
      <c r="F22" s="8" t="s">
        <v>51</v>
      </c>
      <c r="G22" s="1">
        <v>331</v>
      </c>
      <c r="H22" s="5">
        <v>1913216.2000000004</v>
      </c>
      <c r="I22" s="6">
        <v>0.33133133133133136</v>
      </c>
      <c r="K22" t="s">
        <v>1084</v>
      </c>
      <c r="M22" t="s">
        <v>1123</v>
      </c>
    </row>
    <row r="23" spans="1:14" x14ac:dyDescent="0.3">
      <c r="A23" s="8" t="s">
        <v>22</v>
      </c>
      <c r="B23" s="5">
        <v>1386049.300000001</v>
      </c>
      <c r="C23" s="1">
        <v>235</v>
      </c>
      <c r="D23" s="6">
        <v>0.23523523523523523</v>
      </c>
      <c r="F23" s="8" t="s">
        <v>28</v>
      </c>
      <c r="G23" s="1">
        <v>333</v>
      </c>
      <c r="H23" s="5">
        <v>1978410.2700000016</v>
      </c>
      <c r="I23" s="6">
        <v>0.33333333333333331</v>
      </c>
      <c r="K23" s="1">
        <v>728024.03000000073</v>
      </c>
      <c r="M23" s="6">
        <v>0.12609024404918479</v>
      </c>
    </row>
    <row r="24" spans="1:14" x14ac:dyDescent="0.3">
      <c r="A24" s="8" t="s">
        <v>44</v>
      </c>
      <c r="B24" s="5">
        <v>1341178.76</v>
      </c>
      <c r="C24" s="1">
        <v>224</v>
      </c>
      <c r="D24" s="6">
        <v>0.22422422422422422</v>
      </c>
      <c r="F24" s="18" t="s">
        <v>1085</v>
      </c>
      <c r="G24" s="23">
        <v>999</v>
      </c>
      <c r="H24" s="19">
        <v>5848614.8699999936</v>
      </c>
      <c r="I24" s="21">
        <v>1</v>
      </c>
    </row>
    <row r="25" spans="1:14" x14ac:dyDescent="0.3">
      <c r="A25" s="18" t="s">
        <v>1085</v>
      </c>
      <c r="B25" s="19">
        <v>5848614.8699999955</v>
      </c>
      <c r="C25" s="23">
        <v>999</v>
      </c>
      <c r="D25" s="21">
        <v>1</v>
      </c>
    </row>
    <row r="27" spans="1:14" x14ac:dyDescent="0.3">
      <c r="A27" s="9"/>
      <c r="B27" s="9"/>
      <c r="C27" s="9"/>
      <c r="D27" s="9"/>
    </row>
  </sheetData>
  <mergeCells count="6">
    <mergeCell ref="A2:D2"/>
    <mergeCell ref="A11:D11"/>
    <mergeCell ref="A19:D19"/>
    <mergeCell ref="F2:I2"/>
    <mergeCell ref="F19:I19"/>
    <mergeCell ref="K2:N2"/>
  </mergeCells>
  <pageMargins left="0.7" right="0.7" top="0.75" bottom="0.75" header="0.3" footer="0.3"/>
  <pageSetup orientation="portrait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7D8C-6963-472C-B63D-C268A1408536}">
  <dimension ref="C4:E4"/>
  <sheetViews>
    <sheetView showGridLines="0" tabSelected="1" workbookViewId="0">
      <selection activeCell="U6" sqref="U6"/>
    </sheetView>
  </sheetViews>
  <sheetFormatPr defaultRowHeight="14.4" x14ac:dyDescent="0.3"/>
  <sheetData>
    <row r="4" spans="3:5" x14ac:dyDescent="0.3">
      <c r="C4" s="5"/>
      <c r="D4" s="5"/>
      <c r="E4" s="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0BAF43-A49D-4ABB-AB38-B9B8DD2E67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saikiran reddy</dc:creator>
  <cp:lastModifiedBy>saikiran reddy</cp:lastModifiedBy>
  <dcterms:created xsi:type="dcterms:W3CDTF">2026-03-16T07:23:38Z</dcterms:created>
  <dcterms:modified xsi:type="dcterms:W3CDTF">2026-03-16T15:39:33Z</dcterms:modified>
</cp:coreProperties>
</file>